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i unidad\ITALIA\Proyectos\14.Plan de tendido\"/>
    </mc:Choice>
  </mc:AlternateContent>
  <xr:revisionPtr revIDLastSave="0" documentId="13_ncr:1_{027D0F01-B371-419F-ADF3-62838BBB8C8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TIRATA_01_225-245" sheetId="1" r:id="rId1"/>
    <sheet name="TIRATA_02_245-267" sheetId="2" r:id="rId2"/>
    <sheet name="TIRATA_03_267-285" sheetId="3" r:id="rId3"/>
    <sheet name="TIRATA_04_285-304" sheetId="4" r:id="rId4"/>
    <sheet name="TIRATA_05_304-317" sheetId="5" r:id="rId5"/>
    <sheet name="TIRATA_06_317-PORTALE MOLASSANA" sheetId="6" r:id="rId6"/>
    <sheet name="T.842" sheetId="10" state="hidden" r:id="rId7"/>
    <sheet name="TESATURA_NORMALIZADA" sheetId="8" r:id="rId8"/>
    <sheet name="04 Interferencias" sheetId="7" state="hidden" r:id="rId9"/>
  </sheets>
  <definedNames>
    <definedName name="_xlnm._FilterDatabase" localSheetId="8" hidden="1">'04 Interferencias'!$A$4:$N$63</definedName>
    <definedName name="_xlnm._FilterDatabase" localSheetId="6" hidden="1">T.842!$B$4:$AD$238</definedName>
    <definedName name="_xlnm.Print_Area" localSheetId="0">'TIRATA_01_225-245'!$A$1:$AQ$58</definedName>
    <definedName name="_xlnm.Print_Area" localSheetId="1">'TIRATA_02_245-267'!$A$1:$AU$58</definedName>
    <definedName name="_xlnm.Print_Area" localSheetId="2">'TIRATA_03_267-285'!$A$1:$AM$58</definedName>
    <definedName name="_xlnm.Print_Area" localSheetId="3">'TIRATA_04_285-304'!$A$1:$AO$58</definedName>
    <definedName name="_xlnm.Print_Area" localSheetId="4">'TIRATA_05_304-317'!$A$1:$AC$58</definedName>
    <definedName name="_xlnm.Print_Area" localSheetId="5">'TIRATA_06_317-PORTALE MOLASSANA'!$A$1:$AG$58</definedName>
    <definedName name="_xlnm.Print_Titles" localSheetId="6">T.842!$4:$7</definedName>
  </definedName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6" i="3" l="1"/>
  <c r="AG36" i="3"/>
  <c r="AE36" i="3"/>
  <c r="AC36" i="3"/>
  <c r="AA36" i="3"/>
  <c r="Y36" i="3"/>
  <c r="W36" i="3"/>
  <c r="U36" i="3"/>
  <c r="S36" i="3"/>
  <c r="Q36" i="3"/>
  <c r="O36" i="3"/>
  <c r="M36" i="3"/>
  <c r="K36" i="3"/>
  <c r="I36" i="3"/>
  <c r="G36" i="3"/>
  <c r="E36" i="3"/>
  <c r="C36" i="3"/>
  <c r="AS36" i="2"/>
  <c r="AQ36" i="2"/>
  <c r="AO36" i="2"/>
  <c r="AM36" i="2"/>
  <c r="AK36" i="2"/>
  <c r="AI36" i="2"/>
  <c r="AG36" i="2"/>
  <c r="AE36" i="2"/>
  <c r="AC36" i="2"/>
  <c r="AA36" i="2"/>
  <c r="Y36" i="2"/>
  <c r="W36" i="2"/>
  <c r="U36" i="2"/>
  <c r="S36" i="2"/>
  <c r="Q36" i="2"/>
  <c r="O36" i="2"/>
  <c r="M36" i="2"/>
  <c r="K36" i="2"/>
  <c r="I36" i="2"/>
  <c r="G36" i="2"/>
  <c r="E36" i="2"/>
  <c r="C36" i="2"/>
  <c r="AO36" i="1"/>
  <c r="AM36" i="1"/>
  <c r="AK36" i="1"/>
  <c r="AI36" i="1"/>
  <c r="AG36" i="1"/>
  <c r="AE36" i="1"/>
  <c r="AC36" i="1"/>
  <c r="AA36" i="1"/>
  <c r="Y36" i="1"/>
  <c r="W36" i="1"/>
  <c r="U36" i="1"/>
  <c r="S36" i="1"/>
  <c r="Q36" i="1"/>
  <c r="O36" i="1"/>
  <c r="M36" i="1"/>
  <c r="K36" i="1"/>
  <c r="I36" i="1"/>
  <c r="G36" i="1"/>
  <c r="E36" i="1"/>
  <c r="C36" i="1"/>
  <c r="B38" i="6"/>
  <c r="B38" i="5"/>
  <c r="B38" i="4"/>
  <c r="B38" i="3"/>
  <c r="B38" i="2"/>
  <c r="N229" i="10"/>
  <c r="N227" i="10" s="1"/>
  <c r="N225" i="10" s="1"/>
  <c r="N223" i="10" s="1"/>
  <c r="N221" i="10" s="1"/>
  <c r="N219" i="10" s="1"/>
  <c r="N217" i="10" s="1"/>
  <c r="N215" i="10" s="1"/>
  <c r="N213" i="10" s="1"/>
  <c r="N211" i="10" s="1"/>
  <c r="N209" i="10" s="1"/>
  <c r="N207" i="10" s="1"/>
  <c r="N205" i="10" s="1"/>
  <c r="N203" i="10" s="1"/>
  <c r="N201" i="10" s="1"/>
  <c r="N199" i="10" s="1"/>
  <c r="N197" i="10" s="1"/>
  <c r="N195" i="10" s="1"/>
  <c r="N193" i="10" s="1"/>
  <c r="N191" i="10" s="1"/>
  <c r="N189" i="10" s="1"/>
  <c r="N187" i="10" s="1"/>
  <c r="N185" i="10" s="1"/>
  <c r="N183" i="10" s="1"/>
  <c r="N181" i="10" s="1"/>
  <c r="N179" i="10" s="1"/>
  <c r="N177" i="10" s="1"/>
  <c r="N175" i="10" s="1"/>
  <c r="N173" i="10" s="1"/>
  <c r="N171" i="10" s="1"/>
  <c r="N169" i="10" s="1"/>
  <c r="N167" i="10" s="1"/>
  <c r="N165" i="10" s="1"/>
  <c r="N163" i="10" s="1"/>
  <c r="N161" i="10" s="1"/>
  <c r="N159" i="10" s="1"/>
  <c r="N157" i="10" s="1"/>
  <c r="N155" i="10" s="1"/>
  <c r="N153" i="10" s="1"/>
  <c r="N151" i="10" s="1"/>
  <c r="N149" i="10" s="1"/>
  <c r="N147" i="10" s="1"/>
  <c r="N145" i="10" s="1"/>
  <c r="N143" i="10" s="1"/>
  <c r="N141" i="10" s="1"/>
  <c r="N139" i="10" s="1"/>
  <c r="N137" i="10" s="1"/>
  <c r="N135" i="10" s="1"/>
  <c r="N133" i="10" s="1"/>
  <c r="N131" i="10" s="1"/>
  <c r="N129" i="10" s="1"/>
  <c r="N127" i="10" s="1"/>
  <c r="N125" i="10" s="1"/>
  <c r="N123" i="10" s="1"/>
  <c r="N121" i="10" s="1"/>
  <c r="N119" i="10" s="1"/>
  <c r="N117" i="10" s="1"/>
  <c r="N115" i="10" s="1"/>
  <c r="N113" i="10" s="1"/>
  <c r="N111" i="10" s="1"/>
  <c r="N109" i="10" s="1"/>
  <c r="N107" i="10" s="1"/>
  <c r="N105" i="10" s="1"/>
  <c r="N103" i="10" s="1"/>
  <c r="N101" i="10" s="1"/>
  <c r="N99" i="10" s="1"/>
  <c r="N97" i="10" s="1"/>
  <c r="N95" i="10" s="1"/>
  <c r="N93" i="10" s="1"/>
  <c r="N91" i="10" s="1"/>
  <c r="N89" i="10" s="1"/>
  <c r="N87" i="10" s="1"/>
  <c r="N85" i="10" s="1"/>
  <c r="N83" i="10" s="1"/>
  <c r="N81" i="10" s="1"/>
  <c r="N79" i="10" s="1"/>
  <c r="N77" i="10" s="1"/>
  <c r="N75" i="10" s="1"/>
  <c r="N73" i="10" s="1"/>
  <c r="N71" i="10" s="1"/>
  <c r="N69" i="10" s="1"/>
  <c r="N67" i="10" s="1"/>
  <c r="N65" i="10" s="1"/>
  <c r="N63" i="10" s="1"/>
  <c r="N61" i="10" s="1"/>
  <c r="N59" i="10" s="1"/>
  <c r="N57" i="10" s="1"/>
  <c r="N55" i="10" s="1"/>
  <c r="N53" i="10" s="1"/>
  <c r="N51" i="10" s="1"/>
  <c r="N49" i="10" s="1"/>
  <c r="N47" i="10" s="1"/>
  <c r="N45" i="10" s="1"/>
  <c r="N43" i="10" s="1"/>
  <c r="N41" i="10" s="1"/>
  <c r="N39" i="10" s="1"/>
  <c r="N37" i="10" s="1"/>
  <c r="N35" i="10" s="1"/>
  <c r="N33" i="10" s="1"/>
  <c r="N31" i="10" s="1"/>
  <c r="N29" i="10" s="1"/>
  <c r="N27" i="10" s="1"/>
  <c r="N25" i="10" s="1"/>
  <c r="N23" i="10" s="1"/>
  <c r="N21" i="10" s="1"/>
  <c r="N19" i="10" s="1"/>
  <c r="N17" i="10" s="1"/>
  <c r="N15" i="10" s="1"/>
  <c r="N13" i="10" s="1"/>
  <c r="N11" i="10" s="1"/>
  <c r="N9" i="10" s="1"/>
  <c r="B44" i="10"/>
  <c r="B46" i="10" s="1"/>
  <c r="B48" i="10" s="1"/>
  <c r="B50" i="10" s="1"/>
  <c r="B52" i="10" s="1"/>
  <c r="B54" i="10" s="1"/>
  <c r="B56" i="10" s="1"/>
  <c r="B58" i="10" s="1"/>
  <c r="B60" i="10" s="1"/>
  <c r="B62" i="10" s="1"/>
  <c r="B64" i="10" s="1"/>
  <c r="B66" i="10" s="1"/>
  <c r="B68" i="10" s="1"/>
  <c r="B70" i="10" s="1"/>
  <c r="B72" i="10" s="1"/>
  <c r="B74" i="10" s="1"/>
  <c r="B76" i="10" s="1"/>
  <c r="B78" i="10" s="1"/>
  <c r="B80" i="10" s="1"/>
  <c r="B82" i="10" s="1"/>
  <c r="B84" i="10" s="1"/>
  <c r="B86" i="10" s="1"/>
  <c r="B88" i="10" s="1"/>
  <c r="B90" i="10" s="1"/>
  <c r="B92" i="10" s="1"/>
  <c r="B94" i="10" s="1"/>
  <c r="B96" i="10" s="1"/>
  <c r="B98" i="10" s="1"/>
  <c r="B100" i="10" s="1"/>
  <c r="B102" i="10" s="1"/>
  <c r="B104" i="10" s="1"/>
  <c r="B106" i="10" s="1"/>
  <c r="B108" i="10" s="1"/>
  <c r="B110" i="10" s="1"/>
  <c r="B112" i="10" s="1"/>
  <c r="B114" i="10" s="1"/>
  <c r="B116" i="10" s="1"/>
  <c r="B118" i="10" s="1"/>
  <c r="B120" i="10" s="1"/>
  <c r="B122" i="10" s="1"/>
  <c r="B124" i="10" s="1"/>
  <c r="B126" i="10" s="1"/>
  <c r="B128" i="10" s="1"/>
  <c r="B130" i="10" s="1"/>
  <c r="B132" i="10" s="1"/>
  <c r="B134" i="10" s="1"/>
  <c r="B136" i="10" s="1"/>
  <c r="B138" i="10" s="1"/>
  <c r="B140" i="10" s="1"/>
  <c r="B142" i="10" s="1"/>
  <c r="B144" i="10" s="1"/>
  <c r="B146" i="10" s="1"/>
  <c r="B148" i="10" s="1"/>
  <c r="B150" i="10" s="1"/>
  <c r="B152" i="10" s="1"/>
  <c r="B154" i="10" s="1"/>
  <c r="B156" i="10" s="1"/>
  <c r="B158" i="10" s="1"/>
  <c r="B160" i="10" s="1"/>
  <c r="B162" i="10" s="1"/>
  <c r="B164" i="10" s="1"/>
  <c r="B166" i="10" s="1"/>
  <c r="B168" i="10" s="1"/>
  <c r="B170" i="10" s="1"/>
  <c r="B172" i="10" s="1"/>
  <c r="B174" i="10" s="1"/>
  <c r="B176" i="10" s="1"/>
  <c r="B178" i="10" s="1"/>
  <c r="B180" i="10" s="1"/>
  <c r="B182" i="10" s="1"/>
  <c r="B184" i="10" s="1"/>
  <c r="B186" i="10" s="1"/>
  <c r="B188" i="10" s="1"/>
  <c r="B190" i="10" s="1"/>
  <c r="B192" i="10" s="1"/>
  <c r="B194" i="10" s="1"/>
  <c r="B196" i="10" s="1"/>
  <c r="B198" i="10" s="1"/>
  <c r="B200" i="10" s="1"/>
  <c r="B202" i="10" s="1"/>
  <c r="B204" i="10" s="1"/>
  <c r="B206" i="10" s="1"/>
  <c r="B208" i="10" s="1"/>
  <c r="B210" i="10" s="1"/>
  <c r="B212" i="10" s="1"/>
  <c r="B214" i="10" s="1"/>
  <c r="B216" i="10" s="1"/>
  <c r="B218" i="10" s="1"/>
  <c r="B220" i="10" s="1"/>
  <c r="B222" i="10" s="1"/>
  <c r="B224" i="10" s="1"/>
  <c r="B226" i="10" s="1"/>
  <c r="B228" i="10" s="1"/>
  <c r="B16" i="10"/>
  <c r="B18" i="10" s="1"/>
  <c r="B20" i="10" s="1"/>
  <c r="B22" i="10" s="1"/>
  <c r="B24" i="10" s="1"/>
  <c r="B26" i="10" s="1"/>
  <c r="B28" i="10" s="1"/>
  <c r="B30" i="10" s="1"/>
  <c r="B32" i="10" s="1"/>
  <c r="B34" i="10" s="1"/>
  <c r="B36" i="10" s="1"/>
  <c r="B38" i="10" s="1"/>
  <c r="N10" i="10"/>
  <c r="N12" i="10" s="1"/>
  <c r="N14" i="10" s="1"/>
  <c r="N16" i="10" s="1"/>
  <c r="N18" i="10" s="1"/>
  <c r="N20" i="10" s="1"/>
  <c r="N22" i="10" s="1"/>
  <c r="N24" i="10" s="1"/>
  <c r="N26" i="10" s="1"/>
  <c r="N28" i="10" s="1"/>
  <c r="N30" i="10" s="1"/>
  <c r="N32" i="10" s="1"/>
  <c r="N34" i="10" s="1"/>
  <c r="N36" i="10" s="1"/>
  <c r="N38" i="10" s="1"/>
  <c r="N40" i="10" s="1"/>
  <c r="N42" i="10" s="1"/>
  <c r="N44" i="10" s="1"/>
  <c r="N46" i="10" s="1"/>
  <c r="N48" i="10" s="1"/>
  <c r="N50" i="10" s="1"/>
  <c r="N52" i="10" s="1"/>
  <c r="N54" i="10" s="1"/>
  <c r="N56" i="10" s="1"/>
  <c r="N58" i="10" s="1"/>
  <c r="N60" i="10" s="1"/>
  <c r="N62" i="10" s="1"/>
  <c r="N64" i="10" s="1"/>
  <c r="N66" i="10" s="1"/>
  <c r="N68" i="10" s="1"/>
  <c r="N70" i="10" s="1"/>
  <c r="N72" i="10" s="1"/>
  <c r="N74" i="10" s="1"/>
  <c r="N76" i="10" s="1"/>
  <c r="N78" i="10" s="1"/>
  <c r="N80" i="10" s="1"/>
  <c r="N82" i="10" s="1"/>
  <c r="N84" i="10" s="1"/>
  <c r="N86" i="10" s="1"/>
  <c r="N88" i="10" s="1"/>
  <c r="N90" i="10" s="1"/>
  <c r="N92" i="10" s="1"/>
  <c r="N94" i="10" s="1"/>
  <c r="N96" i="10" s="1"/>
  <c r="N98" i="10" s="1"/>
  <c r="N100" i="10" s="1"/>
  <c r="N102" i="10" s="1"/>
  <c r="N104" i="10" s="1"/>
  <c r="N106" i="10" s="1"/>
  <c r="N108" i="10" s="1"/>
  <c r="N110" i="10" s="1"/>
  <c r="N112" i="10" s="1"/>
  <c r="N114" i="10" s="1"/>
  <c r="N116" i="10" s="1"/>
  <c r="N118" i="10" s="1"/>
  <c r="N120" i="10" s="1"/>
  <c r="N122" i="10" s="1"/>
  <c r="N124" i="10" s="1"/>
  <c r="N126" i="10" s="1"/>
  <c r="N128" i="10" s="1"/>
  <c r="N130" i="10" s="1"/>
  <c r="N132" i="10" s="1"/>
  <c r="N134" i="10" s="1"/>
  <c r="N136" i="10" s="1"/>
  <c r="N138" i="10" s="1"/>
  <c r="N140" i="10" s="1"/>
  <c r="N142" i="10" s="1"/>
  <c r="N144" i="10" s="1"/>
  <c r="N146" i="10" s="1"/>
  <c r="N148" i="10" s="1"/>
  <c r="N150" i="10" s="1"/>
  <c r="N152" i="10" s="1"/>
  <c r="N154" i="10" s="1"/>
  <c r="N156" i="10" s="1"/>
  <c r="N158" i="10" s="1"/>
  <c r="N160" i="10" s="1"/>
  <c r="N162" i="10" s="1"/>
  <c r="N164" i="10" s="1"/>
  <c r="N166" i="10" s="1"/>
  <c r="N168" i="10" s="1"/>
  <c r="N170" i="10" s="1"/>
  <c r="N172" i="10" s="1"/>
  <c r="N174" i="10" s="1"/>
  <c r="N176" i="10" s="1"/>
  <c r="N178" i="10" s="1"/>
  <c r="N180" i="10" s="1"/>
  <c r="N182" i="10" s="1"/>
  <c r="N184" i="10" s="1"/>
  <c r="N186" i="10" s="1"/>
  <c r="N188" i="10" s="1"/>
  <c r="N190" i="10" s="1"/>
  <c r="N192" i="10" s="1"/>
  <c r="N194" i="10" s="1"/>
  <c r="N196" i="10" s="1"/>
  <c r="N198" i="10" s="1"/>
  <c r="N200" i="10" s="1"/>
  <c r="N202" i="10" s="1"/>
  <c r="N204" i="10" s="1"/>
  <c r="N206" i="10" s="1"/>
  <c r="N208" i="10" s="1"/>
  <c r="N210" i="10" s="1"/>
  <c r="N212" i="10" s="1"/>
  <c r="N214" i="10" s="1"/>
  <c r="N216" i="10" s="1"/>
  <c r="N218" i="10" s="1"/>
  <c r="N220" i="10" s="1"/>
  <c r="N222" i="10" s="1"/>
  <c r="N224" i="10" s="1"/>
  <c r="N226" i="10" s="1"/>
  <c r="N228" i="10" s="1"/>
  <c r="N230" i="10" s="1"/>
  <c r="AT8" i="2"/>
  <c r="AR8" i="2"/>
  <c r="AP8" i="2"/>
  <c r="AN8" i="2"/>
  <c r="AL8" i="2"/>
  <c r="AJ8" i="2"/>
  <c r="AH8" i="2"/>
  <c r="AF8" i="2"/>
  <c r="AD8" i="2"/>
  <c r="AB8" i="2"/>
  <c r="Z8" i="2"/>
  <c r="X8" i="2"/>
  <c r="V8" i="2"/>
  <c r="T8" i="2"/>
  <c r="R8" i="2"/>
  <c r="P8" i="2"/>
  <c r="N8" i="2"/>
  <c r="L8" i="2"/>
  <c r="J8" i="2"/>
  <c r="H8" i="2"/>
  <c r="F8" i="2"/>
  <c r="D8" i="2"/>
  <c r="B8" i="2"/>
  <c r="B38" i="1" l="1"/>
  <c r="AF8" i="6"/>
  <c r="AD8" i="6"/>
  <c r="AB8" i="6"/>
  <c r="Z8" i="6"/>
  <c r="X8" i="6"/>
  <c r="V8" i="6"/>
  <c r="T8" i="6"/>
  <c r="R8" i="6"/>
  <c r="P8" i="6"/>
  <c r="N8" i="6"/>
  <c r="L8" i="6"/>
  <c r="J8" i="6"/>
  <c r="H8" i="6"/>
  <c r="F8" i="6"/>
  <c r="D8" i="6"/>
  <c r="B8" i="6"/>
  <c r="AB8" i="5"/>
  <c r="Z8" i="5"/>
  <c r="X8" i="5"/>
  <c r="V8" i="5"/>
  <c r="T8" i="5"/>
  <c r="R8" i="5"/>
  <c r="P8" i="5"/>
  <c r="N8" i="5"/>
  <c r="L8" i="5"/>
  <c r="J8" i="5"/>
  <c r="H8" i="5"/>
  <c r="F8" i="5"/>
  <c r="D8" i="5"/>
  <c r="B8" i="5"/>
  <c r="AN8" i="4"/>
  <c r="AL8" i="4"/>
  <c r="AJ8" i="4"/>
  <c r="AH8" i="4"/>
  <c r="AF8" i="4"/>
  <c r="AD8" i="4"/>
  <c r="AB8" i="4"/>
  <c r="Z8" i="4"/>
  <c r="X8" i="4"/>
  <c r="V8" i="4"/>
  <c r="T8" i="4"/>
  <c r="R8" i="4"/>
  <c r="P8" i="4"/>
  <c r="N8" i="4"/>
  <c r="L8" i="4"/>
  <c r="J8" i="4"/>
  <c r="H8" i="4"/>
  <c r="F8" i="4"/>
  <c r="D8" i="4"/>
  <c r="B8" i="4"/>
  <c r="AL8" i="3"/>
  <c r="AJ8" i="3"/>
  <c r="AH8" i="3"/>
  <c r="AF8" i="3"/>
  <c r="AD8" i="3"/>
  <c r="AB8" i="3"/>
  <c r="Z8" i="3"/>
  <c r="X8" i="3"/>
  <c r="V8" i="3"/>
  <c r="T8" i="3"/>
  <c r="R8" i="3"/>
  <c r="P8" i="3"/>
  <c r="N8" i="3"/>
  <c r="L8" i="3"/>
  <c r="J8" i="3"/>
  <c r="H8" i="3"/>
  <c r="F8" i="3"/>
  <c r="D8" i="3"/>
  <c r="B8" i="3"/>
  <c r="AP8" i="1"/>
  <c r="AN8" i="1"/>
  <c r="AL8" i="1"/>
  <c r="AJ8" i="1"/>
  <c r="AH8" i="1"/>
  <c r="AF8" i="1"/>
  <c r="AD8" i="1"/>
  <c r="AB8" i="1"/>
  <c r="Z8" i="1"/>
  <c r="X8" i="1"/>
  <c r="V8" i="1"/>
  <c r="T8" i="1"/>
  <c r="R8" i="1"/>
  <c r="P8" i="1"/>
  <c r="N8" i="1"/>
  <c r="L8" i="1"/>
  <c r="J8" i="1"/>
  <c r="H8" i="1"/>
  <c r="F8" i="1"/>
  <c r="D8" i="1"/>
  <c r="B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 GOMEZ ZUECO</author>
  </authors>
  <commentList>
    <comment ref="B47" authorId="0" shapeId="0" xr:uid="{25B76C49-A0F4-4F07-A62A-8EBA73D1002D}">
      <text>
        <r>
          <rPr>
            <b/>
            <sz val="9"/>
            <color indexed="81"/>
            <rFont val="Tahoma"/>
          </rPr>
          <t>ALBERTO GOMEZ ZUECO:</t>
        </r>
        <r>
          <rPr>
            <sz val="9"/>
            <color indexed="81"/>
            <rFont val="Tahoma"/>
          </rPr>
          <t xml:space="preserve">
Source: LM252 - Amarre OPGW.pdf, uploaded by user (ENEL - UNIFICAZIONE LM252, Luglio 1994, Ed.4)</t>
        </r>
      </text>
    </comment>
    <comment ref="D47" authorId="0" shapeId="0" xr:uid="{840309A4-6790-4CDF-88FB-ED4C3C404F0B}">
      <text>
        <r>
          <rPr>
            <b/>
            <sz val="9"/>
            <color indexed="81"/>
            <rFont val="Tahoma"/>
          </rPr>
          <t>ALBERTO GOMEZ ZUECO:</t>
        </r>
        <r>
          <rPr>
            <sz val="9"/>
            <color indexed="81"/>
            <rFont val="Tahoma"/>
          </rPr>
          <t xml:space="preserve">
Source: LM252 - Amarre OPGW.pdf, uploaded by user (ENEL - UNIFICAZIONE LM252, Luglio 1994, Ed.4)</t>
        </r>
      </text>
    </comment>
    <comment ref="F47" authorId="0" shapeId="0" xr:uid="{EA129613-55AD-4344-8FBC-CB1CC409F403}">
      <text>
        <r>
          <rPr>
            <b/>
            <sz val="9"/>
            <color indexed="81"/>
            <rFont val="Tahoma"/>
          </rPr>
          <t>ALBERTO GOMEZ ZUECO:</t>
        </r>
        <r>
          <rPr>
            <sz val="9"/>
            <color indexed="81"/>
            <rFont val="Tahoma"/>
          </rPr>
          <t xml:space="preserve">
Source: LM252 - Amarre OPGW.pdf, uploaded by user (ENEL - UNIFICAZIONE LM252, Luglio 1994, Ed.4)</t>
        </r>
      </text>
    </comment>
    <comment ref="H47" authorId="0" shapeId="0" xr:uid="{04C9979D-883A-4902-A769-AB5F0431645C}">
      <text>
        <r>
          <rPr>
            <b/>
            <sz val="9"/>
            <color indexed="81"/>
            <rFont val="Tahoma"/>
          </rPr>
          <t>ALBERTO GOMEZ ZUECO:</t>
        </r>
        <r>
          <rPr>
            <sz val="9"/>
            <color indexed="81"/>
            <rFont val="Tahoma"/>
          </rPr>
          <t xml:space="preserve">
Source: LM252 - Amarre OPGW.pdf, uploaded by user (ENEL - UNIFICAZIONE LM252, Luglio 1994, Ed.4)</t>
        </r>
      </text>
    </comment>
    <comment ref="J47" authorId="0" shapeId="0" xr:uid="{2A79B2BB-9610-41FE-B1E1-DCCF2B9CF291}">
      <text>
        <r>
          <rPr>
            <b/>
            <sz val="9"/>
            <color indexed="81"/>
            <rFont val="Tahoma"/>
          </rPr>
          <t>ALBERTO GOMEZ ZUECO:</t>
        </r>
        <r>
          <rPr>
            <sz val="9"/>
            <color indexed="81"/>
            <rFont val="Tahoma"/>
          </rPr>
          <t xml:space="preserve">
Source: LM252 - Amarre OPGW.pdf, uploaded by user (ENEL - UNIFICAZIONE LM252, Luglio 1994, Ed.4)</t>
        </r>
      </text>
    </comment>
    <comment ref="L47" authorId="0" shapeId="0" xr:uid="{A0178525-CE63-4D76-8317-AC25D67921B3}">
      <text>
        <r>
          <rPr>
            <b/>
            <sz val="9"/>
            <color indexed="81"/>
            <rFont val="Tahoma"/>
          </rPr>
          <t>ALBERTO GOMEZ ZUECO:</t>
        </r>
        <r>
          <rPr>
            <sz val="9"/>
            <color indexed="81"/>
            <rFont val="Tahoma"/>
          </rPr>
          <t xml:space="preserve">
Source: LM252 - Amarre OPGW.pdf, uploaded by user (ENEL - UNIFICAZIONE LM252, Luglio 1994, Ed.4)</t>
        </r>
      </text>
    </comment>
    <comment ref="N47" authorId="0" shapeId="0" xr:uid="{E662E31F-5F8A-4988-86C9-2BB03AB669B5}">
      <text>
        <r>
          <rPr>
            <b/>
            <sz val="9"/>
            <color indexed="81"/>
            <rFont val="Tahoma"/>
          </rPr>
          <t>ALBERTO GOMEZ ZUECO:</t>
        </r>
        <r>
          <rPr>
            <sz val="9"/>
            <color indexed="81"/>
            <rFont val="Tahoma"/>
          </rPr>
          <t xml:space="preserve">
Source: LM252 - Amarre OPGW.pdf, uploaded by user (ENEL - UNIFICAZIONE LM252, Luglio 1994, Ed.4)</t>
        </r>
      </text>
    </comment>
    <comment ref="P47" authorId="0" shapeId="0" xr:uid="{FAFF17D0-A058-4B8F-8FD4-4B6B0CBF6C3C}">
      <text>
        <r>
          <rPr>
            <b/>
            <sz val="9"/>
            <color indexed="81"/>
            <rFont val="Tahoma"/>
          </rPr>
          <t>ALBERTO GOMEZ ZUECO:</t>
        </r>
        <r>
          <rPr>
            <sz val="9"/>
            <color indexed="81"/>
            <rFont val="Tahoma"/>
          </rPr>
          <t xml:space="preserve">
Source: LM252 - Amarre OPGW.pdf, uploaded by user (ENEL - UNIFICAZIONE LM252, Luglio 1994, Ed.4)</t>
        </r>
      </text>
    </comment>
    <comment ref="R47" authorId="0" shapeId="0" xr:uid="{AD78CFA4-CA4C-4388-B2B1-A273405AD296}">
      <text>
        <r>
          <rPr>
            <b/>
            <sz val="9"/>
            <color indexed="81"/>
            <rFont val="Tahoma"/>
          </rPr>
          <t>ALBERTO GOMEZ ZUECO:</t>
        </r>
        <r>
          <rPr>
            <sz val="9"/>
            <color indexed="81"/>
            <rFont val="Tahoma"/>
          </rPr>
          <t xml:space="preserve">
Source: LM252 - Amarre OPGW.pdf, uploaded by user (ENEL - UNIFICAZIONE LM252, Luglio 1994, Ed.4)</t>
        </r>
      </text>
    </comment>
    <comment ref="T47" authorId="0" shapeId="0" xr:uid="{3CBC23CA-C3C4-47C5-B585-2FAFA2E91CEC}">
      <text>
        <r>
          <rPr>
            <b/>
            <sz val="9"/>
            <color indexed="81"/>
            <rFont val="Tahoma"/>
          </rPr>
          <t>ALBERTO GOMEZ ZUECO:</t>
        </r>
        <r>
          <rPr>
            <sz val="9"/>
            <color indexed="81"/>
            <rFont val="Tahoma"/>
          </rPr>
          <t xml:space="preserve">
Source: LM252 - Amarre OPGW.pdf, uploaded by user (ENEL - UNIFICAZIONE LM252, Luglio 1994, Ed.4)</t>
        </r>
      </text>
    </comment>
    <comment ref="V47" authorId="0" shapeId="0" xr:uid="{FC11954D-584E-47A4-8E02-2814CA44466A}">
      <text>
        <r>
          <rPr>
            <b/>
            <sz val="9"/>
            <color indexed="81"/>
            <rFont val="Tahoma"/>
          </rPr>
          <t>ALBERTO GOMEZ ZUECO:</t>
        </r>
        <r>
          <rPr>
            <sz val="9"/>
            <color indexed="81"/>
            <rFont val="Tahoma"/>
          </rPr>
          <t xml:space="preserve">
Source: LM252 - Amarre OPGW.pdf, uploaded by user (ENEL - UNIFICAZIONE LM252, Luglio 1994, Ed.4)</t>
        </r>
      </text>
    </comment>
    <comment ref="X47" authorId="0" shapeId="0" xr:uid="{3F44F779-8E75-41A1-9D38-3BDA87D9C82F}">
      <text>
        <r>
          <rPr>
            <b/>
            <sz val="9"/>
            <color indexed="81"/>
            <rFont val="Tahoma"/>
          </rPr>
          <t>ALBERTO GOMEZ ZUECO:</t>
        </r>
        <r>
          <rPr>
            <sz val="9"/>
            <color indexed="81"/>
            <rFont val="Tahoma"/>
          </rPr>
          <t xml:space="preserve">
Source: LM252 - Amarre OPGW.pdf, uploaded by user (ENEL - UNIFICAZIONE LM252, Luglio 1994, Ed.4)</t>
        </r>
      </text>
    </comment>
    <comment ref="Z47" authorId="0" shapeId="0" xr:uid="{FF4B5E6C-9158-4DDD-976E-17FAA5FFF8B3}">
      <text>
        <r>
          <rPr>
            <b/>
            <sz val="9"/>
            <color indexed="81"/>
            <rFont val="Tahoma"/>
          </rPr>
          <t>ALBERTO GOMEZ ZUECO:</t>
        </r>
        <r>
          <rPr>
            <sz val="9"/>
            <color indexed="81"/>
            <rFont val="Tahoma"/>
          </rPr>
          <t xml:space="preserve">
Source: LM252 - Amarre OPGW.pdf, uploaded by user (ENEL - UNIFICAZIONE LM252, Luglio 1994, Ed.4)</t>
        </r>
      </text>
    </comment>
    <comment ref="AB47" authorId="0" shapeId="0" xr:uid="{EB843E13-6370-4F69-B340-DF4288EE0D29}">
      <text>
        <r>
          <rPr>
            <b/>
            <sz val="9"/>
            <color indexed="81"/>
            <rFont val="Tahoma"/>
          </rPr>
          <t>ALBERTO GOMEZ ZUECO:</t>
        </r>
        <r>
          <rPr>
            <sz val="9"/>
            <color indexed="81"/>
            <rFont val="Tahoma"/>
          </rPr>
          <t xml:space="preserve">
Source: LM252 - Amarre OPGW.pdf, uploaded by user (ENEL - UNIFICAZIONE LM252, Luglio 1994, Ed.4)</t>
        </r>
      </text>
    </comment>
    <comment ref="AD47" authorId="0" shapeId="0" xr:uid="{7B486430-55C5-4579-B50F-64851A949A97}">
      <text>
        <r>
          <rPr>
            <b/>
            <sz val="9"/>
            <color indexed="81"/>
            <rFont val="Tahoma"/>
          </rPr>
          <t>ALBERTO GOMEZ ZUECO:</t>
        </r>
        <r>
          <rPr>
            <sz val="9"/>
            <color indexed="81"/>
            <rFont val="Tahoma"/>
          </rPr>
          <t xml:space="preserve">
Source: LM252 - Amarre OPGW.pdf, uploaded by user (ENEL - UNIFICAZIONE LM252, Luglio 1994, Ed.4)</t>
        </r>
      </text>
    </comment>
    <comment ref="AF47" authorId="0" shapeId="0" xr:uid="{289E2942-0CD6-4F33-A98A-81CB926D3E57}">
      <text>
        <r>
          <rPr>
            <b/>
            <sz val="9"/>
            <color indexed="81"/>
            <rFont val="Tahoma"/>
          </rPr>
          <t>ALBERTO GOMEZ ZUECO:</t>
        </r>
        <r>
          <rPr>
            <sz val="9"/>
            <color indexed="81"/>
            <rFont val="Tahoma"/>
          </rPr>
          <t xml:space="preserve">
Source: LM252 - Amarre OPGW.pdf, uploaded by user (ENEL - UNIFICAZIONE LM252, Luglio 1994, Ed.4)</t>
        </r>
      </text>
    </comment>
    <comment ref="AH47" authorId="0" shapeId="0" xr:uid="{51C7942A-411E-4D74-B0DA-48BAD8FC457A}">
      <text>
        <r>
          <rPr>
            <b/>
            <sz val="9"/>
            <color indexed="81"/>
            <rFont val="Tahoma"/>
          </rPr>
          <t>ALBERTO GOMEZ ZUECO:</t>
        </r>
        <r>
          <rPr>
            <sz val="9"/>
            <color indexed="81"/>
            <rFont val="Tahoma"/>
          </rPr>
          <t xml:space="preserve">
Source: LM252 - Amarre OPGW.pdf, uploaded by user (ENEL - UNIFICAZIONE LM252, Luglio 1994, Ed.4)</t>
        </r>
      </text>
    </comment>
    <comment ref="AJ47" authorId="0" shapeId="0" xr:uid="{3129A426-D47B-41C4-90FE-3AFE46EA40E5}">
      <text>
        <r>
          <rPr>
            <b/>
            <sz val="9"/>
            <color indexed="81"/>
            <rFont val="Tahoma"/>
          </rPr>
          <t>ALBERTO GOMEZ ZUECO:</t>
        </r>
        <r>
          <rPr>
            <sz val="9"/>
            <color indexed="81"/>
            <rFont val="Tahoma"/>
          </rPr>
          <t xml:space="preserve">
Source: LM252 - Amarre OPGW.pdf, uploaded by user (ENEL - UNIFICAZIONE LM252, Luglio 1994, Ed.4)</t>
        </r>
      </text>
    </comment>
    <comment ref="AL47" authorId="0" shapeId="0" xr:uid="{4A6C16FC-CFD7-4C0B-AF81-DC317D297195}">
      <text>
        <r>
          <rPr>
            <b/>
            <sz val="9"/>
            <color indexed="81"/>
            <rFont val="Tahoma"/>
          </rPr>
          <t>ALBERTO GOMEZ ZUECO:</t>
        </r>
        <r>
          <rPr>
            <sz val="9"/>
            <color indexed="81"/>
            <rFont val="Tahoma"/>
          </rPr>
          <t xml:space="preserve">
Source: LM252 - Amarre OPGW.pdf, uploaded by user (ENEL - UNIFICAZIONE LM252, Luglio 1994, Ed.4)</t>
        </r>
      </text>
    </comment>
    <comment ref="AN47" authorId="0" shapeId="0" xr:uid="{AB132CD0-BDA0-4559-A31C-5B2D3C2E8ACB}">
      <text>
        <r>
          <rPr>
            <b/>
            <sz val="9"/>
            <color indexed="81"/>
            <rFont val="Tahoma"/>
          </rPr>
          <t>ALBERTO GOMEZ ZUECO:</t>
        </r>
        <r>
          <rPr>
            <sz val="9"/>
            <color indexed="81"/>
            <rFont val="Tahoma"/>
          </rPr>
          <t xml:space="preserve">
Source: LM252 - Amarre OPGW.pdf, uploaded by user (ENEL - UNIFICAZIONE LM252, Luglio 1994, Ed.4)</t>
        </r>
      </text>
    </comment>
    <comment ref="AP47" authorId="0" shapeId="0" xr:uid="{4899760E-EF3F-4F50-B4E9-39FC243047E3}">
      <text>
        <r>
          <rPr>
            <b/>
            <sz val="9"/>
            <color indexed="81"/>
            <rFont val="Tahoma"/>
          </rPr>
          <t>ALBERTO GOMEZ ZUECO:</t>
        </r>
        <r>
          <rPr>
            <sz val="9"/>
            <color indexed="81"/>
            <rFont val="Tahoma"/>
          </rPr>
          <t xml:space="preserve">
Source: LM252 - Amarre OPGW.pdf, uploaded by user (ENEL - UNIFICAZIONE LM252, Luglio 1994, Ed.4)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 GOMEZ ZUECO</author>
  </authors>
  <commentList>
    <comment ref="B47" authorId="0" shapeId="0" xr:uid="{FE4D4280-D682-4768-91AC-5FB2C4712267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D47" authorId="0" shapeId="0" xr:uid="{AEF7FAC9-27B1-4841-AC22-92D0F80F5FE8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F47" authorId="0" shapeId="0" xr:uid="{F53E8C8C-4F8B-4CEF-9204-45F4FF32C1CB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H47" authorId="0" shapeId="0" xr:uid="{9CE34CB8-C7E7-48D6-83AC-2C667EBA3B40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J47" authorId="0" shapeId="0" xr:uid="{BFA5D925-F5B9-41AF-9C01-F4C81EE87DAC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L47" authorId="0" shapeId="0" xr:uid="{B6F8C7EA-E0D9-4EE0-9ECA-23EA3CAA41E5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N47" authorId="0" shapeId="0" xr:uid="{DA8178D9-D06E-415D-82AA-BB3424C36BFD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P47" authorId="0" shapeId="0" xr:uid="{2DE6BFD2-7D12-46CA-9BAD-F7CF74A2CA40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R47" authorId="0" shapeId="0" xr:uid="{A64A2512-38B8-4AAA-9AE3-D259C33DBA4C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T47" authorId="0" shapeId="0" xr:uid="{E5B49E00-2372-4D4E-845D-4B6C0A2B94CE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V47" authorId="0" shapeId="0" xr:uid="{6AE47168-BD0E-4AB6-90F5-9237C23EF6BA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X47" authorId="0" shapeId="0" xr:uid="{B0D64DCA-FD90-4FA0-B69E-3F6830B1B468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Z47" authorId="0" shapeId="0" xr:uid="{6ADD4EFB-02D5-4980-8AE6-1A1146D05912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AB47" authorId="0" shapeId="0" xr:uid="{7C2F3115-DDD5-4115-AAA2-C299F3BD2E91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AD47" authorId="0" shapeId="0" xr:uid="{F6233D45-A12D-4CAB-B714-4257245FFE18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AF47" authorId="0" shapeId="0" xr:uid="{D546437D-2BCB-4BD9-A25D-D1CC707077B2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AH47" authorId="0" shapeId="0" xr:uid="{07F5AE0E-8164-4120-87E3-934C9922C6B9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AJ47" authorId="0" shapeId="0" xr:uid="{BDB5E5F9-BD53-4EBA-9BC9-201D9F978E9A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AL47" authorId="0" shapeId="0" xr:uid="{9DD91775-CBB6-4B36-A058-30A79D391BBF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AN47" authorId="0" shapeId="0" xr:uid="{7EB9CC12-1F07-4014-BDF9-87744EE041A5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AP47" authorId="0" shapeId="0" xr:uid="{AEE2BF27-7F71-40E6-A159-FBCC9FEF9F52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AR47" authorId="0" shapeId="0" xr:uid="{08AB4BE3-061D-4C83-A5BD-054EEF08FA2C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AT47" authorId="0" shapeId="0" xr:uid="{60B931FA-DDB4-4E0D-97E4-5C1977E35AA4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B53" authorId="0" shapeId="0" xr:uid="{9F876618-A3B6-4DF2-948E-3ADE3C1342EE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D53" authorId="0" shapeId="0" xr:uid="{58EE4C0E-78B7-4643-8FAD-8CCF7CBAF1D5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F53" authorId="0" shapeId="0" xr:uid="{46AE97EB-DC1A-427C-B578-F386BD7FED8B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H53" authorId="0" shapeId="0" xr:uid="{761C2B10-AFBA-430B-AA54-00D53F0CCE63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J53" authorId="0" shapeId="0" xr:uid="{616F09D6-47FE-4FB4-BE7B-3EEF3162129F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L53" authorId="0" shapeId="0" xr:uid="{9EFE3601-5ACC-482E-9725-8209C8806171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N53" authorId="0" shapeId="0" xr:uid="{F46965B6-F637-4A0C-8353-8EA6F03A55B2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P53" authorId="0" shapeId="0" xr:uid="{C948F55B-FD59-44D4-AC49-6FBBC931A9E0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R53" authorId="0" shapeId="0" xr:uid="{01126014-DBDC-4A1D-95E6-5C9C861E5DB9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T53" authorId="0" shapeId="0" xr:uid="{F8135322-BD62-4BD2-8A68-E621C27E862B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V53" authorId="0" shapeId="0" xr:uid="{F52FE4FC-2D7A-4877-A565-6512BCB75C02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X53" authorId="0" shapeId="0" xr:uid="{ED87F643-0E68-449D-B7EF-05CEF82C3F50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Z53" authorId="0" shapeId="0" xr:uid="{6183A5ED-DD59-4692-91A3-A3F2CCF9BF5A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AB53" authorId="0" shapeId="0" xr:uid="{64213EF4-7DD5-4563-83E4-FA575992D390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AD53" authorId="0" shapeId="0" xr:uid="{39486A5A-8678-4B48-B8F3-65660F501B6F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AF53" authorId="0" shapeId="0" xr:uid="{51114A26-A73E-4C17-B62A-2D2EF8CC0EDE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AH53" authorId="0" shapeId="0" xr:uid="{BB3AB501-45B8-439E-BFE5-E499317F6931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AJ53" authorId="0" shapeId="0" xr:uid="{B9941B07-C4A9-442C-A40D-B0FA1B78B0C3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AL53" authorId="0" shapeId="0" xr:uid="{FC2C9383-057F-4E60-BA13-4BAD38DB515C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AN53" authorId="0" shapeId="0" xr:uid="{77FE5256-D938-46CA-8D52-6C4F4177B7EF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AP53" authorId="0" shapeId="0" xr:uid="{1E9498F8-C871-4451-A8BC-A1012B820275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AR53" authorId="0" shapeId="0" xr:uid="{0E58136D-DE81-4736-BD2F-B0FE6AFF1CD6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AT53" authorId="0" shapeId="0" xr:uid="{A74E8C49-AFE8-4B3E-9601-11502D35FA48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 GOMEZ ZUECO</author>
  </authors>
  <commentList>
    <comment ref="B47" authorId="0" shapeId="0" xr:uid="{5CE2B52F-AAC6-4DF7-B9FC-E25E02BF5859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D47" authorId="0" shapeId="0" xr:uid="{06C849BE-B3E1-4848-8AD3-74D27A8FF4E5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F47" authorId="0" shapeId="0" xr:uid="{07E43CC6-98F0-4FEB-8EF3-BE7AEDEABF1B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H47" authorId="0" shapeId="0" xr:uid="{9A605A1F-D2DD-47CB-A0F4-DA0BDE750B41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J47" authorId="0" shapeId="0" xr:uid="{7D520F28-88C0-44A7-9874-9BB52D72925E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L47" authorId="0" shapeId="0" xr:uid="{B2FABB25-69B5-4CF7-9F27-5BA132233A8E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N47" authorId="0" shapeId="0" xr:uid="{352BED72-03AA-472F-97EB-21EBA5E1F1E8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P47" authorId="0" shapeId="0" xr:uid="{53366587-12E7-4F57-90F5-3963B4642F64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R47" authorId="0" shapeId="0" xr:uid="{3E907ACF-4FEA-4EC6-BC88-9740C1123A0F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T47" authorId="0" shapeId="0" xr:uid="{FFD63831-9326-432C-BDF5-D37B85A7D9B3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V47" authorId="0" shapeId="0" xr:uid="{50E0901C-AE34-4BE3-8054-90781C340A8F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X47" authorId="0" shapeId="0" xr:uid="{E186D21C-317F-491D-B3AE-EF9A7C6F29CD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Z47" authorId="0" shapeId="0" xr:uid="{B15FD7DC-0B30-4819-BAC1-B21D0F1569F0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AB47" authorId="0" shapeId="0" xr:uid="{E6A09FAE-9F42-4F08-A750-812F48D57F64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AD47" authorId="0" shapeId="0" xr:uid="{8237FC40-672D-4886-BC35-242969691FAA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AF47" authorId="0" shapeId="0" xr:uid="{F37652C9-222A-49CC-BC1A-E1674C73AB18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AH47" authorId="0" shapeId="0" xr:uid="{69FA3148-4610-488C-B295-12D46C05153E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AJ47" authorId="0" shapeId="0" xr:uid="{C64E021F-7812-4A83-A3D8-DD2739043AFC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AL47" authorId="0" shapeId="0" xr:uid="{8E082BBC-3E9D-43CE-8ED3-2F1C251BF14F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D53" authorId="0" shapeId="0" xr:uid="{1CC9A6BE-BB9D-4134-BFAC-BB5A053805B8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F53" authorId="0" shapeId="0" xr:uid="{609D5B96-FDBD-4ED2-941C-CE6100AD4651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H53" authorId="0" shapeId="0" xr:uid="{64108916-D9C2-427C-965A-B5FF5AE4ADF9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J53" authorId="0" shapeId="0" xr:uid="{8BF81BB8-2FFD-4A0D-97D4-DB6A1207A979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L53" authorId="0" shapeId="0" xr:uid="{8D0DDDE4-A6AA-41AF-80D5-B6BD17EEA1B8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N53" authorId="0" shapeId="0" xr:uid="{DBBC7692-BFB2-4106-AF2F-889BD56D81A4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P53" authorId="0" shapeId="0" xr:uid="{52F903EA-C2AA-485D-BFE5-0B0BC145B26D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R53" authorId="0" shapeId="0" xr:uid="{0040976B-7728-4567-803D-83DC9C97FF8E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T53" authorId="0" shapeId="0" xr:uid="{F637C70E-19BA-4A82-8E55-EB395B2F93CA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V53" authorId="0" shapeId="0" xr:uid="{F5C1D95F-0A6A-49B9-A948-730FF270F1B9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X53" authorId="0" shapeId="0" xr:uid="{4299E54B-0BB4-47A0-9A3D-21D6697C27F6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Z53" authorId="0" shapeId="0" xr:uid="{5C6F8BA2-CCC0-4E35-A498-B4FB4F0F63A4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AB53" authorId="0" shapeId="0" xr:uid="{FC40B727-CF87-40B2-9039-2032764911AB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AD53" authorId="0" shapeId="0" xr:uid="{8B4C3588-CEE8-4F2B-873F-6C4FBB1FD363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AF53" authorId="0" shapeId="0" xr:uid="{713FB9C0-C019-47DC-9E05-42BE68D09936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AH53" authorId="0" shapeId="0" xr:uid="{35951B2A-9537-49F5-A2CC-8AFCF86A3C62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AJ53" authorId="0" shapeId="0" xr:uid="{BBB86CB7-2EA1-486A-A30E-562C152918CB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AL53" authorId="0" shapeId="0" xr:uid="{692979EB-E833-4705-8756-2A18F61D630D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 GOMEZ ZUECO</author>
  </authors>
  <commentList>
    <comment ref="B47" authorId="0" shapeId="0" xr:uid="{D60AC2A8-D423-48FF-A7C7-C107A86E5208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D47" authorId="0" shapeId="0" xr:uid="{92AE09E1-0692-479A-BB18-1C304CAE4534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F47" authorId="0" shapeId="0" xr:uid="{0748D435-DBBB-4D81-97B2-163273DFC232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H47" authorId="0" shapeId="0" xr:uid="{09072453-B639-4CF0-A2BE-4CF337BA108A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J47" authorId="0" shapeId="0" xr:uid="{58FEFF04-98DA-4963-BE39-3F156D139D38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L47" authorId="0" shapeId="0" xr:uid="{EFE8A1E3-AC2D-41A6-90D8-B0F84006F64B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N47" authorId="0" shapeId="0" xr:uid="{DE0A9557-467D-4426-922D-EF309A0F327D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P47" authorId="0" shapeId="0" xr:uid="{63B03B8C-A07A-49B3-8354-E2EF9E1A29EE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R47" authorId="0" shapeId="0" xr:uid="{3198FBDE-14E6-4C04-B4A5-E287234E6DB7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T47" authorId="0" shapeId="0" xr:uid="{CCECCFAE-4206-4E4F-907A-867194E03410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V47" authorId="0" shapeId="0" xr:uid="{CBC5DFF7-BFE5-4D51-9F54-19A30F91CE14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X47" authorId="0" shapeId="0" xr:uid="{AF702DE4-9926-47F7-BA6E-E9C10C81805C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Z47" authorId="0" shapeId="0" xr:uid="{7994377A-6A55-4425-8DFA-F5B39848DFB6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AB47" authorId="0" shapeId="0" xr:uid="{2917D2A4-5045-45CE-AC4E-670A8479918E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AD47" authorId="0" shapeId="0" xr:uid="{75526D5E-081B-4C11-8451-41683BD8F313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AF47" authorId="0" shapeId="0" xr:uid="{2B2512C7-67B4-408E-A812-8A4AA802F1B4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AH47" authorId="0" shapeId="0" xr:uid="{6EE8FB8B-2926-43B8-90FA-49A1355F41AB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AJ47" authorId="0" shapeId="0" xr:uid="{00CA3A95-5A63-49A4-82B5-F988C1EBC3B1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AL47" authorId="0" shapeId="0" xr:uid="{6F7BE546-A7AC-4AD3-9FA1-74F5797A8DDF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AN47" authorId="0" shapeId="0" xr:uid="{97F33317-A18E-4CE4-B863-2E5909D41E27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 GOMEZ ZUECO</author>
  </authors>
  <commentList>
    <comment ref="B47" authorId="0" shapeId="0" xr:uid="{795EBE3B-BEA5-47D7-BE5D-A76FC4AE27CE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D47" authorId="0" shapeId="0" xr:uid="{9B03F3C1-2AEE-4458-BD6B-4E296C16A574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F47" authorId="0" shapeId="0" xr:uid="{5A85F5DA-966E-4E5C-B9D9-9C64FC688E79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H47" authorId="0" shapeId="0" xr:uid="{DD17370A-08B6-44C9-AC6E-AED26E105DA9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J47" authorId="0" shapeId="0" xr:uid="{CB777F49-7D90-4416-BE9A-400EADD4DA28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L47" authorId="0" shapeId="0" xr:uid="{2E15E8A8-7EA7-4CAA-9E52-3ABDF7A457ED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N47" authorId="0" shapeId="0" xr:uid="{1DCBC7AA-61E3-4D04-9138-87AE2E7CA0B7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P47" authorId="0" shapeId="0" xr:uid="{1A358100-F0EB-4572-95CA-B4AE29F1A5E9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T47" authorId="0" shapeId="0" xr:uid="{90651351-5C79-493A-8860-C91C77BCEB79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Z47" authorId="0" shapeId="0" xr:uid="{E0E717E3-04AC-4644-8670-BF0EACDB4F4A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AB47" authorId="0" shapeId="0" xr:uid="{9ED559FA-DD7E-4592-9387-AEE2B8529242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 GOMEZ ZUECO</author>
  </authors>
  <commentList>
    <comment ref="B47" authorId="0" shapeId="0" xr:uid="{4565923A-3F9F-4EF6-BC3D-54C6C3C67C93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D47" authorId="0" shapeId="0" xr:uid="{8CE6B230-62C5-4C0C-B048-7B84B2985B07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H47" authorId="0" shapeId="0" xr:uid="{164B286E-96A2-4E10-AC83-8D65C8D048C5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J47" authorId="0" shapeId="0" xr:uid="{0CBC08F1-E251-48E7-BA00-FB55FB1E1A23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L47" authorId="0" shapeId="0" xr:uid="{94AD32BD-6F25-4ADF-9AF8-B8C6BA32DF76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T47" authorId="0" shapeId="0" xr:uid="{62CCA847-2723-45F5-B731-CB0DEC6C514F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V47" authorId="0" shapeId="0" xr:uid="{BC81C12E-7205-4A68-B9B0-B43537638FF3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X47" authorId="0" shapeId="0" xr:uid="{5AEC083A-3187-459E-BB74-13302D306225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Z47" authorId="0" shapeId="0" xr:uid="{1B4AA50B-65CA-4CE0-838A-2DD700B0529F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AD47" authorId="0" shapeId="0" xr:uid="{F4CB4CE5-0310-4ECF-812C-09D6107913D1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  <comment ref="AF47" authorId="0" shapeId="0" xr:uid="{F1D0F1EF-00B6-4576-9DC5-D8865EE67AF5}">
      <text>
        <r>
          <rPr>
            <b/>
            <sz val="9"/>
            <color indexed="81"/>
            <rFont val="Tahoma"/>
            <family val="2"/>
          </rPr>
          <t>ALBERTO GOMEZ ZUECO:</t>
        </r>
        <r>
          <rPr>
            <sz val="9"/>
            <color indexed="81"/>
            <rFont val="Tahoma"/>
            <family val="2"/>
          </rPr>
          <t xml:space="preserve">
Source: LM252 - Amarre OPGW.pdf, uploaded by user (ENEL - UNIFICAZIONE LM252, Luglio 1994, Ed.4)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Enel </author>
    <author>Mureddu Bruno (Terna)</author>
  </authors>
  <commentList>
    <comment ref="D5" authorId="0" shapeId="0" xr:uid="{89C56E7A-5B7F-4E82-8FB5-94327EF03522}">
      <text>
        <r>
          <rPr>
            <sz val="8"/>
            <color indexed="81"/>
            <rFont val="Tahoma"/>
            <family val="2"/>
          </rPr>
          <t xml:space="preserve">SS=sospensione semplice
DS=sospensione doppia
M=sosp. doppia con doppio morsetto
SA=amarro semplice
DA=amarro doppio
VSS=a V semplice
VDD=a V doppio
2VD=a V doppio di cuspide
LSS=a L semplice
LSD=a L semplice-doppio
LDS=a L doppio-semplice
LDD=a L doppio
2LD=a L doppio di cuspide
TA=amarro triplo
</t>
        </r>
      </text>
    </comment>
    <comment ref="E5" authorId="0" shapeId="0" xr:uid="{68C61523-2932-4BFA-92A7-05DCC3820FA8}">
      <text>
        <r>
          <rPr>
            <sz val="8"/>
            <color indexed="81"/>
            <rFont val="Tahoma"/>
            <family val="2"/>
          </rPr>
          <t>triangolo
delta
gatto
bandiera</t>
        </r>
      </text>
    </comment>
    <comment ref="F5" authorId="0" shapeId="0" xr:uid="{0A6A09A7-9AA0-4D1B-A334-5E29A4E90988}">
      <text>
        <r>
          <rPr>
            <sz val="8"/>
            <color indexed="81"/>
            <rFont val="Tahoma"/>
            <family val="2"/>
          </rPr>
          <t xml:space="preserve">Fbu=blocco unico
Fpc=a piedini in CLS
Fpm=a piedini metallica
</t>
        </r>
      </text>
    </comment>
    <comment ref="G5" authorId="0" shapeId="0" xr:uid="{31E2D478-15F1-4CB1-819B-7D1DCCE25F20}">
      <text>
        <r>
          <rPr>
            <sz val="8"/>
            <color indexed="81"/>
            <rFont val="Tahoma"/>
            <family val="2"/>
          </rPr>
          <t>ab=amarro a bulloni
ac=amarro a compressione
sn=sosp. Normale
2sn=sosp. a 2 morsetti
sa=sosp. con preformer
sf=</t>
        </r>
      </text>
    </comment>
    <comment ref="H5" authorId="0" shapeId="0" xr:uid="{1F076301-9EBF-411E-9805-AE39956CF581}">
      <text>
        <r>
          <rPr>
            <sz val="8"/>
            <color indexed="81"/>
            <rFont val="Tahoma"/>
            <family val="2"/>
          </rPr>
          <t xml:space="preserve">ab=amarro a bulloni
ac=amarro a compressione
ap=amarro con preformer
sn= fune passante su navicella
</t>
        </r>
      </text>
    </comment>
    <comment ref="W5" authorId="1" shapeId="0" xr:uid="{19A19E86-6FF2-4099-8757-9E9D2831CC45}">
      <text>
        <r>
          <rPr>
            <sz val="9"/>
            <color indexed="81"/>
            <rFont val="Tahoma"/>
            <family val="2"/>
          </rPr>
          <t>M = fase media
A = fase alta
B = fase bassa
DX = fase destra
SX = fase sinistra
CN = fase centrale</t>
        </r>
      </text>
    </comment>
  </commentList>
</comments>
</file>

<file path=xl/sharedStrings.xml><?xml version="1.0" encoding="utf-8"?>
<sst xmlns="http://schemas.openxmlformats.org/spreadsheetml/2006/main" count="2110" uniqueCount="710">
  <si>
    <t>PIANO DI STENDIMENTO · 132 kV QUARTAIE–MOLASSANA · TIRATA 1 · 225–245</t>
  </si>
  <si>
    <t>PROGETTO 23842B1 · IMPRESA ESECUTRICE ELECNOR</t>
  </si>
  <si>
    <t>OPGW PRYSMIAN C61 · 48 FIBRE · ETRS89 / UTM 32N</t>
  </si>
  <si>
    <t>DATI DELLA TIRATA</t>
  </si>
  <si>
    <t>Lunghezza: 3.792,16 m</t>
  </si>
  <si>
    <t>Bobina: 4.000,00 m</t>
  </si>
  <si>
    <t>Margine: 207,84 m</t>
  </si>
  <si>
    <t>Tiro: DA DEFINIRE</t>
  </si>
  <si>
    <t>FRENO · Tesmec PT1250 · sostegno 225 · angolo 90° · distanza 15 m · DIRETTO</t>
  </si>
  <si>
    <t>ARGANO · Tesmec PL1150 · sostegno 245 · angolo 0° · distanza 13 m · ROVESCIO-RINVIATO</t>
  </si>
  <si>
    <t>ATTRAVERSAMENTI</t>
  </si>
  <si>
    <t>225–226</t>
  </si>
  <si>
    <t>226–227</t>
  </si>
  <si>
    <t>227–228</t>
  </si>
  <si>
    <t>228–229</t>
  </si>
  <si>
    <t>229–230</t>
  </si>
  <si>
    <t>230–231</t>
  </si>
  <si>
    <t>231–232</t>
  </si>
  <si>
    <t>232–233</t>
  </si>
  <si>
    <t>233–234</t>
  </si>
  <si>
    <t>234–235</t>
  </si>
  <si>
    <t>235–236</t>
  </si>
  <si>
    <t>236–237</t>
  </si>
  <si>
    <t>237–238</t>
  </si>
  <si>
    <t>238–239</t>
  </si>
  <si>
    <t>239–240</t>
  </si>
  <si>
    <t>240–241</t>
  </si>
  <si>
    <t>241–242</t>
  </si>
  <si>
    <t>242–243</t>
  </si>
  <si>
    <t>243–244</t>
  </si>
  <si>
    <t>244–245</t>
  </si>
  <si>
    <t>FINE</t>
  </si>
  <si>
    <t>Tipo · riferimento</t>
  </si>
  <si>
    <t>—</t>
  </si>
  <si>
    <t>SCHEMA DI STENDIMENTO · RAPPRESENTAZIONE SIMBOLICA NON IN SCALA</t>
  </si>
  <si>
    <t>N° SOSTEGNO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</si>
  <si>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</si>
  <si>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</si>
  <si>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</si>
  <si>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</si>
  <si>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</si>
  <si>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</si>
  <si>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</si>
  <si>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</si>
  <si>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</si>
  <si>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</si>
  <si>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</si>
  <si>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</si>
  <si>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</si>
  <si>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</si>
  <si>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</si>
  <si>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</si>
  <si>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</si>
  <si>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</si>
  <si>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</si>
  <si>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</si>
  <si>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</si>
  <si>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TIPO</t>
  </si>
  <si>
    <t>AMARRO</t>
  </si>
  <si>
    <t>SOSPENSIONE</t>
  </si>
  <si>
    <t>ALTEZZA [m]</t>
  </si>
  <si>
    <t>QUOTA [m s.l.m.]</t>
  </si>
  <si>
    <t>ANGOLO LINEA [°]</t>
  </si>
  <si>
    <t>CAMPATA [m]</t>
  </si>
  <si>
    <t>188,58</t>
  </si>
  <si>
    <t>PROGRESSIVA [m]</t>
  </si>
  <si>
    <t>0,00</t>
  </si>
  <si>
    <t>367,36</t>
  </si>
  <si>
    <t>454,32</t>
  </si>
  <si>
    <t>606,51</t>
  </si>
  <si>
    <t>845,95</t>
  </si>
  <si>
    <t>1.043,23</t>
  </si>
  <si>
    <t>1.183,82</t>
  </si>
  <si>
    <t>1.333,80</t>
  </si>
  <si>
    <t>1.601,34</t>
  </si>
  <si>
    <t>1.693,60</t>
  </si>
  <si>
    <t>1.966,71</t>
  </si>
  <si>
    <t>2.215,11</t>
  </si>
  <si>
    <t>2.367,54</t>
  </si>
  <si>
    <t>2.507,87</t>
  </si>
  <si>
    <t>2.643,95</t>
  </si>
  <si>
    <t>2.758,15</t>
  </si>
  <si>
    <t>2.990,38</t>
  </si>
  <si>
    <t>3.090,51</t>
  </si>
  <si>
    <t>3.452,03</t>
  </si>
  <si>
    <t>3.507,41</t>
  </si>
  <si>
    <t>UTM EST [m]</t>
  </si>
  <si>
    <t>UTM NORD [m]</t>
  </si>
  <si>
    <t>OPGW Prysmian C61 · 48 fibre ottiche · caratteristiche definitive secondo scheda tecnica approvata</t>
  </si>
  <si>
    <t>Bobina nominale 4.000,00 m · lunghezza tirata 3.792,16 m · margine operativo 207,84 m</t>
  </si>
  <si>
    <t>Documento di lavoro ELECNOR · Progetto 23842B1 · Linea Quartaie–Molassana · Dati geometrici da DXF / tabella di picchettamento</t>
  </si>
  <si>
    <t>PIANO DI STENDIMENTO · 132 kV QUARTAIE–MOLASSANA · TIRATA 2 · 245–267</t>
  </si>
  <si>
    <t>Lunghezza: 4.524,80 m</t>
  </si>
  <si>
    <t>Bobina: 5.000,00 m</t>
  </si>
  <si>
    <t>Margine: 475,20 m</t>
  </si>
  <si>
    <t>FRENO · Tesmec PT1250 · sostegno 245 · angolo 0° · distanza 13 m · DIRETTO</t>
  </si>
  <si>
    <t>ARGANO · Tesmec PL1150 · sostegno 267 · angolo 25° · distanza 20 m · DIRETTO</t>
  </si>
  <si>
    <t>245–246</t>
  </si>
  <si>
    <t>246–247</t>
  </si>
  <si>
    <t>247–248</t>
  </si>
  <si>
    <t>248–249</t>
  </si>
  <si>
    <t>249–250</t>
  </si>
  <si>
    <t>250–251</t>
  </si>
  <si>
    <t>251–252</t>
  </si>
  <si>
    <t>252–253</t>
  </si>
  <si>
    <t>253–254</t>
  </si>
  <si>
    <t>254–255</t>
  </si>
  <si>
    <t>255–256</t>
  </si>
  <si>
    <t>256–257</t>
  </si>
  <si>
    <t>257–258</t>
  </si>
  <si>
    <t>258–259</t>
  </si>
  <si>
    <t>259–260</t>
  </si>
  <si>
    <t>260–261</t>
  </si>
  <si>
    <t>261–262</t>
  </si>
  <si>
    <t>262–263</t>
  </si>
  <si>
    <t>263–264</t>
  </si>
  <si>
    <t>264–265</t>
  </si>
  <si>
    <t>265–266</t>
  </si>
  <si>
    <t>266–267</t>
  </si>
  <si>
    <t>Bobina nominale 5.000,00 m · lunghezza tirata 4.524,80 m · margine operativo 475,20 m</t>
  </si>
  <si>
    <t>PIANO DI STENDIMENTO · 132 kV QUARTAIE–MOLASSANA · TIRATA 3 · 267–285</t>
  </si>
  <si>
    <t>Lunghezza: 3.304,34 m</t>
  </si>
  <si>
    <t>Bobina: 3.500,00 m</t>
  </si>
  <si>
    <t>Margine: 195,66 m</t>
  </si>
  <si>
    <t>FRENO · Tesmec PT1250 · sostegno 267 · angolo 90° · distanza 11 m · DIRETTO</t>
  </si>
  <si>
    <t>ARGANO · Tesmec PL1150 · sostegno 285 · angolo 35° · distanza 37 m · ROVESCIO-RINVIATO</t>
  </si>
  <si>
    <t>267–268</t>
  </si>
  <si>
    <t>268–269</t>
  </si>
  <si>
    <t>269–270</t>
  </si>
  <si>
    <t>270–271</t>
  </si>
  <si>
    <t>271–272</t>
  </si>
  <si>
    <t>272–273</t>
  </si>
  <si>
    <t>273–274</t>
  </si>
  <si>
    <t>274–275</t>
  </si>
  <si>
    <t>275–276</t>
  </si>
  <si>
    <t>276–277</t>
  </si>
  <si>
    <t>277–278</t>
  </si>
  <si>
    <t>278–279</t>
  </si>
  <si>
    <t>279–280</t>
  </si>
  <si>
    <t>280–281</t>
  </si>
  <si>
    <t>281–282</t>
  </si>
  <si>
    <t>282–283</t>
  </si>
  <si>
    <t>283–284</t>
  </si>
  <si>
    <t>284–285</t>
  </si>
  <si>
    <t>271</t>
  </si>
  <si>
    <t>Bobina nominale 3.500,00 m · lunghezza tirata 3.304,34 m · margine operativo 195,66 m</t>
  </si>
  <si>
    <t>PIANO DI STENDIMENTO · 132 kV QUARTAIE–MOLASSANA · TIRATA 4 · 285–304</t>
  </si>
  <si>
    <t>Lunghezza: 4.044,81 m</t>
  </si>
  <si>
    <t>Bobina: 4.500,00 m</t>
  </si>
  <si>
    <t>Margine: 455,19 m</t>
  </si>
  <si>
    <t>FRENO · Tesmec PT1250 · sostegno 285 · angolo 35° · distanza 37 m · DIRETTO</t>
  </si>
  <si>
    <t>ARGANO · Tesmec PL1150 · sostegno 304 · angolo 0° · distanza 13 m · ROVESCIO-RINVIATO</t>
  </si>
  <si>
    <t>285–286</t>
  </si>
  <si>
    <t>286–287</t>
  </si>
  <si>
    <t>287–288</t>
  </si>
  <si>
    <t>288–289</t>
  </si>
  <si>
    <t>289–290</t>
  </si>
  <si>
    <t>290–291</t>
  </si>
  <si>
    <t>291–292</t>
  </si>
  <si>
    <t>292–293</t>
  </si>
  <si>
    <t>293–294</t>
  </si>
  <si>
    <t>294–295</t>
  </si>
  <si>
    <t>295–296</t>
  </si>
  <si>
    <t>296–297</t>
  </si>
  <si>
    <t>297–298</t>
  </si>
  <si>
    <t>298–299</t>
  </si>
  <si>
    <t>299–300</t>
  </si>
  <si>
    <t>300–301</t>
  </si>
  <si>
    <t>301–302</t>
  </si>
  <si>
    <t>302–303</t>
  </si>
  <si>
    <t>303–304</t>
  </si>
  <si>
    <t>Bobina nominale 4.500,00 m · lunghezza tirata 4.044,81 m · margine operativo 455,19 m</t>
  </si>
  <si>
    <t>PIANO DI STENDIMENTO · 132 kV QUARTAIE–MOLASSANA · TIRATA 5 · 304–317</t>
  </si>
  <si>
    <t>Lunghezza: 2.378,12 m</t>
  </si>
  <si>
    <t>Bobina: 3.200,00 m</t>
  </si>
  <si>
    <t>Margine: 821,88 m</t>
  </si>
  <si>
    <t>FRENO · Tesmec PT1250 · sostegno 304 · angolo 0° · distanza 13 m · DIRETTO</t>
  </si>
  <si>
    <t>ARGANO · Tesmec PL1150 · sostegno 317 · angolo 0° · distanza 10 m · DIRETTO</t>
  </si>
  <si>
    <t>304–305</t>
  </si>
  <si>
    <t>305–306</t>
  </si>
  <si>
    <t>306–307</t>
  </si>
  <si>
    <t>307–308</t>
  </si>
  <si>
    <t>308–309</t>
  </si>
  <si>
    <t>309–310</t>
  </si>
  <si>
    <t>310–311</t>
  </si>
  <si>
    <t>311–312</t>
  </si>
  <si>
    <t>312–313</t>
  </si>
  <si>
    <t>313–314</t>
  </si>
  <si>
    <t>314–315</t>
  </si>
  <si>
    <t>315–316</t>
  </si>
  <si>
    <t>316–317</t>
  </si>
  <si>
    <t>Bobina nominale 3.200,00 m · lunghezza tirata 2.378,12 m · margine operativo 821,88 m</t>
  </si>
  <si>
    <t>PIANO DI STENDIMENTO · 132 kV QUARTAIE–MOLASSANA · TIRATA 6 · 317–PORTALE MOLASSANA</t>
  </si>
  <si>
    <t>Lunghezza: 3.078,45 m</t>
  </si>
  <si>
    <t>Margine: 421,55 m</t>
  </si>
  <si>
    <t>FRENO · Tesmec PT1250 · sostegno PORTALE MOLASSANA · angolo 0° · distanza 13 m · DIRETTO</t>
  </si>
  <si>
    <t>ARGANO · Tesmec PL1150 · sostegno 317 · angolo 0° · distanza 10 m · ROVESCIO-RINVIATO</t>
  </si>
  <si>
    <t>317–318</t>
  </si>
  <si>
    <t>318–319</t>
  </si>
  <si>
    <t>319–320</t>
  </si>
  <si>
    <t>320–321</t>
  </si>
  <si>
    <t>321–322</t>
  </si>
  <si>
    <t>322–323</t>
  </si>
  <si>
    <t>323–324</t>
  </si>
  <si>
    <t>324–325</t>
  </si>
  <si>
    <t>325–326</t>
  </si>
  <si>
    <t>326–327</t>
  </si>
  <si>
    <t>327–328</t>
  </si>
  <si>
    <t>328–329</t>
  </si>
  <si>
    <t>329–330</t>
  </si>
  <si>
    <t>330–331</t>
  </si>
  <si>
    <t>331–PORTALE MOLASSANA</t>
  </si>
  <si>
    <t>PORTALE MOLASSANA</t>
  </si>
  <si>
    <t>Bobina nominale 3.500,00 m · lunghezza tirata 3.078,45 m · margine operativo 421,55 m</t>
  </si>
  <si>
    <t>INVENTARIO DE CRUZAMIENTOS E INTERFERENCIAS</t>
  </si>
  <si>
    <t>Extraído del sinóptico. Las líneas MT en ROJO del KMZ de TERNA requieren puesta en seguridad, salvo conductor aislado</t>
  </si>
  <si>
    <t>Vano</t>
  </si>
  <si>
    <t>Long. (m)</t>
  </si>
  <si>
    <t>Municipio</t>
  </si>
  <si>
    <t>Descripción original (IT)</t>
  </si>
  <si>
    <t>MT (15/30 kV)</t>
  </si>
  <si>
    <t>BT</t>
  </si>
  <si>
    <t>Telefónica</t>
  </si>
  <si>
    <t>Teleférico</t>
  </si>
  <si>
    <t>Torrente/agua</t>
  </si>
  <si>
    <t>Vía / SS / SP</t>
  </si>
  <si>
    <t>Ferrocarril</t>
  </si>
  <si>
    <t>Edificación</t>
  </si>
  <si>
    <t>Requiere descargo MT</t>
  </si>
  <si>
    <t>Acción prevista</t>
  </si>
  <si>
    <t>000-102</t>
  </si>
  <si>
    <t>186.99</t>
  </si>
  <si>
    <t>Moconesi (GE)</t>
  </si>
  <si>
    <t>SS225</t>
  </si>
  <si>
    <t>Verificar en sopralluogo</t>
  </si>
  <si>
    <t>102-101</t>
  </si>
  <si>
    <t>141.73</t>
  </si>
  <si>
    <t>15kV SC</t>
  </si>
  <si>
    <t>X</t>
  </si>
  <si>
    <t>SÍ (salvo aislado)</t>
  </si>
  <si>
    <t>Solicitar descargo MT a e-distribuzione en ventana acordada con TERNA + PaT y verificación de ausencia de tensión</t>
  </si>
  <si>
    <t>224-225</t>
  </si>
  <si>
    <t>270.71</t>
  </si>
  <si>
    <t>Rustico Torrente SC. Teleferica</t>
  </si>
  <si>
    <t>Coordinación con titular del teleférico – bloqueo y consignación</t>
  </si>
  <si>
    <t>225-226</t>
  </si>
  <si>
    <t>188.69</t>
  </si>
  <si>
    <t>Torrente Lav</t>
  </si>
  <si>
    <t>Pórtico o red de protección sobre el obstáculo</t>
  </si>
  <si>
    <t>226-227</t>
  </si>
  <si>
    <t>181.28</t>
  </si>
  <si>
    <t>SC. BT. IP. Teleferica</t>
  </si>
  <si>
    <t>Pórtico de protección o descargo BT/telefónica</t>
  </si>
  <si>
    <t>227-228</t>
  </si>
  <si>
    <t>86.76</t>
  </si>
  <si>
    <t>BT in cavo casa a 5 mt.</t>
  </si>
  <si>
    <t>NO – conductor aislado</t>
  </si>
  <si>
    <t>Protección mecánica / pórtico de protección, sin descargo</t>
  </si>
  <si>
    <t>228-229</t>
  </si>
  <si>
    <t>151.01</t>
  </si>
  <si>
    <t>casa BT in cavo A10 SC. Teleferica - capannone</t>
  </si>
  <si>
    <t>230-231</t>
  </si>
  <si>
    <t>198.32</t>
  </si>
  <si>
    <t>Teleferica</t>
  </si>
  <si>
    <t>231-232</t>
  </si>
  <si>
    <t>141.32</t>
  </si>
  <si>
    <t>232-233</t>
  </si>
  <si>
    <t>151.2</t>
  </si>
  <si>
    <t>Teleferica BT SC Str,privata</t>
  </si>
  <si>
    <t>233-234</t>
  </si>
  <si>
    <t>268.5</t>
  </si>
  <si>
    <t>Vasca acqua tubo acqua</t>
  </si>
  <si>
    <t>235-236</t>
  </si>
  <si>
    <t>Vasca acquedotto BT in cavo SV. - Teleferica</t>
  </si>
  <si>
    <t>237-238</t>
  </si>
  <si>
    <t>153.45</t>
  </si>
  <si>
    <t>Baracca</t>
  </si>
  <si>
    <t>241-242</t>
  </si>
  <si>
    <t>SP. Per Moconesi Str. Privata</t>
  </si>
  <si>
    <t>243-244</t>
  </si>
  <si>
    <t>362.2</t>
  </si>
  <si>
    <t>SV. Baracca 2Serre torrente Neirone - BT IP SP  2BT. 2 15kV.</t>
  </si>
  <si>
    <t>244-245</t>
  </si>
  <si>
    <t>56.6</t>
  </si>
  <si>
    <t>SV: BT in cavo</t>
  </si>
  <si>
    <t>245-246</t>
  </si>
  <si>
    <t>233.15</t>
  </si>
  <si>
    <t>Neirone (GE)</t>
  </si>
  <si>
    <t>Capannone SV. BT in cavo - 2  15kV.</t>
  </si>
  <si>
    <t>246-247</t>
  </si>
  <si>
    <t>242.95</t>
  </si>
  <si>
    <t>BT in cavo BT privata SC. BT - Str, privata</t>
  </si>
  <si>
    <t>251-252</t>
  </si>
  <si>
    <t>193.13</t>
  </si>
  <si>
    <t>Baracca SV. BT in cavo</t>
  </si>
  <si>
    <t>252-253</t>
  </si>
  <si>
    <t>285.26</t>
  </si>
  <si>
    <t>Uscio (GE)</t>
  </si>
  <si>
    <t>Torrente Lav. SS. 225 - 66kV FS</t>
  </si>
  <si>
    <t>255-256</t>
  </si>
  <si>
    <t>216.08</t>
  </si>
  <si>
    <t>256-257</t>
  </si>
  <si>
    <t>343.26</t>
  </si>
  <si>
    <t>Lumarzo (GE)</t>
  </si>
  <si>
    <t>Rustico</t>
  </si>
  <si>
    <t>257-258</t>
  </si>
  <si>
    <t>152.95</t>
  </si>
  <si>
    <t>SP. Per Lumarzo  L. telefono</t>
  </si>
  <si>
    <t>259-260</t>
  </si>
  <si>
    <t>211.5</t>
  </si>
  <si>
    <t>15kV. SC. Str. Privata</t>
  </si>
  <si>
    <t>266-267</t>
  </si>
  <si>
    <t>156.11</t>
  </si>
  <si>
    <t>4 telefoniche SS. Cascinale - baracca lamiera</t>
  </si>
  <si>
    <t>267-268</t>
  </si>
  <si>
    <t>215.65</t>
  </si>
  <si>
    <t>BT in cavo BT  IP.2SC Str. Privata</t>
  </si>
  <si>
    <t>271-272</t>
  </si>
  <si>
    <t>79.11</t>
  </si>
  <si>
    <t>SC.</t>
  </si>
  <si>
    <t>275-276</t>
  </si>
  <si>
    <t>116.94</t>
  </si>
  <si>
    <t>2BT in cavo 2BT. IP. SC. Baracca</t>
  </si>
  <si>
    <t>276-277</t>
  </si>
  <si>
    <t>171.96</t>
  </si>
  <si>
    <t>BT.  IP. SP. Per S. Alberto</t>
  </si>
  <si>
    <t>277-278</t>
  </si>
  <si>
    <t>204.47</t>
  </si>
  <si>
    <t>15 kV.</t>
  </si>
  <si>
    <t>281-282</t>
  </si>
  <si>
    <t>189.54</t>
  </si>
  <si>
    <t>15 kV precordato</t>
  </si>
  <si>
    <t>282-283</t>
  </si>
  <si>
    <t>206.8</t>
  </si>
  <si>
    <t>BT.</t>
  </si>
  <si>
    <t>283-284</t>
  </si>
  <si>
    <t>108.68</t>
  </si>
  <si>
    <t>284-285</t>
  </si>
  <si>
    <t>82.89</t>
  </si>
  <si>
    <t>SS. N° 45</t>
  </si>
  <si>
    <t>285-286</t>
  </si>
  <si>
    <t>363.2</t>
  </si>
  <si>
    <t>Davagna (GE)</t>
  </si>
  <si>
    <t>Pallorcio</t>
  </si>
  <si>
    <t>286-287</t>
  </si>
  <si>
    <t>182.32</t>
  </si>
  <si>
    <t>292-293</t>
  </si>
  <si>
    <t>233.46</t>
  </si>
  <si>
    <t>Rustico Telefonica</t>
  </si>
  <si>
    <t>293-294</t>
  </si>
  <si>
    <t>175.92</t>
  </si>
  <si>
    <t>3 MT precordato  2Baracche</t>
  </si>
  <si>
    <t>294-295</t>
  </si>
  <si>
    <t>154.92</t>
  </si>
  <si>
    <t>Pallorcio e Rustico</t>
  </si>
  <si>
    <t>295-296</t>
  </si>
  <si>
    <t>241.23</t>
  </si>
  <si>
    <t>SP. Per Cavassolo</t>
  </si>
  <si>
    <t>298-299</t>
  </si>
  <si>
    <t>76.12</t>
  </si>
  <si>
    <t>Sovrapassa Falk</t>
  </si>
  <si>
    <t>299-300</t>
  </si>
  <si>
    <t>216.93</t>
  </si>
  <si>
    <t>300-301</t>
  </si>
  <si>
    <t>Baracca BT. Aerea  SC. SV. - Btrame</t>
  </si>
  <si>
    <t>301-302</t>
  </si>
  <si>
    <t>315.57</t>
  </si>
  <si>
    <t>SP. 15 kV precordato. BT in Cavo</t>
  </si>
  <si>
    <t>302-303</t>
  </si>
  <si>
    <t>82.21</t>
  </si>
  <si>
    <t>SP. Cavassolo Davagna</t>
  </si>
  <si>
    <t>303-304</t>
  </si>
  <si>
    <t>104.89</t>
  </si>
  <si>
    <t>2 MT. BT. Casa SP.</t>
  </si>
  <si>
    <t>304-305</t>
  </si>
  <si>
    <t>345.35</t>
  </si>
  <si>
    <t>Genova</t>
  </si>
  <si>
    <t>SC. BT in cavo</t>
  </si>
  <si>
    <t>308-309</t>
  </si>
  <si>
    <t>169.32</t>
  </si>
  <si>
    <t>Str. Privata - BT in cavo BT.  IP.  Fienile Str. Privata</t>
  </si>
  <si>
    <t>309-310</t>
  </si>
  <si>
    <t>158.51</t>
  </si>
  <si>
    <t>15 kV precordato. Garage Str.privata</t>
  </si>
  <si>
    <t>310-311</t>
  </si>
  <si>
    <t>230.34</t>
  </si>
  <si>
    <t>15kV. SC.BT in cavo 2BT. IP - 2 baracche in lamiera</t>
  </si>
  <si>
    <t>317-318</t>
  </si>
  <si>
    <t>149.84</t>
  </si>
  <si>
    <t>SP. Per Creto</t>
  </si>
  <si>
    <t>319-320</t>
  </si>
  <si>
    <t>210.25</t>
  </si>
  <si>
    <t>15 kV. 2Pallorci BT. In cavo</t>
  </si>
  <si>
    <t>320-321</t>
  </si>
  <si>
    <t>166.04</t>
  </si>
  <si>
    <t>Tubo acqua</t>
  </si>
  <si>
    <t>323-324</t>
  </si>
  <si>
    <t>85.8</t>
  </si>
  <si>
    <t>30 kV -15kV</t>
  </si>
  <si>
    <t>324-325</t>
  </si>
  <si>
    <t>417.49</t>
  </si>
  <si>
    <t>2- 15 kV. 2Bt in cavo  4- telefoniche - BT. IP.</t>
  </si>
  <si>
    <t>325-326</t>
  </si>
  <si>
    <t>146.82</t>
  </si>
  <si>
    <t>Garage  in lamiera</t>
  </si>
  <si>
    <t>326-327</t>
  </si>
  <si>
    <t>253.41</t>
  </si>
  <si>
    <t>4-BT in cavo Via Struppa Cava - Torrente Bisagno SC. Magazz.Com</t>
  </si>
  <si>
    <t>327-328</t>
  </si>
  <si>
    <t>273.6</t>
  </si>
  <si>
    <t>Str. Privata Baracca Legno</t>
  </si>
  <si>
    <t>329-330</t>
  </si>
  <si>
    <t>231.07</t>
  </si>
  <si>
    <t>Vanos con interferencia identificada: 58</t>
  </si>
  <si>
    <t>Vanos con MT (15/30 kV): 17  → principal condicionante de programación</t>
  </si>
  <si>
    <t>Vanos con BT / alumbrado público: 25</t>
  </si>
  <si>
    <t>Vanos con línea telefónica: 4</t>
  </si>
  <si>
    <t>Vanos con teleférico: 8  → riesgo específico, exigen consignación con el titular privado</t>
  </si>
  <si>
    <t>Vanos con ferrocarril (RFI / 66 kV FS): 1  → permiso RFI, plazo largo, coste de asistencia</t>
  </si>
  <si>
    <t>⚠ El sinóptico es de 2018. El inventario real de interferencias DEBE verificarse en el sopralluogo del 22/07 y contrastarse con el KMZ en rojo de TERNA.</t>
  </si>
  <si>
    <t>⚠ Los descargos de MT los gestiona el distribuidor (e-distribuzione), no TERNA. Plazo típico 30–60 días y ventanas limitadas → riesgo de plazo y de improductividad si no coinciden con el FS de la línea.</t>
  </si>
  <si>
    <t>ID tramo</t>
  </si>
  <si>
    <t>Sostegno inicial</t>
  </si>
  <si>
    <t>Sostegno final</t>
  </si>
  <si>
    <t>Temperatura (°C)</t>
  </si>
  <si>
    <t>Tiro inicial (daN)</t>
  </si>
  <si>
    <t>Tiro final (daN)</t>
  </si>
  <si>
    <t>Tiro mínimo (daN)</t>
  </si>
  <si>
    <t>Fuente TESATURA</t>
  </si>
  <si>
    <t>Port.Quartaie</t>
  </si>
  <si>
    <t>TESATURA!179:180</t>
  </si>
  <si>
    <t>TESATURA!209:211</t>
  </si>
  <si>
    <t>TESATURA!244:246</t>
  </si>
  <si>
    <t>TESATURA!279:281</t>
  </si>
  <si>
    <t>TESATURA!314:316</t>
  </si>
  <si>
    <t>TESATURA!349:351</t>
  </si>
  <si>
    <t>TESATURA!384:386</t>
  </si>
  <si>
    <t>TESATURA!419:421</t>
  </si>
  <si>
    <t>TESATURA!454:456</t>
  </si>
  <si>
    <t>TESATURA!489:491</t>
  </si>
  <si>
    <t>TESATURA!524:526</t>
  </si>
  <si>
    <t>TESATURA!559:561</t>
  </si>
  <si>
    <t>TESATURA!594:596</t>
  </si>
  <si>
    <t>TESATURA!629:631</t>
  </si>
  <si>
    <t>TESATURA!664:666</t>
  </si>
  <si>
    <t>TESATURA!699:701</t>
  </si>
  <si>
    <t>TESATURA!734:736</t>
  </si>
  <si>
    <t>TESATURA!769:771</t>
  </si>
  <si>
    <t>TESATURA!804:806</t>
  </si>
  <si>
    <t>TESATURA!839:841</t>
  </si>
  <si>
    <t>TESATURA!874:876</t>
  </si>
  <si>
    <t>TESATURA!909:911</t>
  </si>
  <si>
    <t>TESATURA!944:946</t>
  </si>
  <si>
    <t>TESATURA!979:981</t>
  </si>
  <si>
    <t>TESATURA!1014:1016</t>
  </si>
  <si>
    <t>TESATURA!1049:1051</t>
  </si>
  <si>
    <t>TESATURA!1084:1086</t>
  </si>
  <si>
    <t>TESATURA!1119:1121</t>
  </si>
  <si>
    <t>TESATURA!1154:1156</t>
  </si>
  <si>
    <t>TESATURA!1189:1191</t>
  </si>
  <si>
    <t>TESATURA!1224:1226</t>
  </si>
  <si>
    <t>TESATURA!1259:1261</t>
  </si>
  <si>
    <t>TESATURA!1294:1296</t>
  </si>
  <si>
    <t>TESATURA!1329:1331</t>
  </si>
  <si>
    <t>TESATURA!1364:1366</t>
  </si>
  <si>
    <t>TESATURA!1399:1401</t>
  </si>
  <si>
    <t>TESATURA!1434:1436</t>
  </si>
  <si>
    <t>TESATURA!1469:1471</t>
  </si>
  <si>
    <t>TESATURA!1504:1506</t>
  </si>
  <si>
    <t>TESATURA!1539:1541</t>
  </si>
  <si>
    <t>TESATURA!1574:1576</t>
  </si>
  <si>
    <t>TESATURA!1609:1611</t>
  </si>
  <si>
    <t>TESATURA!1644:1646</t>
  </si>
  <si>
    <t>TESATURA!1679:1681</t>
  </si>
  <si>
    <t>TESATURA!1714:1716</t>
  </si>
  <si>
    <t>TESATURA!1749:1751</t>
  </si>
  <si>
    <t>TESATURA!1784:1786</t>
  </si>
  <si>
    <t>TESATURA!1819:1821</t>
  </si>
  <si>
    <t>TESATURA!1854:1856</t>
  </si>
  <si>
    <t>TESATURA!1889:1891</t>
  </si>
  <si>
    <t>TESATURA!1924:1926</t>
  </si>
  <si>
    <t>TESATURA!1959:1961</t>
  </si>
  <si>
    <t>TESATURA!1994:1996</t>
  </si>
  <si>
    <t>TESATURA!2029:2031</t>
  </si>
  <si>
    <t>TESATURA!2064:2066</t>
  </si>
  <si>
    <t>TESATURA!2099:2101</t>
  </si>
  <si>
    <t>TESATURA!2134:2136</t>
  </si>
  <si>
    <t>TESATURA!2169:2171</t>
  </si>
  <si>
    <t>TESATURA!2204:2206</t>
  </si>
  <si>
    <t>TESATURA!2239:2241</t>
  </si>
  <si>
    <t>TESATURA!2274:2276</t>
  </si>
  <si>
    <t>TESATURA!2309:2311</t>
  </si>
  <si>
    <t>TESATURA!2344:2346</t>
  </si>
  <si>
    <t>TIRO PER VANO [daN]</t>
  </si>
  <si>
    <t>CONDUTTORE E OPGW · PIANO BOBINE</t>
  </si>
  <si>
    <t>TIPO DI CONDUTTORE</t>
  </si>
  <si>
    <t>DA DEFINIRE</t>
  </si>
  <si>
    <t>PIANO BOBINA CONDUTTORE</t>
  </si>
  <si>
    <t>TIPO DI OPGW / FIBRA OTTICA</t>
  </si>
  <si>
    <t>PIANO BOBINA OPGW</t>
  </si>
  <si>
    <t>NOTE DAL PIANO BOBINE</t>
  </si>
  <si>
    <t>FERRAMENTA · MONTAGGIO (NUOVO DA INSTALLARE)</t>
  </si>
  <si>
    <t>CATENA DI AMARRO (DA)</t>
  </si>
  <si>
    <t>CATENA DI SOSPENSIONE (V)</t>
  </si>
  <si>
    <t>CATENA D'ANGOLO (TA2)</t>
  </si>
  <si>
    <t>CATENA AUSILIARIA</t>
  </si>
  <si>
    <t>NOTE</t>
  </si>
  <si>
    <t>FERRAMENTA · SMONTAGGIO (ESISTENTE DA SMONTARE)</t>
  </si>
  <si>
    <t>LM252: morsetto 603 + 2×522/2 + 2×401/1 (rif. C23, C51)</t>
  </si>
  <si>
    <t>TIRATA [m]</t>
  </si>
  <si>
    <t>TIRO PER VANO [daN] a 10ºC</t>
  </si>
  <si>
    <t>AOT - Torino</t>
  </si>
  <si>
    <t>QUADRO SINOTTICO Linea 132 kV n° 842   QUARTAIE-MOLASSANA</t>
  </si>
  <si>
    <t>Unità Impianti Genova</t>
  </si>
  <si>
    <t>Aggiornamento 26/03/2018</t>
  </si>
  <si>
    <t>Sostegno</t>
  </si>
  <si>
    <t>Morsetteria</t>
  </si>
  <si>
    <t>Isolatori</t>
  </si>
  <si>
    <t>Campata</t>
  </si>
  <si>
    <t>Conduttori</t>
  </si>
  <si>
    <t>Corda di guardia</t>
  </si>
  <si>
    <t>Attraversamenti</t>
  </si>
  <si>
    <t>n°</t>
  </si>
  <si>
    <t>tipo              hu (m)</t>
  </si>
  <si>
    <t>armamento</t>
  </si>
  <si>
    <t xml:space="preserve">disposizione fasi </t>
  </si>
  <si>
    <t>fondazione</t>
  </si>
  <si>
    <t>conduttore</t>
  </si>
  <si>
    <t>f.d.g.</t>
  </si>
  <si>
    <t>tipo</t>
  </si>
  <si>
    <t>colore</t>
  </si>
  <si>
    <t>numero</t>
  </si>
  <si>
    <t>Contrappesi</t>
  </si>
  <si>
    <t>Antivibranti</t>
  </si>
  <si>
    <t>Lunghezza</t>
  </si>
  <si>
    <t>Dislivello</t>
  </si>
  <si>
    <t>angolo</t>
  </si>
  <si>
    <t>n° terne</t>
  </si>
  <si>
    <t>Giunti</t>
  </si>
  <si>
    <t>Fase</t>
  </si>
  <si>
    <t>Tiro Orizz./</t>
  </si>
  <si>
    <t>Comuni</t>
  </si>
  <si>
    <t>n° x fase</t>
  </si>
  <si>
    <t>n° x fase/</t>
  </si>
  <si>
    <t>progres.</t>
  </si>
  <si>
    <t>parziale</t>
  </si>
  <si>
    <t>attacco</t>
  </si>
  <si>
    <t>deviazione</t>
  </si>
  <si>
    <t>giunto</t>
  </si>
  <si>
    <t>(Param)</t>
  </si>
  <si>
    <t>funi</t>
  </si>
  <si>
    <t>giunti</t>
  </si>
  <si>
    <t>sfere</t>
  </si>
  <si>
    <t>attraversati</t>
  </si>
  <si>
    <t>/c.d.g.</t>
  </si>
  <si>
    <t>°cent S/D</t>
  </si>
  <si>
    <t>Portale  H15</t>
  </si>
  <si>
    <t>DA+3SS</t>
  </si>
  <si>
    <t>gatto</t>
  </si>
  <si>
    <t>amarro</t>
  </si>
  <si>
    <t>Rigida U120</t>
  </si>
  <si>
    <t>4x25kg</t>
  </si>
  <si>
    <t>Al-Ac Ø 31,5 mm - sez. 585,3 mm²</t>
  </si>
  <si>
    <t>Alw Ø 11,5 mm</t>
  </si>
  <si>
    <t>Poligonale SP</t>
  </si>
  <si>
    <t>DA+3comp.</t>
  </si>
  <si>
    <t>doppia terna con T.841</t>
  </si>
  <si>
    <t>U120N</t>
  </si>
  <si>
    <r>
      <t>262</t>
    </r>
    <r>
      <rPr>
        <vertAlign val="superscript"/>
        <sz val="8"/>
        <rFont val="Arial"/>
        <family val="2"/>
      </rPr>
      <t>c</t>
    </r>
    <r>
      <rPr>
        <sz val="8"/>
        <rFont val="Arial"/>
        <family val="2"/>
      </rPr>
      <t>63</t>
    </r>
  </si>
  <si>
    <t>Capannone Fiume</t>
  </si>
  <si>
    <t>N18</t>
  </si>
  <si>
    <t>DS</t>
  </si>
  <si>
    <t xml:space="preserve"> </t>
  </si>
  <si>
    <t>Sovrapassa 66kV RFI</t>
  </si>
  <si>
    <t>101-224</t>
  </si>
  <si>
    <t>E18</t>
  </si>
  <si>
    <r>
      <t>312</t>
    </r>
    <r>
      <rPr>
        <vertAlign val="superscript"/>
        <sz val="8"/>
        <rFont val="Arial"/>
        <family val="2"/>
      </rPr>
      <t>c</t>
    </r>
    <r>
      <rPr>
        <sz val="8"/>
        <rFont val="Arial"/>
        <family val="2"/>
      </rPr>
      <t>09</t>
    </r>
  </si>
  <si>
    <t>ASSEMBLAGGIO</t>
  </si>
  <si>
    <t>AAAC LIN_C80/11 Ø 14,1 mm - sez. 118,67 mm²</t>
  </si>
  <si>
    <t>Acciaio rivestito alluminio Ø 9 mm - LIN_C30</t>
  </si>
  <si>
    <t>L</t>
  </si>
  <si>
    <t>DA-SA</t>
  </si>
  <si>
    <t>SA-DA</t>
  </si>
  <si>
    <t>DA</t>
  </si>
  <si>
    <t>sosp.</t>
  </si>
  <si>
    <t>229-230</t>
  </si>
  <si>
    <t>2 BT in cavo</t>
  </si>
  <si>
    <t>T</t>
  </si>
  <si>
    <t>SA</t>
  </si>
  <si>
    <r>
      <t>214</t>
    </r>
    <r>
      <rPr>
        <vertAlign val="superscript"/>
        <sz val="8"/>
        <rFont val="Arial"/>
        <family val="2"/>
      </rPr>
      <t>c</t>
    </r>
    <r>
      <rPr>
        <sz val="8"/>
        <rFont val="Arial"/>
        <family val="2"/>
      </rPr>
      <t>14</t>
    </r>
  </si>
  <si>
    <t>2x25kg</t>
  </si>
  <si>
    <t>234-235</t>
  </si>
  <si>
    <t>SS</t>
  </si>
  <si>
    <t>fasi basse amarrate al fusto</t>
  </si>
  <si>
    <t>2 catene reazione</t>
  </si>
  <si>
    <t>236-237</t>
  </si>
  <si>
    <t>BT in cavo</t>
  </si>
  <si>
    <r>
      <t>199</t>
    </r>
    <r>
      <rPr>
        <vertAlign val="superscript"/>
        <sz val="8"/>
        <rFont val="Arial"/>
        <family val="2"/>
      </rPr>
      <t>c</t>
    </r>
    <r>
      <rPr>
        <sz val="8"/>
        <rFont val="Arial"/>
        <family val="2"/>
      </rPr>
      <t>90</t>
    </r>
  </si>
  <si>
    <t>238-239</t>
  </si>
  <si>
    <t>BT. In cavo</t>
  </si>
  <si>
    <t>239-240</t>
  </si>
  <si>
    <t>fasa bassa DX  amarrate al fusto</t>
  </si>
  <si>
    <t>1 catena reazione</t>
  </si>
  <si>
    <t>240-241</t>
  </si>
  <si>
    <r>
      <t>203</t>
    </r>
    <r>
      <rPr>
        <vertAlign val="superscript"/>
        <sz val="8"/>
        <rFont val="Arial"/>
        <family val="2"/>
      </rPr>
      <t>c</t>
    </r>
    <r>
      <rPr>
        <sz val="8"/>
        <rFont val="Arial"/>
        <family val="2"/>
      </rPr>
      <t>10</t>
    </r>
  </si>
  <si>
    <t>242-243</t>
  </si>
  <si>
    <t>247-248</t>
  </si>
  <si>
    <t>248-249</t>
  </si>
  <si>
    <t>249-250</t>
  </si>
  <si>
    <t>SV.</t>
  </si>
  <si>
    <t>250-251</t>
  </si>
  <si>
    <r>
      <t>225</t>
    </r>
    <r>
      <rPr>
        <vertAlign val="superscript"/>
        <sz val="8"/>
        <rFont val="Arial"/>
        <family val="2"/>
      </rPr>
      <t>c</t>
    </r>
    <r>
      <rPr>
        <sz val="8"/>
        <rFont val="Arial"/>
        <family val="2"/>
      </rPr>
      <t>50</t>
    </r>
  </si>
  <si>
    <t>BT. In cavo SV.</t>
  </si>
  <si>
    <r>
      <t>222</t>
    </r>
    <r>
      <rPr>
        <vertAlign val="superscript"/>
        <sz val="8"/>
        <rFont val="Arial"/>
        <family val="2"/>
      </rPr>
      <t>c</t>
    </r>
    <r>
      <rPr>
        <sz val="8"/>
        <rFont val="Arial"/>
        <family val="2"/>
      </rPr>
      <t>50</t>
    </r>
  </si>
  <si>
    <t>253-254</t>
  </si>
  <si>
    <t>254-255</t>
  </si>
  <si>
    <r>
      <t>143</t>
    </r>
    <r>
      <rPr>
        <vertAlign val="superscript"/>
        <sz val="8"/>
        <rFont val="Arial"/>
        <family val="2"/>
      </rPr>
      <t>c</t>
    </r>
    <r>
      <rPr>
        <sz val="8"/>
        <rFont val="Arial"/>
        <family val="2"/>
      </rPr>
      <t>65</t>
    </r>
  </si>
  <si>
    <r>
      <t>226</t>
    </r>
    <r>
      <rPr>
        <vertAlign val="superscript"/>
        <sz val="8"/>
        <rFont val="Arial"/>
        <family val="2"/>
      </rPr>
      <t>c</t>
    </r>
    <r>
      <rPr>
        <sz val="8"/>
        <rFont val="Arial"/>
        <family val="2"/>
      </rPr>
      <t>93</t>
    </r>
  </si>
  <si>
    <t>258-259</t>
  </si>
  <si>
    <t>CUSPIDE</t>
  </si>
  <si>
    <t>260-261</t>
  </si>
  <si>
    <t>261-262</t>
  </si>
  <si>
    <t>262-263</t>
  </si>
  <si>
    <t>263-264</t>
  </si>
  <si>
    <t>fasa bassa SX  amarrate al fusto</t>
  </si>
  <si>
    <t>264-265</t>
  </si>
  <si>
    <r>
      <t>201</t>
    </r>
    <r>
      <rPr>
        <vertAlign val="superscript"/>
        <sz val="8"/>
        <rFont val="Arial"/>
        <family val="2"/>
      </rPr>
      <t>c</t>
    </r>
    <r>
      <rPr>
        <sz val="8"/>
        <rFont val="Arial"/>
        <family val="2"/>
      </rPr>
      <t>02</t>
    </r>
  </si>
  <si>
    <t>265-266</t>
  </si>
  <si>
    <t>060</t>
  </si>
  <si>
    <r>
      <t>160</t>
    </r>
    <r>
      <rPr>
        <vertAlign val="superscript"/>
        <sz val="8"/>
        <rFont val="Arial"/>
        <family val="2"/>
      </rPr>
      <t>c</t>
    </r>
    <r>
      <rPr>
        <sz val="8"/>
        <rFont val="Arial"/>
        <family val="2"/>
      </rPr>
      <t>98</t>
    </r>
  </si>
  <si>
    <t>3 catene reazione</t>
  </si>
  <si>
    <r>
      <t>248</t>
    </r>
    <r>
      <rPr>
        <vertAlign val="superscript"/>
        <sz val="8"/>
        <rFont val="Arial"/>
        <family val="2"/>
      </rPr>
      <t>c</t>
    </r>
    <r>
      <rPr>
        <sz val="8"/>
        <rFont val="Arial"/>
        <family val="2"/>
      </rPr>
      <t>13</t>
    </r>
  </si>
  <si>
    <t>N</t>
  </si>
  <si>
    <r>
      <t>209</t>
    </r>
    <r>
      <rPr>
        <vertAlign val="superscript"/>
        <sz val="8"/>
        <rFont val="Arial"/>
        <family val="2"/>
      </rPr>
      <t>c</t>
    </r>
    <r>
      <rPr>
        <sz val="8"/>
        <rFont val="Arial"/>
        <family val="2"/>
      </rPr>
      <t>32</t>
    </r>
  </si>
  <si>
    <t>268-269</t>
  </si>
  <si>
    <r>
      <t>180</t>
    </r>
    <r>
      <rPr>
        <vertAlign val="superscript"/>
        <sz val="8"/>
        <rFont val="Arial"/>
        <family val="2"/>
      </rPr>
      <t>c</t>
    </r>
    <r>
      <rPr>
        <sz val="8"/>
        <rFont val="Arial"/>
        <family val="2"/>
      </rPr>
      <t>80</t>
    </r>
  </si>
  <si>
    <t>269-270</t>
  </si>
  <si>
    <t>Bargagli (GE)</t>
  </si>
  <si>
    <t>270-271</t>
  </si>
  <si>
    <r>
      <t>198</t>
    </r>
    <r>
      <rPr>
        <vertAlign val="superscript"/>
        <sz val="8"/>
        <rFont val="Arial"/>
        <family val="2"/>
      </rPr>
      <t>c</t>
    </r>
    <r>
      <rPr>
        <sz val="8"/>
        <rFont val="Arial"/>
        <family val="2"/>
      </rPr>
      <t>95</t>
    </r>
  </si>
  <si>
    <t>272-273</t>
  </si>
  <si>
    <r>
      <t>195</t>
    </r>
    <r>
      <rPr>
        <vertAlign val="superscript"/>
        <sz val="8"/>
        <rFont val="Arial"/>
        <family val="2"/>
      </rPr>
      <t>c</t>
    </r>
    <r>
      <rPr>
        <sz val="8"/>
        <rFont val="Arial"/>
        <family val="2"/>
      </rPr>
      <t>78</t>
    </r>
  </si>
  <si>
    <t>273-274</t>
  </si>
  <si>
    <t>274-275</t>
  </si>
  <si>
    <r>
      <t>198</t>
    </r>
    <r>
      <rPr>
        <vertAlign val="superscript"/>
        <sz val="8"/>
        <rFont val="Arial"/>
        <family val="2"/>
      </rPr>
      <t>c</t>
    </r>
    <r>
      <rPr>
        <sz val="8"/>
        <rFont val="Arial"/>
        <family val="2"/>
      </rPr>
      <t>98</t>
    </r>
  </si>
  <si>
    <r>
      <t>195</t>
    </r>
    <r>
      <rPr>
        <vertAlign val="superscript"/>
        <sz val="8"/>
        <rFont val="Arial"/>
        <family val="2"/>
      </rPr>
      <t>c</t>
    </r>
    <r>
      <rPr>
        <sz val="8"/>
        <rFont val="Arial"/>
        <family val="2"/>
      </rPr>
      <t>10</t>
    </r>
  </si>
  <si>
    <t>278-279</t>
  </si>
  <si>
    <t>279-280</t>
  </si>
  <si>
    <t>280-281</t>
  </si>
  <si>
    <t>287-288</t>
  </si>
  <si>
    <t>288-289</t>
  </si>
  <si>
    <t>289-290</t>
  </si>
  <si>
    <r>
      <t>214</t>
    </r>
    <r>
      <rPr>
        <vertAlign val="superscript"/>
        <sz val="8"/>
        <rFont val="Arial"/>
        <family val="2"/>
      </rPr>
      <t>c</t>
    </r>
    <r>
      <rPr>
        <sz val="8"/>
        <rFont val="Arial"/>
        <family val="2"/>
      </rPr>
      <t>30</t>
    </r>
  </si>
  <si>
    <t>290-291</t>
  </si>
  <si>
    <t>291-292</t>
  </si>
  <si>
    <r>
      <t>213</t>
    </r>
    <r>
      <rPr>
        <vertAlign val="superscript"/>
        <sz val="8"/>
        <rFont val="Arial"/>
        <family val="2"/>
      </rPr>
      <t>c</t>
    </r>
    <r>
      <rPr>
        <sz val="8"/>
        <rFont val="Arial"/>
        <family val="2"/>
      </rPr>
      <t>50</t>
    </r>
  </si>
  <si>
    <r>
      <t>201</t>
    </r>
    <r>
      <rPr>
        <vertAlign val="superscript"/>
        <sz val="8"/>
        <rFont val="Arial"/>
        <family val="2"/>
      </rPr>
      <t>c</t>
    </r>
    <r>
      <rPr>
        <sz val="8"/>
        <rFont val="Arial"/>
        <family val="2"/>
      </rPr>
      <t>82</t>
    </r>
  </si>
  <si>
    <t>Ass.</t>
  </si>
  <si>
    <t>296-297</t>
  </si>
  <si>
    <t>cuspide</t>
  </si>
  <si>
    <t>297-298</t>
  </si>
  <si>
    <r>
      <t>217</t>
    </r>
    <r>
      <rPr>
        <vertAlign val="superscript"/>
        <sz val="8"/>
        <rFont val="Arial"/>
        <family val="2"/>
      </rPr>
      <t>c</t>
    </r>
    <r>
      <rPr>
        <sz val="8"/>
        <rFont val="Arial"/>
        <family val="2"/>
      </rPr>
      <t>15</t>
    </r>
  </si>
  <si>
    <r>
      <t>182</t>
    </r>
    <r>
      <rPr>
        <vertAlign val="superscript"/>
        <sz val="8"/>
        <rFont val="Arial"/>
        <family val="2"/>
      </rPr>
      <t>c</t>
    </r>
    <r>
      <rPr>
        <sz val="8"/>
        <rFont val="Arial"/>
        <family val="2"/>
      </rPr>
      <t>30</t>
    </r>
  </si>
  <si>
    <t>305-306</t>
  </si>
  <si>
    <r>
      <t>186</t>
    </r>
    <r>
      <rPr>
        <vertAlign val="superscript"/>
        <sz val="8"/>
        <rFont val="Arial"/>
        <family val="2"/>
      </rPr>
      <t>c</t>
    </r>
    <r>
      <rPr>
        <sz val="8"/>
        <rFont val="Arial"/>
        <family val="2"/>
      </rPr>
      <t>84</t>
    </r>
  </si>
  <si>
    <t>306-307</t>
  </si>
  <si>
    <t>307-308</t>
  </si>
  <si>
    <r>
      <t>172</t>
    </r>
    <r>
      <rPr>
        <vertAlign val="superscript"/>
        <sz val="8"/>
        <rFont val="Arial"/>
        <family val="2"/>
      </rPr>
      <t>c</t>
    </r>
    <r>
      <rPr>
        <sz val="8"/>
        <rFont val="Arial"/>
        <family val="2"/>
      </rPr>
      <t>40</t>
    </r>
  </si>
  <si>
    <t>fasa bassa DX  amarrata al fusto</t>
  </si>
  <si>
    <t>311-312</t>
  </si>
  <si>
    <t>312-313</t>
  </si>
  <si>
    <r>
      <t>162</t>
    </r>
    <r>
      <rPr>
        <vertAlign val="superscript"/>
        <sz val="8"/>
        <rFont val="Arial"/>
        <family val="2"/>
      </rPr>
      <t>c</t>
    </r>
    <r>
      <rPr>
        <sz val="8"/>
        <rFont val="Arial"/>
        <family val="2"/>
      </rPr>
      <t>40</t>
    </r>
  </si>
  <si>
    <t>313-314</t>
  </si>
  <si>
    <t>314-315</t>
  </si>
  <si>
    <t>315-316</t>
  </si>
  <si>
    <t>316-317</t>
  </si>
  <si>
    <t>318-319</t>
  </si>
  <si>
    <r>
      <t>224</t>
    </r>
    <r>
      <rPr>
        <vertAlign val="superscript"/>
        <sz val="8"/>
        <rFont val="Arial"/>
        <family val="2"/>
      </rPr>
      <t>c</t>
    </r>
    <r>
      <rPr>
        <sz val="8"/>
        <rFont val="Arial"/>
        <family val="2"/>
      </rPr>
      <t>02</t>
    </r>
  </si>
  <si>
    <t>321-322</t>
  </si>
  <si>
    <t>E21</t>
  </si>
  <si>
    <r>
      <t>132</t>
    </r>
    <r>
      <rPr>
        <vertAlign val="superscript"/>
        <sz val="8"/>
        <rFont val="Arial"/>
        <family val="2"/>
      </rPr>
      <t>c</t>
    </r>
    <r>
      <rPr>
        <sz val="8"/>
        <rFont val="Arial"/>
        <family val="2"/>
      </rPr>
      <t>60</t>
    </r>
  </si>
  <si>
    <t>Alumoweld Ø 11,5 mm</t>
  </si>
  <si>
    <t>322-323</t>
  </si>
  <si>
    <t>L30</t>
  </si>
  <si>
    <t>S</t>
  </si>
  <si>
    <t>U80N</t>
  </si>
  <si>
    <r>
      <t>1972</t>
    </r>
    <r>
      <rPr>
        <vertAlign val="superscript"/>
        <sz val="8"/>
        <rFont val="Arial"/>
        <family val="2"/>
      </rPr>
      <t>c</t>
    </r>
    <r>
      <rPr>
        <sz val="8"/>
        <rFont val="Arial"/>
        <family val="2"/>
      </rPr>
      <t>77</t>
    </r>
  </si>
  <si>
    <t xml:space="preserve"> 30 kV -15kV</t>
  </si>
  <si>
    <t>P36</t>
  </si>
  <si>
    <t>N33</t>
  </si>
  <si>
    <r>
      <t>199</t>
    </r>
    <r>
      <rPr>
        <vertAlign val="superscript"/>
        <sz val="8"/>
        <rFont val="Arial"/>
        <family val="2"/>
      </rPr>
      <t>c</t>
    </r>
    <r>
      <rPr>
        <sz val="8"/>
        <rFont val="Arial"/>
        <family val="2"/>
      </rPr>
      <t>20</t>
    </r>
  </si>
  <si>
    <t>E33</t>
  </si>
  <si>
    <r>
      <t>185</t>
    </r>
    <r>
      <rPr>
        <vertAlign val="superscript"/>
        <sz val="8"/>
        <rFont val="Arial"/>
        <family val="2"/>
      </rPr>
      <t>c</t>
    </r>
    <r>
      <rPr>
        <sz val="8"/>
        <rFont val="Arial"/>
        <family val="2"/>
      </rPr>
      <t>70</t>
    </r>
  </si>
  <si>
    <t>dt</t>
  </si>
  <si>
    <r>
      <t>238</t>
    </r>
    <r>
      <rPr>
        <vertAlign val="superscript"/>
        <sz val="8"/>
        <rFont val="Arial"/>
        <family val="2"/>
      </rPr>
      <t>c8</t>
    </r>
    <r>
      <rPr>
        <sz val="8"/>
        <rFont val="Arial"/>
        <family val="2"/>
      </rPr>
      <t>6</t>
    </r>
  </si>
  <si>
    <t>E30</t>
  </si>
  <si>
    <r>
      <t>226</t>
    </r>
    <r>
      <rPr>
        <vertAlign val="superscript"/>
        <sz val="8"/>
        <rFont val="Arial"/>
        <family val="2"/>
      </rPr>
      <t>c</t>
    </r>
    <r>
      <rPr>
        <sz val="8"/>
        <rFont val="Arial"/>
        <family val="2"/>
      </rPr>
      <t>18</t>
    </r>
  </si>
  <si>
    <t>328-329</t>
  </si>
  <si>
    <t>P24</t>
  </si>
  <si>
    <t>330-331</t>
  </si>
  <si>
    <t>E24</t>
  </si>
  <si>
    <r>
      <t>248</t>
    </r>
    <r>
      <rPr>
        <vertAlign val="superscript"/>
        <sz val="8"/>
        <rFont val="Arial"/>
        <family val="2"/>
      </rPr>
      <t>c</t>
    </r>
    <r>
      <rPr>
        <sz val="8"/>
        <rFont val="Arial"/>
        <family val="2"/>
      </rPr>
      <t>54</t>
    </r>
  </si>
  <si>
    <t>82,66</t>
  </si>
  <si>
    <t>331-Port</t>
  </si>
  <si>
    <t>Al-Ac Ø 31,5 mm</t>
  </si>
  <si>
    <t>MOLASSANA</t>
  </si>
  <si>
    <t xml:space="preserve">Portale </t>
  </si>
  <si>
    <t>h 13</t>
  </si>
  <si>
    <t>VT 87</t>
  </si>
  <si>
    <t>(GE)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</si>
</sst>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m&quot;"/>
    <numFmt numFmtId="165" formatCode="000"/>
    <numFmt numFmtId="166" formatCode="00000"/>
  </numFmts>
  <fonts count="55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0"/>
      <color rgb="FF003F87"/>
      <name val="Calibri"/>
      <family val="2"/>
    </font>
    <font>
      <b/>
      <sz val="11"/>
      <color rgb="FFFFFFFF"/>
      <name val="Calibri"/>
      <family val="2"/>
    </font>
    <font>
      <b/>
      <sz val="11"/>
      <color rgb="FF003F87"/>
      <name val="Calibri"/>
      <family val="2"/>
    </font>
    <font>
      <b/>
      <sz val="9"/>
      <color rgb="FF003F87"/>
      <name val="Calibri"/>
      <family val="2"/>
    </font>
    <font>
      <b/>
      <sz val="9"/>
      <color rgb="FFA64B00"/>
      <name val="Calibri"/>
      <family val="2"/>
    </font>
    <font>
      <b/>
      <sz val="11"/>
      <name val="Calibri"/>
      <family val="2"/>
    </font>
    <font>
      <sz val="8"/>
      <color rgb="FF000000"/>
      <name val="Calibri"/>
      <family val="2"/>
    </font>
    <font>
      <i/>
      <sz val="8"/>
      <color rgb="FF003F87"/>
      <name val="Calibri"/>
      <family val="2"/>
    </font>
    <font>
      <b/>
      <sz val="14"/>
      <color rgb="FF1F3864"/>
      <name val="Calibri"/>
      <family val="2"/>
    </font>
    <font>
      <i/>
      <sz val="9"/>
      <color rgb="FF595959"/>
      <name val="Calibri"/>
      <family val="2"/>
    </font>
    <font>
      <sz val="11"/>
      <name val="Calibri"/>
      <family val="2"/>
    </font>
    <font>
      <b/>
      <sz val="12"/>
      <color rgb="FF000000"/>
      <name val="Calibri"/>
      <family val="2"/>
    </font>
    <font>
      <b/>
      <sz val="10"/>
      <color rgb="FF000000"/>
      <name val="Calibri"/>
      <family val="2"/>
    </font>
    <font>
      <sz val="10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9"/>
      <color rgb="FF003F87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  <font>
      <sz val="9"/>
      <name val="Calibri"/>
      <family val="2"/>
    </font>
    <font>
      <b/>
      <sz val="8"/>
      <color rgb="FF000000"/>
      <name val="Calibri"/>
      <family val="2"/>
    </font>
    <font>
      <sz val="8"/>
      <color theme="1"/>
      <name val="Calibri"/>
      <family val="2"/>
      <scheme val="minor"/>
    </font>
    <font>
      <sz val="7"/>
      <color rgb="FFC00000"/>
      <name val="Calibri"/>
      <family val="2"/>
    </font>
    <font>
      <sz val="7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name val="Helvetica"/>
      <family val="2"/>
    </font>
    <font>
      <b/>
      <sz val="10"/>
      <name val="Helvetica"/>
      <family val="2"/>
    </font>
    <font>
      <sz val="8"/>
      <color indexed="12"/>
      <name val="Helvetica"/>
      <family val="2"/>
    </font>
    <font>
      <b/>
      <i/>
      <sz val="9"/>
      <color indexed="12"/>
      <name val="Helvetica"/>
      <family val="2"/>
    </font>
    <font>
      <b/>
      <i/>
      <sz val="8"/>
      <color indexed="12"/>
      <name val="Helvetica"/>
      <family val="2"/>
    </font>
    <font>
      <sz val="8"/>
      <name val="Helvetica"/>
      <family val="2"/>
    </font>
    <font>
      <b/>
      <sz val="8"/>
      <name val="Helvetica"/>
      <family val="2"/>
    </font>
    <font>
      <b/>
      <sz val="12"/>
      <name val="Helvetica"/>
      <family val="2"/>
    </font>
    <font>
      <b/>
      <sz val="8"/>
      <color indexed="12"/>
      <name val="Helvetica"/>
      <family val="2"/>
    </font>
    <font>
      <b/>
      <sz val="12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vertAlign val="superscript"/>
      <sz val="8"/>
      <name val="Arial"/>
      <family val="2"/>
    </font>
    <font>
      <sz val="8"/>
      <color rgb="FFFF0000"/>
      <name val="Arial"/>
      <family val="2"/>
    </font>
    <font>
      <sz val="5"/>
      <name val="Arial"/>
      <family val="2"/>
    </font>
    <font>
      <sz val="8"/>
      <color indexed="10"/>
      <name val="Arial"/>
      <family val="2"/>
    </font>
    <font>
      <b/>
      <sz val="6"/>
      <name val="Helvetica"/>
      <family val="2"/>
    </font>
    <font>
      <i/>
      <sz val="10"/>
      <color rgb="FFFF0000"/>
      <name val="Helvetica"/>
      <family val="2"/>
    </font>
    <font>
      <sz val="8"/>
      <color rgb="FFFF0000"/>
      <name val="Helvetica"/>
      <family val="2"/>
    </font>
    <font>
      <sz val="8"/>
      <color indexed="10"/>
      <name val="Helvetica"/>
      <family val="2"/>
    </font>
    <font>
      <sz val="8"/>
      <color indexed="81"/>
      <name val="Tahoma"/>
      <family val="2"/>
    </font>
  </fonts>
  <fills count="24">
    <fill>
      <patternFill patternType="none"/>
    </fill>
    <fill>
      <patternFill patternType="gray125"/>
    </fill>
    <fill>
      <patternFill patternType="solid">
        <fgColor rgb="FF003F87"/>
      </patternFill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F8CBAD"/>
      </patternFill>
    </fill>
    <fill>
      <patternFill patternType="solid">
        <fgColor rgb="FFD9D9D9"/>
        <bgColor indexed="64"/>
      </patternFill>
    </fill>
    <fill>
      <patternFill patternType="solid">
        <fgColor rgb="FF1D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3F8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0"/>
        <bgColor indexed="64"/>
      </patternFill>
    </fill>
    <fill>
      <patternFill patternType="lightGray">
        <bgColor theme="0"/>
      </patternFill>
    </fill>
    <fill>
      <patternFill patternType="lightGray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</fills>
  <borders count="9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/>
      <top style="medium">
        <color rgb="FF000000"/>
      </top>
      <bottom style="thin">
        <color rgb="FF404040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rgb="FF163A5C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rgb="FF404040"/>
      </left>
      <right/>
      <top/>
      <bottom style="thin">
        <color rgb="FF404040"/>
      </bottom>
      <diagonal/>
    </border>
    <border>
      <left style="thin">
        <color rgb="FF404040"/>
      </left>
      <right/>
      <top style="thin">
        <color rgb="FF404040"/>
      </top>
      <bottom style="thin">
        <color rgb="FF40404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  <border>
      <left/>
      <right style="thin">
        <color rgb="FF404040"/>
      </right>
      <top style="thin">
        <color rgb="FF404040"/>
      </top>
      <bottom style="thin">
        <color rgb="FF404040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/>
      <top style="thin">
        <color rgb="FF404040"/>
      </top>
      <bottom style="thin">
        <color rgb="FF404040"/>
      </bottom>
      <diagonal/>
    </border>
    <border>
      <left style="thin">
        <color rgb="FF7F7F7F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/>
      <top style="thin">
        <color rgb="FF404040"/>
      </top>
      <bottom style="thin">
        <color rgb="FF404040"/>
      </bottom>
      <diagonal/>
    </border>
    <border>
      <left style="thin">
        <color rgb="FF404040"/>
      </left>
      <right/>
      <top style="thin">
        <color rgb="FF404040"/>
      </top>
      <bottom/>
      <diagonal/>
    </border>
    <border>
      <left/>
      <right style="thin">
        <color rgb="FF404040"/>
      </right>
      <top style="thin">
        <color rgb="FF404040"/>
      </top>
      <bottom/>
      <diagonal/>
    </border>
    <border>
      <left/>
      <right/>
      <top style="thin">
        <color rgb="FF40404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404040"/>
      </right>
      <top/>
      <bottom style="thin">
        <color rgb="FF404040"/>
      </bottom>
      <diagonal/>
    </border>
    <border>
      <left/>
      <right/>
      <top/>
      <bottom style="thin">
        <color rgb="FF40404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40404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40404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rgb="FF404040"/>
      </top>
      <bottom style="thin">
        <color rgb="FF40404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rgb="FF40404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404040"/>
      </right>
      <top style="medium">
        <color indexed="64"/>
      </top>
      <bottom style="medium">
        <color indexed="64"/>
      </bottom>
      <diagonal/>
    </border>
    <border>
      <left style="thin">
        <color rgb="FF40404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</borders>
  <cellStyleXfs count="2">
    <xf numFmtId="0" fontId="0" fillId="0" borderId="0"/>
    <xf numFmtId="0" fontId="28" fillId="0" borderId="0"/>
  </cellStyleXfs>
  <cellXfs count="481">
    <xf numFmtId="0" fontId="0" fillId="0" borderId="0" xfId="0"/>
    <xf numFmtId="0" fontId="0" fillId="0" borderId="1" xfId="0" applyBorder="1"/>
    <xf numFmtId="0" fontId="3" fillId="2" borderId="1" xfId="0" applyFont="1" applyFill="1" applyBorder="1"/>
    <xf numFmtId="0" fontId="10" fillId="0" borderId="0" xfId="0" applyFont="1"/>
    <xf numFmtId="0" fontId="11" fillId="0" borderId="0" xfId="0" applyFont="1"/>
    <xf numFmtId="0" fontId="3" fillId="7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0" fillId="8" borderId="2" xfId="0" applyFill="1" applyBorder="1" applyAlignment="1">
      <alignment horizontal="left" vertical="top" wrapText="1"/>
    </xf>
    <xf numFmtId="0" fontId="0" fillId="8" borderId="2" xfId="0" applyFill="1" applyBorder="1" applyAlignment="1">
      <alignment horizontal="center" vertical="top" wrapText="1"/>
    </xf>
    <xf numFmtId="0" fontId="13" fillId="9" borderId="3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4" xfId="0" applyBorder="1"/>
    <xf numFmtId="0" fontId="0" fillId="0" borderId="5" xfId="0" applyBorder="1"/>
    <xf numFmtId="0" fontId="16" fillId="10" borderId="7" xfId="0" applyFont="1" applyFill="1" applyBorder="1" applyAlignment="1">
      <alignment horizontal="center"/>
    </xf>
    <xf numFmtId="0" fontId="16" fillId="10" borderId="7" xfId="0" applyFont="1" applyFill="1" applyBorder="1" applyAlignment="1">
      <alignment horizontal="center" vertical="center"/>
    </xf>
    <xf numFmtId="1" fontId="17" fillId="11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0" fillId="0" borderId="14" xfId="0" applyBorder="1"/>
    <xf numFmtId="0" fontId="2" fillId="14" borderId="6" xfId="0" applyFont="1" applyFill="1" applyBorder="1" applyAlignment="1">
      <alignment horizontal="center" vertical="center"/>
    </xf>
    <xf numFmtId="0" fontId="2" fillId="14" borderId="11" xfId="0" applyFont="1" applyFill="1" applyBorder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4" fillId="15" borderId="14" xfId="0" applyFont="1" applyFill="1" applyBorder="1" applyAlignment="1">
      <alignment horizontal="center" vertical="center"/>
    </xf>
    <xf numFmtId="0" fontId="0" fillId="16" borderId="1" xfId="0" applyFill="1" applyBorder="1"/>
    <xf numFmtId="0" fontId="0" fillId="17" borderId="1" xfId="0" applyFill="1" applyBorder="1"/>
    <xf numFmtId="0" fontId="0" fillId="17" borderId="0" xfId="0" applyFill="1"/>
    <xf numFmtId="0" fontId="6" fillId="17" borderId="0" xfId="0" applyFont="1" applyFill="1" applyAlignment="1">
      <alignment horizontal="center" vertical="center" wrapText="1"/>
    </xf>
    <xf numFmtId="0" fontId="4" fillId="15" borderId="11" xfId="0" applyFont="1" applyFill="1" applyBorder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11" xfId="0" applyBorder="1"/>
    <xf numFmtId="0" fontId="3" fillId="2" borderId="0" xfId="0" applyFont="1" applyFill="1" applyAlignment="1">
      <alignment horizontal="center"/>
    </xf>
    <xf numFmtId="0" fontId="8" fillId="0" borderId="5" xfId="0" applyFont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14" fillId="9" borderId="22" xfId="0" applyFont="1" applyFill="1" applyBorder="1"/>
    <xf numFmtId="0" fontId="8" fillId="0" borderId="3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8" fillId="16" borderId="11" xfId="0" applyFont="1" applyFill="1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8" fillId="0" borderId="46" xfId="0" applyFont="1" applyBorder="1" applyAlignment="1">
      <alignment horizontal="center" vertical="center" wrapText="1"/>
    </xf>
    <xf numFmtId="0" fontId="8" fillId="0" borderId="43" xfId="0" applyFont="1" applyBorder="1" applyAlignment="1">
      <alignment vertical="center" wrapText="1"/>
    </xf>
    <xf numFmtId="164" fontId="22" fillId="0" borderId="51" xfId="0" applyNumberFormat="1" applyFont="1" applyBorder="1" applyAlignment="1">
      <alignment horizontal="center" vertical="center" wrapText="1"/>
    </xf>
    <xf numFmtId="0" fontId="29" fillId="0" borderId="0" xfId="1" applyFont="1"/>
    <xf numFmtId="0" fontId="30" fillId="0" borderId="0" xfId="1" applyFont="1"/>
    <xf numFmtId="0" fontId="29" fillId="0" borderId="0" xfId="1" applyFont="1" applyAlignment="1">
      <alignment horizontal="center"/>
    </xf>
    <xf numFmtId="0" fontId="31" fillId="0" borderId="0" xfId="1" quotePrefix="1" applyFont="1" applyAlignment="1">
      <alignment horizontal="left"/>
    </xf>
    <xf numFmtId="0" fontId="29" fillId="0" borderId="0" xfId="1" applyFont="1" applyAlignment="1">
      <alignment horizontal="left"/>
    </xf>
    <xf numFmtId="0" fontId="32" fillId="0" borderId="0" xfId="1" quotePrefix="1" applyFont="1" applyAlignment="1">
      <alignment horizontal="left"/>
    </xf>
    <xf numFmtId="0" fontId="32" fillId="0" borderId="0" xfId="1" applyFont="1" applyAlignment="1">
      <alignment horizontal="left"/>
    </xf>
    <xf numFmtId="2" fontId="29" fillId="0" borderId="0" xfId="1" applyNumberFormat="1" applyFont="1"/>
    <xf numFmtId="2" fontId="33" fillId="0" borderId="0" xfId="1" quotePrefix="1" applyNumberFormat="1" applyFont="1" applyAlignment="1">
      <alignment horizontal="center"/>
    </xf>
    <xf numFmtId="49" fontId="29" fillId="0" borderId="0" xfId="1" applyNumberFormat="1" applyFont="1"/>
    <xf numFmtId="0" fontId="34" fillId="0" borderId="0" xfId="1" applyFont="1" applyAlignment="1">
      <alignment horizontal="center"/>
    </xf>
    <xf numFmtId="0" fontId="35" fillId="0" borderId="0" xfId="1" applyFont="1" applyAlignment="1">
      <alignment horizontal="center"/>
    </xf>
    <xf numFmtId="0" fontId="36" fillId="0" borderId="0" xfId="1" applyFont="1" applyAlignment="1">
      <alignment horizontal="right"/>
    </xf>
    <xf numFmtId="0" fontId="31" fillId="0" borderId="0" xfId="1" applyFont="1"/>
    <xf numFmtId="0" fontId="32" fillId="0" borderId="0" xfId="1" applyFont="1"/>
    <xf numFmtId="2" fontId="33" fillId="0" borderId="0" xfId="1" applyNumberFormat="1" applyFont="1" applyAlignment="1">
      <alignment horizontal="center"/>
    </xf>
    <xf numFmtId="0" fontId="29" fillId="0" borderId="0" xfId="1" applyFont="1" applyAlignment="1">
      <alignment horizontal="right"/>
    </xf>
    <xf numFmtId="0" fontId="34" fillId="0" borderId="0" xfId="1" applyFont="1"/>
    <xf numFmtId="2" fontId="34" fillId="0" borderId="0" xfId="1" applyNumberFormat="1" applyFont="1" applyAlignment="1">
      <alignment horizontal="center"/>
    </xf>
    <xf numFmtId="0" fontId="34" fillId="0" borderId="0" xfId="1" applyFont="1" applyAlignment="1">
      <alignment horizontal="right"/>
    </xf>
    <xf numFmtId="0" fontId="31" fillId="0" borderId="26" xfId="1" applyFont="1" applyBorder="1"/>
    <xf numFmtId="0" fontId="31" fillId="0" borderId="34" xfId="1" applyFont="1" applyBorder="1"/>
    <xf numFmtId="2" fontId="31" fillId="22" borderId="34" xfId="1" applyNumberFormat="1" applyFont="1" applyFill="1" applyBorder="1" applyAlignment="1">
      <alignment horizontal="center"/>
    </xf>
    <xf numFmtId="0" fontId="31" fillId="0" borderId="0" xfId="1" applyFont="1" applyAlignment="1">
      <alignment horizontal="center"/>
    </xf>
    <xf numFmtId="0" fontId="31" fillId="0" borderId="55" xfId="1" applyFont="1" applyBorder="1" applyAlignment="1">
      <alignment horizontal="center"/>
    </xf>
    <xf numFmtId="0" fontId="31" fillId="0" borderId="56" xfId="1" applyFont="1" applyBorder="1" applyAlignment="1">
      <alignment horizontal="left"/>
    </xf>
    <xf numFmtId="0" fontId="31" fillId="0" borderId="56" xfId="1" applyFont="1" applyBorder="1" applyAlignment="1">
      <alignment horizontal="center"/>
    </xf>
    <xf numFmtId="0" fontId="31" fillId="0" borderId="21" xfId="1" applyFont="1" applyBorder="1" applyAlignment="1">
      <alignment horizontal="center"/>
    </xf>
    <xf numFmtId="0" fontId="37" fillId="0" borderId="21" xfId="1" applyFont="1" applyBorder="1" applyAlignment="1">
      <alignment horizontal="center"/>
    </xf>
    <xf numFmtId="0" fontId="31" fillId="0" borderId="59" xfId="1" applyFont="1" applyBorder="1" applyAlignment="1">
      <alignment horizontal="center" vertical="center"/>
    </xf>
    <xf numFmtId="0" fontId="31" fillId="0" borderId="37" xfId="1" applyFont="1" applyBorder="1" applyAlignment="1">
      <alignment horizontal="center"/>
    </xf>
    <xf numFmtId="0" fontId="34" fillId="22" borderId="57" xfId="1" quotePrefix="1" applyFont="1" applyFill="1" applyBorder="1" applyAlignment="1">
      <alignment horizontal="left"/>
    </xf>
    <xf numFmtId="2" fontId="34" fillId="22" borderId="37" xfId="1" applyNumberFormat="1" applyFont="1" applyFill="1" applyBorder="1"/>
    <xf numFmtId="2" fontId="31" fillId="22" borderId="37" xfId="1" applyNumberFormat="1" applyFont="1" applyFill="1" applyBorder="1" applyAlignment="1">
      <alignment horizontal="center"/>
    </xf>
    <xf numFmtId="0" fontId="31" fillId="0" borderId="60" xfId="1" applyFont="1" applyBorder="1" applyAlignment="1">
      <alignment horizontal="center"/>
    </xf>
    <xf numFmtId="0" fontId="31" fillId="0" borderId="59" xfId="1" applyFont="1" applyBorder="1" applyAlignment="1">
      <alignment horizontal="center"/>
    </xf>
    <xf numFmtId="0" fontId="31" fillId="0" borderId="29" xfId="1" applyFont="1" applyBorder="1" applyAlignment="1">
      <alignment horizontal="center"/>
    </xf>
    <xf numFmtId="0" fontId="31" fillId="0" borderId="0" xfId="1" applyFont="1" applyAlignment="1">
      <alignment horizontal="left"/>
    </xf>
    <xf numFmtId="0" fontId="31" fillId="0" borderId="20" xfId="1" applyFont="1" applyBorder="1" applyAlignment="1">
      <alignment horizontal="center"/>
    </xf>
    <xf numFmtId="3" fontId="37" fillId="0" borderId="0" xfId="1" applyNumberFormat="1" applyFont="1" applyAlignment="1">
      <alignment horizontal="justify" vertical="top"/>
    </xf>
    <xf numFmtId="2" fontId="37" fillId="0" borderId="0" xfId="1" applyNumberFormat="1" applyFont="1" applyAlignment="1">
      <alignment horizontal="justify" vertical="top"/>
    </xf>
    <xf numFmtId="2" fontId="31" fillId="0" borderId="0" xfId="1" applyNumberFormat="1" applyFont="1" applyAlignment="1">
      <alignment horizontal="center"/>
    </xf>
    <xf numFmtId="0" fontId="29" fillId="0" borderId="20" xfId="1" applyFont="1" applyBorder="1"/>
    <xf numFmtId="165" fontId="38" fillId="0" borderId="61" xfId="1" applyNumberFormat="1" applyFont="1" applyBorder="1" applyAlignment="1">
      <alignment horizontal="center" vertical="center"/>
    </xf>
    <xf numFmtId="0" fontId="39" fillId="0" borderId="20" xfId="1" applyFont="1" applyBorder="1" applyAlignment="1">
      <alignment horizontal="center"/>
    </xf>
    <xf numFmtId="0" fontId="39" fillId="0" borderId="26" xfId="1" applyFont="1" applyBorder="1" applyAlignment="1">
      <alignment horizontal="center" vertical="center"/>
    </xf>
    <xf numFmtId="0" fontId="39" fillId="0" borderId="26" xfId="1" applyFont="1" applyBorder="1" applyAlignment="1">
      <alignment horizontal="center"/>
    </xf>
    <xf numFmtId="0" fontId="40" fillId="0" borderId="62" xfId="1" applyFont="1" applyBorder="1" applyAlignment="1">
      <alignment horizontal="center"/>
    </xf>
    <xf numFmtId="0" fontId="39" fillId="0" borderId="63" xfId="1" applyFont="1" applyBorder="1" applyAlignment="1">
      <alignment horizontal="center"/>
    </xf>
    <xf numFmtId="3" fontId="28" fillId="0" borderId="64" xfId="1" applyNumberFormat="1" applyBorder="1"/>
    <xf numFmtId="2" fontId="41" fillId="0" borderId="0" xfId="1" applyNumberFormat="1" applyFont="1" applyAlignment="1">
      <alignment horizontal="justify" vertical="top"/>
    </xf>
    <xf numFmtId="49" fontId="39" fillId="0" borderId="9" xfId="1" applyNumberFormat="1" applyFont="1" applyBorder="1" applyAlignment="1">
      <alignment horizontal="center" vertical="center"/>
    </xf>
    <xf numFmtId="49" fontId="28" fillId="0" borderId="0" xfId="1" applyNumberFormat="1"/>
    <xf numFmtId="0" fontId="42" fillId="0" borderId="0" xfId="1" applyFont="1" applyAlignment="1">
      <alignment horizontal="center"/>
    </xf>
    <xf numFmtId="0" fontId="39" fillId="0" borderId="0" xfId="1" applyFont="1" applyAlignment="1">
      <alignment horizontal="center"/>
    </xf>
    <xf numFmtId="0" fontId="28" fillId="0" borderId="0" xfId="1"/>
    <xf numFmtId="0" fontId="38" fillId="0" borderId="65" xfId="1" applyFont="1" applyBorder="1" applyAlignment="1">
      <alignment horizontal="center" vertical="center"/>
    </xf>
    <xf numFmtId="0" fontId="39" fillId="0" borderId="67" xfId="1" applyFont="1" applyBorder="1" applyAlignment="1">
      <alignment horizontal="center"/>
    </xf>
    <xf numFmtId="0" fontId="39" fillId="0" borderId="68" xfId="1" applyFont="1" applyBorder="1" applyAlignment="1">
      <alignment horizontal="center"/>
    </xf>
    <xf numFmtId="0" fontId="40" fillId="0" borderId="66" xfId="1" applyFont="1" applyBorder="1" applyAlignment="1">
      <alignment horizontal="center"/>
    </xf>
    <xf numFmtId="0" fontId="39" fillId="0" borderId="69" xfId="1" applyFont="1" applyBorder="1" applyAlignment="1">
      <alignment horizontal="center"/>
    </xf>
    <xf numFmtId="3" fontId="28" fillId="22" borderId="70" xfId="1" applyNumberFormat="1" applyFill="1" applyBorder="1"/>
    <xf numFmtId="0" fontId="43" fillId="0" borderId="34" xfId="1" applyFont="1" applyBorder="1"/>
    <xf numFmtId="49" fontId="39" fillId="0" borderId="32" xfId="1" applyNumberFormat="1" applyFont="1" applyBorder="1" applyAlignment="1">
      <alignment horizontal="center" vertical="center"/>
    </xf>
    <xf numFmtId="49" fontId="44" fillId="0" borderId="26" xfId="1" applyNumberFormat="1" applyFont="1" applyBorder="1" applyAlignment="1">
      <alignment horizontal="center"/>
    </xf>
    <xf numFmtId="2" fontId="39" fillId="0" borderId="63" xfId="1" applyNumberFormat="1" applyFont="1" applyBorder="1" applyAlignment="1">
      <alignment horizontal="center" vertical="center"/>
    </xf>
    <xf numFmtId="49" fontId="39" fillId="0" borderId="71" xfId="1" applyNumberFormat="1" applyFont="1" applyBorder="1" applyAlignment="1">
      <alignment horizontal="center" vertical="center"/>
    </xf>
    <xf numFmtId="49" fontId="39" fillId="0" borderId="20" xfId="1" applyNumberFormat="1" applyFont="1" applyBorder="1" applyAlignment="1">
      <alignment horizontal="center" vertical="center"/>
    </xf>
    <xf numFmtId="0" fontId="28" fillId="0" borderId="26" xfId="1" applyBorder="1"/>
    <xf numFmtId="0" fontId="39" fillId="0" borderId="71" xfId="1" applyFont="1" applyBorder="1" applyAlignment="1">
      <alignment horizontal="center" vertical="center"/>
    </xf>
    <xf numFmtId="0" fontId="39" fillId="0" borderId="62" xfId="1" applyFont="1" applyBorder="1" applyAlignment="1">
      <alignment horizontal="center" vertical="center"/>
    </xf>
    <xf numFmtId="0" fontId="38" fillId="0" borderId="72" xfId="1" applyFont="1" applyBorder="1" applyAlignment="1">
      <alignment horizontal="center" vertical="center"/>
    </xf>
    <xf numFmtId="0" fontId="39" fillId="0" borderId="74" xfId="1" applyFont="1" applyBorder="1" applyAlignment="1">
      <alignment horizontal="center" vertical="center"/>
    </xf>
    <xf numFmtId="0" fontId="39" fillId="0" borderId="75" xfId="1" applyFont="1" applyBorder="1" applyAlignment="1">
      <alignment horizontal="center"/>
    </xf>
    <xf numFmtId="0" fontId="39" fillId="0" borderId="76" xfId="1" applyFont="1" applyBorder="1" applyAlignment="1">
      <alignment horizontal="center"/>
    </xf>
    <xf numFmtId="3" fontId="28" fillId="0" borderId="70" xfId="1" applyNumberFormat="1" applyBorder="1"/>
    <xf numFmtId="0" fontId="43" fillId="0" borderId="66" xfId="1" applyFont="1" applyBorder="1"/>
    <xf numFmtId="49" fontId="39" fillId="0" borderId="68" xfId="1" applyNumberFormat="1" applyFont="1" applyBorder="1" applyAlignment="1">
      <alignment horizontal="center" vertical="center"/>
    </xf>
    <xf numFmtId="49" fontId="44" fillId="0" borderId="68" xfId="1" applyNumberFormat="1" applyFont="1" applyBorder="1" applyAlignment="1">
      <alignment horizontal="center"/>
    </xf>
    <xf numFmtId="2" fontId="39" fillId="0" borderId="69" xfId="1" applyNumberFormat="1" applyFont="1" applyBorder="1" applyAlignment="1">
      <alignment horizontal="center" vertical="center"/>
    </xf>
    <xf numFmtId="49" fontId="39" fillId="0" borderId="77" xfId="1" applyNumberFormat="1" applyFont="1" applyBorder="1" applyAlignment="1">
      <alignment horizontal="center" vertical="center"/>
    </xf>
    <xf numFmtId="49" fontId="39" fillId="0" borderId="67" xfId="1" applyNumberFormat="1" applyFont="1" applyBorder="1" applyAlignment="1">
      <alignment horizontal="center" vertical="center"/>
    </xf>
    <xf numFmtId="0" fontId="28" fillId="0" borderId="32" xfId="1" applyBorder="1"/>
    <xf numFmtId="0" fontId="39" fillId="0" borderId="77" xfId="1" applyFont="1" applyBorder="1" applyAlignment="1">
      <alignment horizontal="center" vertical="center"/>
    </xf>
    <xf numFmtId="0" fontId="39" fillId="0" borderId="66" xfId="1" applyFont="1" applyBorder="1" applyAlignment="1">
      <alignment horizontal="center" vertical="center"/>
    </xf>
    <xf numFmtId="0" fontId="39" fillId="0" borderId="68" xfId="1" applyFont="1" applyBorder="1"/>
    <xf numFmtId="0" fontId="39" fillId="0" borderId="67" xfId="1" applyFont="1" applyBorder="1"/>
    <xf numFmtId="0" fontId="43" fillId="0" borderId="73" xfId="1" applyFont="1" applyBorder="1"/>
    <xf numFmtId="49" fontId="39" fillId="0" borderId="75" xfId="1" applyNumberFormat="1" applyFont="1" applyBorder="1" applyAlignment="1">
      <alignment horizontal="center" vertical="center"/>
    </xf>
    <xf numFmtId="49" fontId="44" fillId="0" borderId="75" xfId="1" applyNumberFormat="1" applyFont="1" applyBorder="1" applyAlignment="1">
      <alignment horizontal="center"/>
    </xf>
    <xf numFmtId="2" fontId="39" fillId="0" borderId="76" xfId="1" applyNumberFormat="1" applyFont="1" applyBorder="1" applyAlignment="1">
      <alignment horizontal="center" vertical="center"/>
    </xf>
    <xf numFmtId="49" fontId="39" fillId="0" borderId="78" xfId="1" applyNumberFormat="1" applyFont="1" applyBorder="1" applyAlignment="1">
      <alignment horizontal="center"/>
    </xf>
    <xf numFmtId="49" fontId="39" fillId="0" borderId="79" xfId="1" applyNumberFormat="1" applyFont="1" applyBorder="1" applyAlignment="1">
      <alignment horizontal="center"/>
    </xf>
    <xf numFmtId="0" fontId="39" fillId="0" borderId="78" xfId="1" applyFont="1" applyBorder="1" applyAlignment="1">
      <alignment horizontal="center" vertical="center"/>
    </xf>
    <xf numFmtId="0" fontId="39" fillId="0" borderId="73" xfId="1" applyFont="1" applyBorder="1" applyAlignment="1">
      <alignment horizontal="center" vertical="center"/>
    </xf>
    <xf numFmtId="0" fontId="28" fillId="0" borderId="75" xfId="1" applyBorder="1"/>
    <xf numFmtId="0" fontId="28" fillId="0" borderId="73" xfId="1" applyBorder="1" applyAlignment="1">
      <alignment horizontal="center"/>
    </xf>
    <xf numFmtId="49" fontId="39" fillId="0" borderId="77" xfId="1" applyNumberFormat="1" applyFont="1" applyBorder="1" applyAlignment="1">
      <alignment horizontal="center"/>
    </xf>
    <xf numFmtId="49" fontId="39" fillId="0" borderId="67" xfId="1" applyNumberFormat="1" applyFont="1" applyBorder="1" applyAlignment="1">
      <alignment horizontal="center"/>
    </xf>
    <xf numFmtId="0" fontId="40" fillId="0" borderId="68" xfId="1" applyFont="1" applyBorder="1"/>
    <xf numFmtId="0" fontId="39" fillId="0" borderId="66" xfId="1" applyFont="1" applyBorder="1"/>
    <xf numFmtId="0" fontId="28" fillId="0" borderId="80" xfId="1" applyBorder="1"/>
    <xf numFmtId="0" fontId="28" fillId="0" borderId="56" xfId="1" applyBorder="1" applyAlignment="1">
      <alignment horizontal="center"/>
    </xf>
    <xf numFmtId="0" fontId="39" fillId="0" borderId="81" xfId="1" applyFont="1" applyBorder="1" applyAlignment="1">
      <alignment horizontal="center"/>
    </xf>
    <xf numFmtId="49" fontId="39" fillId="0" borderId="55" xfId="1" applyNumberFormat="1" applyFont="1" applyBorder="1" applyAlignment="1">
      <alignment horizontal="center"/>
    </xf>
    <xf numFmtId="49" fontId="39" fillId="0" borderId="0" xfId="1" applyNumberFormat="1" applyFont="1" applyAlignment="1">
      <alignment horizontal="center"/>
    </xf>
    <xf numFmtId="0" fontId="28" fillId="0" borderId="82" xfId="1" applyBorder="1"/>
    <xf numFmtId="0" fontId="39" fillId="23" borderId="65" xfId="1" applyFont="1" applyFill="1" applyBorder="1" applyAlignment="1">
      <alignment horizontal="left" vertical="center"/>
    </xf>
    <xf numFmtId="0" fontId="28" fillId="23" borderId="67" xfId="1" applyFill="1" applyBorder="1" applyAlignment="1">
      <alignment horizontal="center"/>
    </xf>
    <xf numFmtId="0" fontId="28" fillId="0" borderId="79" xfId="1" applyBorder="1" applyAlignment="1">
      <alignment horizontal="center"/>
    </xf>
    <xf numFmtId="0" fontId="39" fillId="0" borderId="83" xfId="1" applyFont="1" applyBorder="1" applyAlignment="1">
      <alignment horizontal="center"/>
    </xf>
    <xf numFmtId="0" fontId="28" fillId="0" borderId="67" xfId="1" applyBorder="1" applyAlignment="1">
      <alignment horizontal="center"/>
    </xf>
    <xf numFmtId="0" fontId="39" fillId="0" borderId="84" xfId="1" applyFont="1" applyBorder="1" applyAlignment="1">
      <alignment horizontal="center"/>
    </xf>
    <xf numFmtId="0" fontId="28" fillId="0" borderId="72" xfId="1" applyBorder="1" applyAlignment="1">
      <alignment horizontal="center" vertical="center" wrapText="1"/>
    </xf>
    <xf numFmtId="0" fontId="28" fillId="0" borderId="0" xfId="1" applyAlignment="1">
      <alignment horizontal="center"/>
    </xf>
    <xf numFmtId="0" fontId="28" fillId="0" borderId="65" xfId="1" applyBorder="1" applyAlignment="1">
      <alignment horizontal="center" vertical="center" wrapText="1"/>
    </xf>
    <xf numFmtId="0" fontId="38" fillId="0" borderId="53" xfId="1" applyFont="1" applyBorder="1" applyAlignment="1">
      <alignment horizontal="center" vertical="center"/>
    </xf>
    <xf numFmtId="0" fontId="43" fillId="0" borderId="56" xfId="1" applyFont="1" applyBorder="1"/>
    <xf numFmtId="49" fontId="39" fillId="0" borderId="76" xfId="1" applyNumberFormat="1" applyFont="1" applyBorder="1" applyAlignment="1">
      <alignment wrapText="1"/>
    </xf>
    <xf numFmtId="0" fontId="40" fillId="0" borderId="73" xfId="1" applyFont="1" applyBorder="1" applyAlignment="1">
      <alignment horizontal="center"/>
    </xf>
    <xf numFmtId="49" fontId="39" fillId="0" borderId="69" xfId="1" applyNumberFormat="1" applyFont="1" applyBorder="1" applyAlignment="1">
      <alignment wrapText="1"/>
    </xf>
    <xf numFmtId="0" fontId="39" fillId="0" borderId="35" xfId="1" applyFont="1" applyBorder="1" applyAlignment="1">
      <alignment horizontal="center"/>
    </xf>
    <xf numFmtId="0" fontId="40" fillId="0" borderId="56" xfId="1" applyFont="1" applyBorder="1" applyAlignment="1">
      <alignment horizontal="left"/>
    </xf>
    <xf numFmtId="0" fontId="40" fillId="0" borderId="56" xfId="1" applyFont="1" applyBorder="1" applyAlignment="1">
      <alignment horizontal="center"/>
    </xf>
    <xf numFmtId="2" fontId="39" fillId="0" borderId="69" xfId="1" quotePrefix="1" applyNumberFormat="1" applyFont="1" applyBorder="1" applyAlignment="1">
      <alignment horizontal="center" vertical="center"/>
    </xf>
    <xf numFmtId="49" fontId="40" fillId="0" borderId="76" xfId="1" applyNumberFormat="1" applyFont="1" applyBorder="1" applyAlignment="1">
      <alignment vertical="top" wrapText="1"/>
    </xf>
    <xf numFmtId="49" fontId="40" fillId="0" borderId="69" xfId="1" applyNumberFormat="1" applyFont="1" applyBorder="1" applyAlignment="1">
      <alignment vertical="top" wrapText="1"/>
    </xf>
    <xf numFmtId="0" fontId="39" fillId="0" borderId="67" xfId="1" quotePrefix="1" applyFont="1" applyBorder="1" applyAlignment="1">
      <alignment horizontal="center"/>
    </xf>
    <xf numFmtId="0" fontId="39" fillId="0" borderId="84" xfId="1" applyFont="1" applyBorder="1" applyAlignment="1">
      <alignment horizontal="center" wrapText="1"/>
    </xf>
    <xf numFmtId="0" fontId="43" fillId="0" borderId="21" xfId="1" applyFont="1" applyBorder="1"/>
    <xf numFmtId="49" fontId="44" fillId="0" borderId="32" xfId="1" applyNumberFormat="1" applyFont="1" applyBorder="1" applyAlignment="1">
      <alignment horizontal="center"/>
    </xf>
    <xf numFmtId="2" fontId="39" fillId="0" borderId="81" xfId="1" applyNumberFormat="1" applyFont="1" applyBorder="1" applyAlignment="1">
      <alignment horizontal="center" vertical="center"/>
    </xf>
    <xf numFmtId="0" fontId="39" fillId="0" borderId="32" xfId="1" applyFont="1" applyBorder="1" applyAlignment="1">
      <alignment horizontal="center"/>
    </xf>
    <xf numFmtId="0" fontId="28" fillId="0" borderId="34" xfId="1" applyBorder="1"/>
    <xf numFmtId="0" fontId="38" fillId="0" borderId="61" xfId="1" applyFont="1" applyBorder="1" applyAlignment="1">
      <alignment horizontal="center" vertical="center"/>
    </xf>
    <xf numFmtId="0" fontId="28" fillId="0" borderId="76" xfId="1" applyBorder="1" applyAlignment="1">
      <alignment horizontal="center"/>
    </xf>
    <xf numFmtId="0" fontId="39" fillId="0" borderId="73" xfId="1" applyFont="1" applyBorder="1" applyAlignment="1">
      <alignment horizontal="center"/>
    </xf>
    <xf numFmtId="0" fontId="38" fillId="0" borderId="65" xfId="1" applyFont="1" applyBorder="1" applyAlignment="1">
      <alignment horizontal="left" vertical="center"/>
    </xf>
    <xf numFmtId="0" fontId="39" fillId="0" borderId="84" xfId="1" applyFont="1" applyBorder="1" applyAlignment="1">
      <alignment horizontal="left"/>
    </xf>
    <xf numFmtId="0" fontId="40" fillId="0" borderId="66" xfId="1" applyFont="1" applyBorder="1" applyAlignment="1">
      <alignment horizontal="left"/>
    </xf>
    <xf numFmtId="0" fontId="39" fillId="0" borderId="66" xfId="1" applyFont="1" applyBorder="1" applyAlignment="1">
      <alignment horizontal="center"/>
    </xf>
    <xf numFmtId="2" fontId="39" fillId="0" borderId="66" xfId="1" applyNumberFormat="1" applyFont="1" applyBorder="1" applyAlignment="1">
      <alignment horizontal="center" vertical="center"/>
    </xf>
    <xf numFmtId="0" fontId="39" fillId="0" borderId="32" xfId="1" applyFont="1" applyBorder="1" applyAlignment="1">
      <alignment vertical="center" textRotation="90"/>
    </xf>
    <xf numFmtId="0" fontId="28" fillId="0" borderId="68" xfId="1" applyBorder="1"/>
    <xf numFmtId="0" fontId="43" fillId="0" borderId="0" xfId="1" applyFont="1"/>
    <xf numFmtId="2" fontId="39" fillId="0" borderId="81" xfId="1" applyNumberFormat="1" applyFont="1" applyBorder="1" applyAlignment="1">
      <alignment vertical="center"/>
    </xf>
    <xf numFmtId="2" fontId="39" fillId="0" borderId="69" xfId="1" applyNumberFormat="1" applyFont="1" applyBorder="1" applyAlignment="1">
      <alignment vertical="center"/>
    </xf>
    <xf numFmtId="2" fontId="39" fillId="0" borderId="76" xfId="1" applyNumberFormat="1" applyFont="1" applyBorder="1" applyAlignment="1">
      <alignment vertical="center"/>
    </xf>
    <xf numFmtId="0" fontId="43" fillId="0" borderId="82" xfId="1" applyFont="1" applyBorder="1"/>
    <xf numFmtId="49" fontId="40" fillId="0" borderId="73" xfId="1" applyNumberFormat="1" applyFont="1" applyBorder="1" applyAlignment="1">
      <alignment vertical="top" wrapText="1"/>
    </xf>
    <xf numFmtId="0" fontId="36" fillId="0" borderId="0" xfId="1" applyFont="1" applyAlignment="1">
      <alignment horizontal="center"/>
    </xf>
    <xf numFmtId="49" fontId="40" fillId="0" borderId="66" xfId="1" applyNumberFormat="1" applyFont="1" applyBorder="1" applyAlignment="1">
      <alignment vertical="top" wrapText="1"/>
    </xf>
    <xf numFmtId="0" fontId="39" fillId="0" borderId="55" xfId="1" applyFont="1" applyBorder="1" applyAlignment="1">
      <alignment horizontal="center" vertical="center"/>
    </xf>
    <xf numFmtId="0" fontId="39" fillId="0" borderId="56" xfId="1" applyFont="1" applyBorder="1" applyAlignment="1">
      <alignment horizontal="center" vertical="center"/>
    </xf>
    <xf numFmtId="49" fontId="39" fillId="0" borderId="78" xfId="1" applyNumberFormat="1" applyFont="1" applyBorder="1" applyAlignment="1">
      <alignment horizontal="center" vertical="center"/>
    </xf>
    <xf numFmtId="49" fontId="39" fillId="0" borderId="79" xfId="1" applyNumberFormat="1" applyFont="1" applyBorder="1" applyAlignment="1">
      <alignment horizontal="center" vertical="center"/>
    </xf>
    <xf numFmtId="0" fontId="39" fillId="23" borderId="73" xfId="1" applyFont="1" applyFill="1" applyBorder="1" applyAlignment="1">
      <alignment horizontal="center" vertical="center"/>
    </xf>
    <xf numFmtId="0" fontId="39" fillId="23" borderId="66" xfId="1" applyFont="1" applyFill="1" applyBorder="1" applyAlignment="1">
      <alignment horizontal="center" vertical="center"/>
    </xf>
    <xf numFmtId="0" fontId="28" fillId="0" borderId="66" xfId="1" applyBorder="1" applyAlignment="1">
      <alignment horizontal="center"/>
    </xf>
    <xf numFmtId="0" fontId="38" fillId="0" borderId="57" xfId="1" applyFont="1" applyBorder="1" applyAlignment="1">
      <alignment horizontal="center" vertical="center"/>
    </xf>
    <xf numFmtId="2" fontId="39" fillId="0" borderId="73" xfId="1" applyNumberFormat="1" applyFont="1" applyBorder="1" applyAlignment="1">
      <alignment vertical="center"/>
    </xf>
    <xf numFmtId="0" fontId="39" fillId="0" borderId="80" xfId="1" applyFont="1" applyBorder="1" applyAlignment="1">
      <alignment horizontal="center"/>
    </xf>
    <xf numFmtId="0" fontId="28" fillId="0" borderId="69" xfId="1" applyBorder="1"/>
    <xf numFmtId="2" fontId="39" fillId="0" borderId="66" xfId="1" applyNumberFormat="1" applyFont="1" applyBorder="1" applyAlignment="1">
      <alignment vertical="center"/>
    </xf>
    <xf numFmtId="0" fontId="28" fillId="0" borderId="21" xfId="1" applyBorder="1"/>
    <xf numFmtId="2" fontId="39" fillId="0" borderId="69" xfId="1" quotePrefix="1" applyNumberFormat="1" applyFont="1" applyBorder="1" applyAlignment="1">
      <alignment vertical="center"/>
    </xf>
    <xf numFmtId="0" fontId="39" fillId="23" borderId="67" xfId="1" quotePrefix="1" applyFont="1" applyFill="1" applyBorder="1" applyAlignment="1">
      <alignment horizontal="center"/>
    </xf>
    <xf numFmtId="0" fontId="39" fillId="23" borderId="84" xfId="1" applyFont="1" applyFill="1" applyBorder="1" applyAlignment="1">
      <alignment horizontal="center"/>
    </xf>
    <xf numFmtId="49" fontId="44" fillId="0" borderId="75" xfId="1" applyNumberFormat="1" applyFont="1" applyBorder="1" applyAlignment="1">
      <alignment vertical="center" wrapText="1"/>
    </xf>
    <xf numFmtId="0" fontId="34" fillId="0" borderId="0" xfId="1" applyFont="1" applyAlignment="1">
      <alignment horizontal="center" vertical="center"/>
    </xf>
    <xf numFmtId="49" fontId="44" fillId="0" borderId="68" xfId="1" applyNumberFormat="1" applyFont="1" applyBorder="1" applyAlignment="1">
      <alignment vertical="center" wrapText="1"/>
    </xf>
    <xf numFmtId="49" fontId="44" fillId="0" borderId="75" xfId="1" applyNumberFormat="1" applyFont="1" applyBorder="1" applyAlignment="1">
      <alignment wrapText="1"/>
    </xf>
    <xf numFmtId="49" fontId="44" fillId="0" borderId="68" xfId="1" applyNumberFormat="1" applyFont="1" applyBorder="1" applyAlignment="1">
      <alignment wrapText="1"/>
    </xf>
    <xf numFmtId="49" fontId="28" fillId="0" borderId="79" xfId="1" applyNumberFormat="1" applyBorder="1" applyAlignment="1">
      <alignment horizontal="center"/>
    </xf>
    <xf numFmtId="166" fontId="28" fillId="0" borderId="67" xfId="1" applyNumberFormat="1" applyBorder="1" applyAlignment="1">
      <alignment horizontal="center"/>
    </xf>
    <xf numFmtId="0" fontId="39" fillId="0" borderId="84" xfId="1" quotePrefix="1" applyFont="1" applyBorder="1" applyAlignment="1">
      <alignment horizontal="center" wrapText="1"/>
    </xf>
    <xf numFmtId="0" fontId="43" fillId="0" borderId="53" xfId="1" applyFont="1" applyBorder="1" applyAlignment="1">
      <alignment horizontal="center"/>
    </xf>
    <xf numFmtId="0" fontId="43" fillId="0" borderId="56" xfId="1" applyFont="1" applyBorder="1" applyAlignment="1">
      <alignment horizontal="center"/>
    </xf>
    <xf numFmtId="0" fontId="28" fillId="0" borderId="37" xfId="1" applyBorder="1"/>
    <xf numFmtId="0" fontId="28" fillId="0" borderId="69" xfId="1" applyBorder="1" applyAlignment="1">
      <alignment horizontal="center"/>
    </xf>
    <xf numFmtId="0" fontId="28" fillId="12" borderId="80" xfId="1" applyFill="1" applyBorder="1"/>
    <xf numFmtId="2" fontId="39" fillId="0" borderId="76" xfId="1" quotePrefix="1" applyNumberFormat="1" applyFont="1" applyBorder="1" applyAlignment="1">
      <alignment vertical="center"/>
    </xf>
    <xf numFmtId="0" fontId="28" fillId="0" borderId="72" xfId="1" applyBorder="1" applyAlignment="1">
      <alignment horizontal="center"/>
    </xf>
    <xf numFmtId="0" fontId="39" fillId="0" borderId="56" xfId="1" applyFont="1" applyBorder="1" applyAlignment="1">
      <alignment horizontal="center"/>
    </xf>
    <xf numFmtId="0" fontId="47" fillId="0" borderId="75" xfId="1" applyFont="1" applyBorder="1" applyAlignment="1">
      <alignment horizontal="center" wrapText="1"/>
    </xf>
    <xf numFmtId="0" fontId="47" fillId="0" borderId="68" xfId="1" applyFont="1" applyBorder="1" applyAlignment="1">
      <alignment horizontal="center" wrapText="1"/>
    </xf>
    <xf numFmtId="0" fontId="28" fillId="12" borderId="32" xfId="1" applyFill="1" applyBorder="1"/>
    <xf numFmtId="0" fontId="28" fillId="0" borderId="75" xfId="1" applyBorder="1" applyAlignment="1">
      <alignment horizontal="center" vertical="center" wrapText="1"/>
    </xf>
    <xf numFmtId="2" fontId="39" fillId="0" borderId="73" xfId="1" applyNumberFormat="1" applyFont="1" applyBorder="1" applyAlignment="1">
      <alignment horizontal="center" vertical="center"/>
    </xf>
    <xf numFmtId="2" fontId="39" fillId="0" borderId="76" xfId="1" quotePrefix="1" applyNumberFormat="1" applyFont="1" applyBorder="1" applyAlignment="1">
      <alignment horizontal="center" vertical="center"/>
    </xf>
    <xf numFmtId="0" fontId="48" fillId="0" borderId="29" xfId="1" applyFont="1" applyBorder="1" applyAlignment="1">
      <alignment horizontal="center" vertical="center"/>
    </xf>
    <xf numFmtId="0" fontId="48" fillId="0" borderId="29" xfId="1" applyFont="1" applyBorder="1" applyAlignment="1">
      <alignment horizontal="center" vertical="center" wrapText="1"/>
    </xf>
    <xf numFmtId="3" fontId="28" fillId="0" borderId="68" xfId="1" applyNumberFormat="1" applyBorder="1"/>
    <xf numFmtId="0" fontId="28" fillId="0" borderId="68" xfId="1" applyBorder="1" applyAlignment="1">
      <alignment horizontal="center" vertical="center" wrapText="1"/>
    </xf>
    <xf numFmtId="0" fontId="43" fillId="0" borderId="54" xfId="1" applyFont="1" applyBorder="1"/>
    <xf numFmtId="0" fontId="43" fillId="0" borderId="77" xfId="1" applyFont="1" applyBorder="1"/>
    <xf numFmtId="3" fontId="28" fillId="0" borderId="72" xfId="1" applyNumberFormat="1" applyBorder="1"/>
    <xf numFmtId="49" fontId="40" fillId="0" borderId="56" xfId="1" applyNumberFormat="1" applyFont="1" applyBorder="1" applyAlignment="1">
      <alignment vertical="top" wrapText="1"/>
    </xf>
    <xf numFmtId="0" fontId="36" fillId="0" borderId="29" xfId="1" applyFont="1" applyBorder="1" applyAlignment="1">
      <alignment horizontal="center" vertical="center"/>
    </xf>
    <xf numFmtId="0" fontId="39" fillId="0" borderId="29" xfId="1" applyFont="1" applyBorder="1" applyAlignment="1">
      <alignment horizontal="center"/>
    </xf>
    <xf numFmtId="0" fontId="39" fillId="0" borderId="29" xfId="1" applyFont="1" applyBorder="1" applyAlignment="1">
      <alignment horizontal="center" vertical="center"/>
    </xf>
    <xf numFmtId="0" fontId="28" fillId="0" borderId="21" xfId="1" applyBorder="1" applyAlignment="1">
      <alignment horizontal="left" vertical="center"/>
    </xf>
    <xf numFmtId="0" fontId="28" fillId="0" borderId="21" xfId="1" applyBorder="1" applyAlignment="1">
      <alignment horizontal="center" vertical="center"/>
    </xf>
    <xf numFmtId="0" fontId="40" fillId="0" borderId="21" xfId="1" applyFont="1" applyBorder="1" applyAlignment="1">
      <alignment horizontal="center" vertical="center"/>
    </xf>
    <xf numFmtId="0" fontId="39" fillId="0" borderId="32" xfId="1" applyFont="1" applyBorder="1" applyAlignment="1">
      <alignment horizontal="center" vertical="center"/>
    </xf>
    <xf numFmtId="3" fontId="28" fillId="22" borderId="85" xfId="1" applyNumberFormat="1" applyFill="1" applyBorder="1"/>
    <xf numFmtId="49" fontId="28" fillId="0" borderId="26" xfId="1" applyNumberFormat="1" applyBorder="1" applyAlignment="1">
      <alignment horizontal="center" vertical="center"/>
    </xf>
    <xf numFmtId="49" fontId="39" fillId="0" borderId="61" xfId="1" applyNumberFormat="1" applyFont="1" applyBorder="1" applyAlignment="1">
      <alignment horizontal="center" vertical="center"/>
    </xf>
    <xf numFmtId="49" fontId="39" fillId="0" borderId="71" xfId="1" applyNumberFormat="1" applyFont="1" applyBorder="1" applyAlignment="1">
      <alignment horizontal="center"/>
    </xf>
    <xf numFmtId="49" fontId="40" fillId="0" borderId="62" xfId="1" applyNumberFormat="1" applyFont="1" applyBorder="1" applyAlignment="1">
      <alignment vertical="top" wrapText="1"/>
    </xf>
    <xf numFmtId="49" fontId="28" fillId="0" borderId="34" xfId="1" applyNumberFormat="1" applyBorder="1" applyAlignment="1">
      <alignment horizontal="center" vertical="center"/>
    </xf>
    <xf numFmtId="0" fontId="39" fillId="0" borderId="61" xfId="1" applyFont="1" applyBorder="1" applyAlignment="1">
      <alignment horizontal="center" vertical="center"/>
    </xf>
    <xf numFmtId="0" fontId="39" fillId="0" borderId="26" xfId="1" applyFont="1" applyBorder="1" applyAlignment="1">
      <alignment horizontal="left" vertical="center"/>
    </xf>
    <xf numFmtId="0" fontId="49" fillId="0" borderId="26" xfId="1" applyFont="1" applyBorder="1"/>
    <xf numFmtId="0" fontId="35" fillId="0" borderId="32" xfId="1" applyFont="1" applyBorder="1" applyAlignment="1">
      <alignment vertical="center"/>
    </xf>
    <xf numFmtId="2" fontId="39" fillId="0" borderId="26" xfId="1" applyNumberFormat="1" applyFont="1" applyBorder="1" applyAlignment="1">
      <alignment horizontal="center" vertical="center"/>
    </xf>
    <xf numFmtId="2" fontId="39" fillId="0" borderId="20" xfId="1" applyNumberFormat="1" applyFont="1" applyBorder="1" applyAlignment="1">
      <alignment horizontal="center" vertical="center"/>
    </xf>
    <xf numFmtId="0" fontId="39" fillId="0" borderId="34" xfId="1" applyFont="1" applyBorder="1" applyAlignment="1">
      <alignment horizontal="center" vertical="center"/>
    </xf>
    <xf numFmtId="49" fontId="28" fillId="0" borderId="37" xfId="1" applyNumberFormat="1" applyBorder="1" applyAlignment="1">
      <alignment horizontal="center" vertical="center"/>
    </xf>
    <xf numFmtId="49" fontId="39" fillId="0" borderId="29" xfId="1" applyNumberFormat="1" applyFont="1" applyBorder="1" applyAlignment="1">
      <alignment horizontal="center" vertical="center"/>
    </xf>
    <xf numFmtId="49" fontId="44" fillId="0" borderId="36" xfId="1" applyNumberFormat="1" applyFont="1" applyBorder="1" applyAlignment="1">
      <alignment horizontal="center" vertical="center"/>
    </xf>
    <xf numFmtId="49" fontId="39" fillId="0" borderId="59" xfId="1" applyNumberFormat="1" applyFont="1" applyBorder="1" applyAlignment="1">
      <alignment horizontal="center"/>
    </xf>
    <xf numFmtId="49" fontId="40" fillId="0" borderId="60" xfId="1" applyNumberFormat="1" applyFont="1" applyBorder="1" applyAlignment="1">
      <alignment vertical="top" wrapText="1"/>
    </xf>
    <xf numFmtId="0" fontId="39" fillId="0" borderId="57" xfId="1" applyFont="1" applyBorder="1" applyAlignment="1">
      <alignment horizontal="center" vertical="center"/>
    </xf>
    <xf numFmtId="0" fontId="39" fillId="0" borderId="59" xfId="1" applyFont="1" applyBorder="1" applyAlignment="1">
      <alignment horizontal="center" vertical="center"/>
    </xf>
    <xf numFmtId="0" fontId="39" fillId="0" borderId="60" xfId="1" applyFont="1" applyBorder="1" applyAlignment="1">
      <alignment horizontal="center" vertical="center"/>
    </xf>
    <xf numFmtId="0" fontId="39" fillId="0" borderId="29" xfId="1" applyFont="1" applyBorder="1"/>
    <xf numFmtId="0" fontId="50" fillId="0" borderId="29" xfId="1" applyFont="1" applyBorder="1" applyAlignment="1">
      <alignment vertical="center" wrapText="1"/>
    </xf>
    <xf numFmtId="0" fontId="28" fillId="0" borderId="29" xfId="1" applyBorder="1" applyAlignment="1">
      <alignment horizontal="center" vertical="center"/>
    </xf>
    <xf numFmtId="2" fontId="39" fillId="0" borderId="29" xfId="1" applyNumberFormat="1" applyFont="1" applyBorder="1" applyAlignment="1">
      <alignment horizontal="center" vertical="center"/>
    </xf>
    <xf numFmtId="0" fontId="39" fillId="0" borderId="29" xfId="1" applyFont="1" applyBorder="1" applyAlignment="1">
      <alignment horizontal="left" vertical="center"/>
    </xf>
    <xf numFmtId="2" fontId="39" fillId="0" borderId="9" xfId="1" applyNumberFormat="1" applyFont="1" applyBorder="1" applyAlignment="1">
      <alignment horizontal="center" vertical="center"/>
    </xf>
    <xf numFmtId="2" fontId="40" fillId="0" borderId="29" xfId="1" applyNumberFormat="1" applyFont="1" applyBorder="1" applyAlignment="1">
      <alignment horizontal="center" vertical="center"/>
    </xf>
    <xf numFmtId="0" fontId="39" fillId="0" borderId="37" xfId="1" applyFont="1" applyBorder="1" applyAlignment="1">
      <alignment horizontal="center" vertical="center"/>
    </xf>
    <xf numFmtId="2" fontId="39" fillId="0" borderId="0" xfId="1" applyNumberFormat="1" applyFont="1" applyAlignment="1">
      <alignment horizontal="center"/>
    </xf>
    <xf numFmtId="0" fontId="39" fillId="0" borderId="0" xfId="1" applyFont="1"/>
    <xf numFmtId="49" fontId="51" fillId="0" borderId="0" xfId="1" applyNumberFormat="1" applyFont="1"/>
    <xf numFmtId="0" fontId="34" fillId="0" borderId="0" xfId="1" applyFont="1" applyAlignment="1">
      <alignment horizontal="left"/>
    </xf>
    <xf numFmtId="0" fontId="52" fillId="0" borderId="0" xfId="1" applyFont="1" applyAlignment="1">
      <alignment wrapText="1"/>
    </xf>
    <xf numFmtId="49" fontId="34" fillId="0" borderId="0" xfId="1" applyNumberFormat="1" applyFont="1" applyAlignment="1">
      <alignment horizontal="center" vertical="center"/>
    </xf>
    <xf numFmtId="0" fontId="29" fillId="0" borderId="0" xfId="1" applyFont="1" applyAlignment="1">
      <alignment vertical="center" textRotation="90"/>
    </xf>
    <xf numFmtId="0" fontId="53" fillId="0" borderId="0" xfId="1" applyFont="1"/>
    <xf numFmtId="0" fontId="14" fillId="9" borderId="86" xfId="0" applyFont="1" applyFill="1" applyBorder="1"/>
    <xf numFmtId="0" fontId="14" fillId="9" borderId="87" xfId="0" applyFont="1" applyFill="1" applyBorder="1"/>
    <xf numFmtId="0" fontId="3" fillId="13" borderId="0" xfId="0" applyFont="1" applyFill="1" applyAlignment="1">
      <alignment horizontal="center" vertical="center"/>
    </xf>
    <xf numFmtId="0" fontId="14" fillId="9" borderId="0" xfId="0" applyFont="1" applyFill="1" applyAlignment="1">
      <alignment vertical="center"/>
    </xf>
    <xf numFmtId="0" fontId="14" fillId="9" borderId="0" xfId="0" applyFont="1" applyFill="1" applyAlignment="1">
      <alignment horizontal="left" vertical="center"/>
    </xf>
    <xf numFmtId="0" fontId="14" fillId="9" borderId="5" xfId="0" applyFont="1" applyFill="1" applyBorder="1" applyAlignment="1">
      <alignment horizontal="left" vertical="center" wrapText="1"/>
    </xf>
    <xf numFmtId="0" fontId="14" fillId="9" borderId="5" xfId="0" applyFont="1" applyFill="1" applyBorder="1" applyAlignment="1">
      <alignment horizontal="left" vertical="center"/>
    </xf>
    <xf numFmtId="0" fontId="0" fillId="0" borderId="91" xfId="0" applyBorder="1"/>
    <xf numFmtId="0" fontId="0" fillId="0" borderId="26" xfId="0" applyBorder="1"/>
    <xf numFmtId="0" fontId="4" fillId="15" borderId="5" xfId="0" applyFont="1" applyFill="1" applyBorder="1" applyAlignment="1">
      <alignment horizontal="center" vertical="center"/>
    </xf>
    <xf numFmtId="0" fontId="3" fillId="2" borderId="6" xfId="0" applyFont="1" applyFill="1" applyBorder="1"/>
    <xf numFmtId="0" fontId="8" fillId="0" borderId="30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2" xfId="0" applyBorder="1" applyAlignment="1">
      <alignment horizontal="center"/>
    </xf>
    <xf numFmtId="0" fontId="8" fillId="0" borderId="5" xfId="0" applyFont="1" applyBorder="1" applyAlignment="1">
      <alignment horizontal="center" vertical="center" wrapText="1"/>
    </xf>
    <xf numFmtId="2" fontId="8" fillId="0" borderId="12" xfId="0" applyNumberFormat="1" applyFont="1" applyBorder="1" applyAlignment="1">
      <alignment horizontal="center" vertical="center" wrapText="1"/>
    </xf>
    <xf numFmtId="2" fontId="8" fillId="0" borderId="27" xfId="0" applyNumberFormat="1" applyFont="1" applyBorder="1" applyAlignment="1">
      <alignment horizontal="center" vertical="center" wrapText="1"/>
    </xf>
    <xf numFmtId="2" fontId="8" fillId="0" borderId="5" xfId="0" applyNumberFormat="1" applyFont="1" applyBorder="1" applyAlignment="1">
      <alignment horizontal="center" vertical="center" wrapText="1"/>
    </xf>
    <xf numFmtId="164" fontId="22" fillId="0" borderId="50" xfId="0" applyNumberFormat="1" applyFont="1" applyBorder="1" applyAlignment="1">
      <alignment horizontal="center" vertical="center" wrapText="1"/>
    </xf>
    <xf numFmtId="164" fontId="22" fillId="0" borderId="51" xfId="0" applyNumberFormat="1" applyFont="1" applyBorder="1" applyAlignment="1">
      <alignment horizontal="center" vertical="center" wrapText="1"/>
    </xf>
    <xf numFmtId="164" fontId="22" fillId="0" borderId="52" xfId="0" applyNumberFormat="1" applyFont="1" applyBorder="1" applyAlignment="1">
      <alignment horizontal="center" vertical="center" wrapText="1"/>
    </xf>
    <xf numFmtId="1" fontId="8" fillId="0" borderId="30" xfId="0" applyNumberFormat="1" applyFont="1" applyBorder="1" applyAlignment="1">
      <alignment horizontal="center" vertical="center" wrapText="1"/>
    </xf>
    <xf numFmtId="1" fontId="8" fillId="0" borderId="31" xfId="0" applyNumberFormat="1" applyFont="1" applyBorder="1" applyAlignment="1">
      <alignment horizontal="center" vertical="center" wrapText="1"/>
    </xf>
    <xf numFmtId="2" fontId="8" fillId="0" borderId="44" xfId="0" applyNumberFormat="1" applyFont="1" applyBorder="1" applyAlignment="1">
      <alignment horizontal="center" vertical="center" wrapText="1"/>
    </xf>
    <xf numFmtId="2" fontId="8" fillId="0" borderId="24" xfId="0" applyNumberFormat="1" applyFont="1" applyBorder="1" applyAlignment="1">
      <alignment horizontal="center" vertical="center" wrapText="1"/>
    </xf>
    <xf numFmtId="2" fontId="8" fillId="0" borderId="23" xfId="0" applyNumberFormat="1" applyFont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9" fillId="3" borderId="19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20" borderId="5" xfId="0" applyFill="1" applyBorder="1" applyAlignment="1">
      <alignment horizontal="left" vertical="center"/>
    </xf>
    <xf numFmtId="0" fontId="21" fillId="19" borderId="5" xfId="0" applyFont="1" applyFill="1" applyBorder="1" applyAlignment="1">
      <alignment horizontal="center" vertical="center" wrapText="1"/>
    </xf>
    <xf numFmtId="0" fontId="21" fillId="18" borderId="5" xfId="0" applyFont="1" applyFill="1" applyBorder="1" applyAlignment="1">
      <alignment horizontal="center" vertical="center" wrapText="1"/>
    </xf>
    <xf numFmtId="0" fontId="23" fillId="0" borderId="5" xfId="0" applyFont="1" applyBorder="1" applyAlignment="1">
      <alignment horizontal="left" vertical="center" wrapText="1"/>
    </xf>
    <xf numFmtId="0" fontId="3" fillId="13" borderId="0" xfId="0" applyFont="1" applyFill="1" applyAlignment="1">
      <alignment horizontal="center" vertical="center"/>
    </xf>
    <xf numFmtId="0" fontId="18" fillId="16" borderId="6" xfId="0" applyFont="1" applyFill="1" applyBorder="1" applyAlignment="1">
      <alignment horizontal="center" vertical="center"/>
    </xf>
    <xf numFmtId="0" fontId="18" fillId="16" borderId="11" xfId="0" applyFont="1" applyFill="1" applyBorder="1" applyAlignment="1">
      <alignment horizontal="center" vertical="center"/>
    </xf>
    <xf numFmtId="0" fontId="18" fillId="16" borderId="14" xfId="0" applyFont="1" applyFill="1" applyBorder="1" applyAlignment="1">
      <alignment horizontal="center" vertical="center"/>
    </xf>
    <xf numFmtId="0" fontId="6" fillId="17" borderId="15" xfId="0" applyFont="1" applyFill="1" applyBorder="1" applyAlignment="1">
      <alignment horizontal="center" vertical="center" wrapText="1"/>
    </xf>
    <xf numFmtId="0" fontId="6" fillId="17" borderId="0" xfId="0" applyFont="1" applyFill="1" applyAlignment="1">
      <alignment horizontal="center" vertical="center" wrapText="1"/>
    </xf>
    <xf numFmtId="0" fontId="4" fillId="15" borderId="6" xfId="0" applyFont="1" applyFill="1" applyBorder="1" applyAlignment="1">
      <alignment horizontal="center" vertical="center"/>
    </xf>
    <xf numFmtId="0" fontId="4" fillId="15" borderId="11" xfId="0" applyFont="1" applyFill="1" applyBorder="1" applyAlignment="1">
      <alignment horizontal="center" vertical="center"/>
    </xf>
    <xf numFmtId="0" fontId="4" fillId="15" borderId="14" xfId="0" applyFont="1" applyFill="1" applyBorder="1" applyAlignment="1">
      <alignment horizontal="center" vertical="center"/>
    </xf>
    <xf numFmtId="0" fontId="4" fillId="15" borderId="5" xfId="0" applyFont="1" applyFill="1" applyBorder="1" applyAlignment="1">
      <alignment horizontal="center" vertical="center"/>
    </xf>
    <xf numFmtId="2" fontId="8" fillId="0" borderId="13" xfId="0" applyNumberFormat="1" applyFont="1" applyBorder="1" applyAlignment="1">
      <alignment horizontal="center" vertical="center" wrapText="1"/>
    </xf>
    <xf numFmtId="2" fontId="8" fillId="0" borderId="16" xfId="0" applyNumberFormat="1" applyFont="1" applyBorder="1" applyAlignment="1">
      <alignment horizontal="center" vertical="center" wrapText="1"/>
    </xf>
    <xf numFmtId="2" fontId="8" fillId="0" borderId="18" xfId="0" applyNumberFormat="1" applyFont="1" applyBorder="1" applyAlignment="1">
      <alignment horizontal="center" vertical="center" wrapText="1"/>
    </xf>
    <xf numFmtId="2" fontId="8" fillId="0" borderId="43" xfId="0" applyNumberFormat="1" applyFont="1" applyBorder="1" applyAlignment="1">
      <alignment horizontal="center" vertical="center" wrapText="1"/>
    </xf>
    <xf numFmtId="2" fontId="8" fillId="0" borderId="28" xfId="0" applyNumberFormat="1" applyFont="1" applyBorder="1" applyAlignment="1">
      <alignment horizontal="center" vertical="center" wrapText="1"/>
    </xf>
    <xf numFmtId="2" fontId="8" fillId="0" borderId="29" xfId="0" applyNumberFormat="1" applyFont="1" applyBorder="1" applyAlignment="1">
      <alignment horizontal="center" vertical="center" wrapText="1"/>
    </xf>
    <xf numFmtId="2" fontId="8" fillId="0" borderId="48" xfId="0" applyNumberFormat="1" applyFont="1" applyBorder="1" applyAlignment="1">
      <alignment horizontal="center" vertical="center" wrapText="1"/>
    </xf>
    <xf numFmtId="2" fontId="0" fillId="0" borderId="47" xfId="0" applyNumberFormat="1" applyBorder="1"/>
    <xf numFmtId="2" fontId="0" fillId="0" borderId="27" xfId="0" applyNumberFormat="1" applyBorder="1"/>
    <xf numFmtId="0" fontId="2" fillId="14" borderId="6" xfId="0" applyFont="1" applyFill="1" applyBorder="1" applyAlignment="1">
      <alignment horizontal="center" vertical="center"/>
    </xf>
    <xf numFmtId="0" fontId="2" fillId="14" borderId="11" xfId="0" applyFont="1" applyFill="1" applyBorder="1" applyAlignment="1">
      <alignment horizontal="center" vertical="center"/>
    </xf>
    <xf numFmtId="0" fontId="2" fillId="14" borderId="14" xfId="0" applyFont="1" applyFill="1" applyBorder="1" applyAlignment="1">
      <alignment horizontal="center" vertical="center"/>
    </xf>
    <xf numFmtId="0" fontId="2" fillId="14" borderId="15" xfId="0" applyFont="1" applyFill="1" applyBorder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2" fontId="8" fillId="0" borderId="49" xfId="0" applyNumberFormat="1" applyFont="1" applyBorder="1" applyAlignment="1">
      <alignment horizontal="center" vertical="center" wrapText="1"/>
    </xf>
    <xf numFmtId="2" fontId="8" fillId="0" borderId="47" xfId="0" applyNumberFormat="1" applyFont="1" applyBorder="1" applyAlignment="1">
      <alignment horizontal="center" vertical="center" wrapText="1"/>
    </xf>
    <xf numFmtId="2" fontId="8" fillId="0" borderId="46" xfId="0" applyNumberFormat="1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24" fillId="0" borderId="27" xfId="0" applyFont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0" fontId="25" fillId="0" borderId="29" xfId="0" applyFont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27" xfId="0" applyFont="1" applyBorder="1" applyAlignment="1">
      <alignment horizontal="center" vertical="center" wrapText="1"/>
    </xf>
    <xf numFmtId="2" fontId="8" fillId="0" borderId="25" xfId="0" applyNumberFormat="1" applyFont="1" applyBorder="1" applyAlignment="1">
      <alignment horizontal="center" vertical="center" wrapText="1"/>
    </xf>
    <xf numFmtId="2" fontId="8" fillId="0" borderId="26" xfId="0" applyNumberFormat="1" applyFont="1" applyBorder="1" applyAlignment="1">
      <alignment horizontal="center" vertical="center" wrapText="1"/>
    </xf>
    <xf numFmtId="2" fontId="8" fillId="0" borderId="45" xfId="0" applyNumberFormat="1" applyFont="1" applyBorder="1" applyAlignment="1">
      <alignment horizontal="center" vertical="center" wrapText="1"/>
    </xf>
    <xf numFmtId="0" fontId="14" fillId="4" borderId="89" xfId="0" applyFont="1" applyFill="1" applyBorder="1" applyAlignment="1">
      <alignment horizontal="center" vertical="center" wrapText="1"/>
    </xf>
    <xf numFmtId="0" fontId="14" fillId="4" borderId="88" xfId="0" applyFont="1" applyFill="1" applyBorder="1" applyAlignment="1">
      <alignment horizontal="center" vertical="center" wrapText="1"/>
    </xf>
    <xf numFmtId="0" fontId="24" fillId="0" borderId="47" xfId="0" applyFont="1" applyBorder="1" applyAlignment="1">
      <alignment horizontal="center" vertical="center" wrapText="1"/>
    </xf>
    <xf numFmtId="0" fontId="0" fillId="0" borderId="5" xfId="0" applyBorder="1"/>
    <xf numFmtId="0" fontId="14" fillId="4" borderId="87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14" xfId="0" applyBorder="1"/>
    <xf numFmtId="0" fontId="14" fillId="4" borderId="90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0" fillId="0" borderId="11" xfId="0" applyBorder="1"/>
    <xf numFmtId="0" fontId="2" fillId="3" borderId="6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3" fillId="13" borderId="8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8" fillId="16" borderId="92" xfId="0" applyFont="1" applyFill="1" applyBorder="1" applyAlignment="1">
      <alignment horizontal="center" vertical="center"/>
    </xf>
    <xf numFmtId="0" fontId="18" fillId="16" borderId="10" xfId="0" applyFont="1" applyFill="1" applyBorder="1" applyAlignment="1">
      <alignment horizontal="center" vertical="center"/>
    </xf>
    <xf numFmtId="0" fontId="18" fillId="16" borderId="93" xfId="0" applyFont="1" applyFill="1" applyBorder="1" applyAlignment="1">
      <alignment horizontal="center" vertical="center"/>
    </xf>
    <xf numFmtId="0" fontId="23" fillId="0" borderId="30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4" fillId="15" borderId="15" xfId="0" applyFont="1" applyFill="1" applyBorder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28" fillId="0" borderId="26" xfId="1" applyBorder="1" applyAlignment="1">
      <alignment horizontal="center" vertical="center" textRotation="90"/>
    </xf>
    <xf numFmtId="0" fontId="28" fillId="0" borderId="32" xfId="1" applyBorder="1" applyAlignment="1">
      <alignment horizontal="center" vertical="center" textRotation="90"/>
    </xf>
    <xf numFmtId="0" fontId="28" fillId="0" borderId="29" xfId="1" applyBorder="1" applyAlignment="1">
      <alignment horizontal="center" vertical="center" textRotation="90"/>
    </xf>
    <xf numFmtId="0" fontId="28" fillId="0" borderId="75" xfId="1" applyBorder="1" applyAlignment="1">
      <alignment horizontal="center" vertical="center" wrapText="1"/>
    </xf>
    <xf numFmtId="0" fontId="28" fillId="0" borderId="68" xfId="1" applyBorder="1" applyAlignment="1">
      <alignment horizontal="center" vertical="center" wrapText="1"/>
    </xf>
    <xf numFmtId="0" fontId="40" fillId="0" borderId="75" xfId="1" applyFont="1" applyBorder="1" applyAlignment="1">
      <alignment horizontal="center" vertical="center" wrapText="1"/>
    </xf>
    <xf numFmtId="0" fontId="40" fillId="0" borderId="68" xfId="1" applyFont="1" applyBorder="1" applyAlignment="1">
      <alignment horizontal="center" vertical="center" wrapText="1"/>
    </xf>
    <xf numFmtId="0" fontId="40" fillId="0" borderId="26" xfId="1" applyFont="1" applyBorder="1" applyAlignment="1">
      <alignment horizontal="center" vertical="center" wrapText="1"/>
    </xf>
    <xf numFmtId="0" fontId="40" fillId="0" borderId="29" xfId="1" applyFont="1" applyBorder="1" applyAlignment="1">
      <alignment horizontal="center" vertical="center" wrapText="1"/>
    </xf>
    <xf numFmtId="0" fontId="28" fillId="0" borderId="26" xfId="1" applyBorder="1" applyAlignment="1">
      <alignment horizontal="center" vertical="center" wrapText="1"/>
    </xf>
    <xf numFmtId="0" fontId="28" fillId="0" borderId="29" xfId="1" applyBorder="1" applyAlignment="1">
      <alignment horizontal="center" vertical="center" wrapText="1"/>
    </xf>
    <xf numFmtId="0" fontId="28" fillId="0" borderId="75" xfId="1" applyBorder="1" applyAlignment="1">
      <alignment horizontal="center" wrapText="1"/>
    </xf>
    <xf numFmtId="0" fontId="28" fillId="0" borderId="68" xfId="1" applyBorder="1" applyAlignment="1">
      <alignment horizontal="center" wrapText="1"/>
    </xf>
    <xf numFmtId="0" fontId="45" fillId="0" borderId="75" xfId="1" applyFont="1" applyBorder="1" applyAlignment="1">
      <alignment horizontal="center" vertical="center" wrapText="1"/>
    </xf>
    <xf numFmtId="0" fontId="45" fillId="0" borderId="68" xfId="1" applyFont="1" applyBorder="1" applyAlignment="1">
      <alignment horizontal="center" vertical="center" wrapText="1"/>
    </xf>
    <xf numFmtId="0" fontId="39" fillId="0" borderId="75" xfId="1" applyFont="1" applyBorder="1" applyAlignment="1">
      <alignment horizontal="center" wrapText="1"/>
    </xf>
    <xf numFmtId="0" fontId="39" fillId="0" borderId="68" xfId="1" applyFont="1" applyBorder="1" applyAlignment="1">
      <alignment horizontal="center" wrapText="1"/>
    </xf>
    <xf numFmtId="0" fontId="39" fillId="23" borderId="75" xfId="1" applyFont="1" applyFill="1" applyBorder="1" applyAlignment="1">
      <alignment horizontal="center" wrapText="1"/>
    </xf>
    <xf numFmtId="0" fontId="39" fillId="23" borderId="68" xfId="1" applyFont="1" applyFill="1" applyBorder="1" applyAlignment="1">
      <alignment horizontal="center" wrapText="1"/>
    </xf>
    <xf numFmtId="0" fontId="28" fillId="0" borderId="75" xfId="1" applyBorder="1" applyAlignment="1">
      <alignment horizontal="center" vertical="center"/>
    </xf>
    <xf numFmtId="0" fontId="28" fillId="0" borderId="68" xfId="1" applyBorder="1" applyAlignment="1">
      <alignment horizontal="center" vertical="center"/>
    </xf>
    <xf numFmtId="0" fontId="28" fillId="0" borderId="26" xfId="1" applyBorder="1" applyAlignment="1">
      <alignment horizontal="center" vertical="center" textRotation="90" wrapText="1"/>
    </xf>
    <xf numFmtId="0" fontId="28" fillId="0" borderId="32" xfId="1" applyBorder="1" applyAlignment="1">
      <alignment horizontal="center" vertical="center" textRotation="90" wrapText="1"/>
    </xf>
    <xf numFmtId="0" fontId="28" fillId="0" borderId="29" xfId="1" applyBorder="1" applyAlignment="1">
      <alignment horizontal="center" vertical="center" textRotation="90" wrapText="1"/>
    </xf>
    <xf numFmtId="0" fontId="39" fillId="0" borderId="26" xfId="1" applyFont="1" applyBorder="1" applyAlignment="1">
      <alignment horizontal="center" vertical="center" textRotation="90"/>
    </xf>
    <xf numFmtId="0" fontId="39" fillId="0" borderId="32" xfId="1" applyFont="1" applyBorder="1" applyAlignment="1">
      <alignment horizontal="center" vertical="center" textRotation="90"/>
    </xf>
    <xf numFmtId="0" fontId="39" fillId="0" borderId="29" xfId="1" applyFont="1" applyBorder="1" applyAlignment="1">
      <alignment horizontal="center" vertical="center" textRotation="90"/>
    </xf>
    <xf numFmtId="0" fontId="28" fillId="12" borderId="75" xfId="1" applyFill="1" applyBorder="1" applyAlignment="1">
      <alignment horizontal="center" wrapText="1"/>
    </xf>
    <xf numFmtId="0" fontId="28" fillId="12" borderId="68" xfId="1" applyFill="1" applyBorder="1" applyAlignment="1">
      <alignment horizontal="center" wrapText="1"/>
    </xf>
    <xf numFmtId="0" fontId="40" fillId="0" borderId="75" xfId="1" applyFont="1" applyBorder="1" applyAlignment="1">
      <alignment horizontal="center" wrapText="1"/>
    </xf>
    <xf numFmtId="0" fontId="40" fillId="0" borderId="68" xfId="1" applyFont="1" applyBorder="1" applyAlignment="1">
      <alignment horizontal="center" wrapText="1"/>
    </xf>
    <xf numFmtId="0" fontId="40" fillId="12" borderId="75" xfId="1" applyFont="1" applyFill="1" applyBorder="1" applyAlignment="1">
      <alignment horizontal="center" wrapText="1"/>
    </xf>
    <xf numFmtId="0" fontId="40" fillId="12" borderId="68" xfId="1" applyFont="1" applyFill="1" applyBorder="1" applyAlignment="1">
      <alignment horizontal="center" wrapText="1"/>
    </xf>
    <xf numFmtId="0" fontId="28" fillId="0" borderId="32" xfId="1" applyBorder="1" applyAlignment="1">
      <alignment horizontal="center" vertical="center" wrapText="1"/>
    </xf>
    <xf numFmtId="0" fontId="39" fillId="0" borderId="26" xfId="1" applyFont="1" applyBorder="1" applyAlignment="1">
      <alignment horizontal="center" vertical="center" wrapText="1"/>
    </xf>
    <xf numFmtId="0" fontId="39" fillId="0" borderId="29" xfId="1" applyFont="1" applyBorder="1" applyAlignment="1">
      <alignment horizontal="center" vertical="center" wrapText="1"/>
    </xf>
    <xf numFmtId="0" fontId="40" fillId="12" borderId="75" xfId="1" applyFont="1" applyFill="1" applyBorder="1" applyAlignment="1">
      <alignment horizontal="center" vertical="center" wrapText="1"/>
    </xf>
    <xf numFmtId="0" fontId="40" fillId="12" borderId="68" xfId="1" applyFont="1" applyFill="1" applyBorder="1" applyAlignment="1">
      <alignment horizontal="center" vertical="center" wrapText="1"/>
    </xf>
    <xf numFmtId="0" fontId="28" fillId="0" borderId="70" xfId="1" applyBorder="1" applyAlignment="1">
      <alignment horizontal="center" vertical="center" wrapText="1"/>
    </xf>
    <xf numFmtId="0" fontId="28" fillId="12" borderId="29" xfId="1" applyFill="1" applyBorder="1" applyAlignment="1">
      <alignment horizontal="center" wrapText="1"/>
    </xf>
    <xf numFmtId="0" fontId="39" fillId="0" borderId="62" xfId="1" applyFont="1" applyBorder="1" applyAlignment="1">
      <alignment horizontal="center" vertical="center" wrapText="1"/>
    </xf>
    <xf numFmtId="0" fontId="39" fillId="0" borderId="66" xfId="1" applyFont="1" applyBorder="1" applyAlignment="1">
      <alignment horizontal="center" vertical="center" wrapText="1"/>
    </xf>
    <xf numFmtId="0" fontId="39" fillId="0" borderId="26" xfId="1" applyFont="1" applyBorder="1" applyAlignment="1">
      <alignment horizontal="center" vertical="center"/>
    </xf>
    <xf numFmtId="0" fontId="39" fillId="0" borderId="68" xfId="1" applyFont="1" applyBorder="1" applyAlignment="1">
      <alignment horizontal="center" vertical="center"/>
    </xf>
    <xf numFmtId="0" fontId="28" fillId="0" borderId="61" xfId="1" applyBorder="1" applyAlignment="1">
      <alignment horizontal="center" vertical="center" wrapText="1"/>
    </xf>
    <xf numFmtId="0" fontId="28" fillId="0" borderId="53" xfId="1" applyBorder="1" applyAlignment="1">
      <alignment horizontal="center" vertical="center" wrapText="1"/>
    </xf>
    <xf numFmtId="0" fontId="39" fillId="0" borderId="26" xfId="1" applyFont="1" applyBorder="1" applyAlignment="1">
      <alignment horizontal="center" vertical="center" textRotation="90" wrapText="1"/>
    </xf>
    <xf numFmtId="0" fontId="39" fillId="0" borderId="32" xfId="1" applyFont="1" applyBorder="1" applyAlignment="1">
      <alignment horizontal="center" vertical="center" textRotation="90" wrapText="1"/>
    </xf>
    <xf numFmtId="0" fontId="39" fillId="0" borderId="29" xfId="1" applyFont="1" applyBorder="1" applyAlignment="1">
      <alignment horizontal="center" vertical="center" textRotation="90" wrapText="1"/>
    </xf>
    <xf numFmtId="0" fontId="45" fillId="0" borderId="26" xfId="1" applyFont="1" applyBorder="1" applyAlignment="1">
      <alignment horizontal="center" vertical="center" wrapText="1"/>
    </xf>
    <xf numFmtId="0" fontId="45" fillId="0" borderId="29" xfId="1" applyFont="1" applyBorder="1" applyAlignment="1">
      <alignment horizontal="center" vertical="center" wrapText="1"/>
    </xf>
    <xf numFmtId="0" fontId="31" fillId="0" borderId="32" xfId="1" applyFont="1" applyBorder="1" applyAlignment="1">
      <alignment horizontal="center" vertical="center"/>
    </xf>
    <xf numFmtId="0" fontId="31" fillId="0" borderId="29" xfId="1" applyFont="1" applyBorder="1" applyAlignment="1">
      <alignment horizontal="center" vertical="center"/>
    </xf>
    <xf numFmtId="0" fontId="31" fillId="0" borderId="35" xfId="1" applyFont="1" applyBorder="1" applyAlignment="1">
      <alignment horizontal="center" vertical="center"/>
    </xf>
    <xf numFmtId="0" fontId="31" fillId="0" borderId="36" xfId="1" applyFont="1" applyBorder="1" applyAlignment="1">
      <alignment horizontal="center" vertical="center"/>
    </xf>
    <xf numFmtId="0" fontId="31" fillId="0" borderId="0" xfId="1" applyFont="1" applyAlignment="1">
      <alignment horizontal="center" vertical="center"/>
    </xf>
    <xf numFmtId="0" fontId="31" fillId="0" borderId="9" xfId="1" applyFont="1" applyBorder="1" applyAlignment="1">
      <alignment horizontal="center" vertical="center"/>
    </xf>
    <xf numFmtId="2" fontId="31" fillId="22" borderId="20" xfId="1" applyNumberFormat="1" applyFont="1" applyFill="1" applyBorder="1" applyAlignment="1">
      <alignment horizontal="center"/>
    </xf>
    <xf numFmtId="2" fontId="31" fillId="22" borderId="34" xfId="1" applyNumberFormat="1" applyFont="1" applyFill="1" applyBorder="1" applyAlignment="1">
      <alignment horizontal="center"/>
    </xf>
    <xf numFmtId="49" fontId="31" fillId="0" borderId="53" xfId="1" applyNumberFormat="1" applyFont="1" applyBorder="1" applyAlignment="1">
      <alignment horizontal="center" vertical="center"/>
    </xf>
    <xf numFmtId="49" fontId="31" fillId="0" borderId="57" xfId="1" applyNumberFormat="1" applyFont="1" applyBorder="1" applyAlignment="1">
      <alignment horizontal="center" vertical="center"/>
    </xf>
    <xf numFmtId="0" fontId="39" fillId="0" borderId="73" xfId="1" applyFont="1" applyBorder="1" applyAlignment="1">
      <alignment horizontal="center" vertical="center" wrapText="1"/>
    </xf>
    <xf numFmtId="0" fontId="39" fillId="0" borderId="75" xfId="1" applyFont="1" applyBorder="1" applyAlignment="1">
      <alignment horizontal="center" vertical="center" wrapText="1"/>
    </xf>
    <xf numFmtId="0" fontId="39" fillId="0" borderId="68" xfId="1" applyFont="1" applyBorder="1" applyAlignment="1">
      <alignment horizontal="center" vertical="center" wrapText="1"/>
    </xf>
    <xf numFmtId="0" fontId="31" fillId="0" borderId="53" xfId="1" applyFont="1" applyBorder="1" applyAlignment="1">
      <alignment horizontal="center" vertical="center"/>
    </xf>
    <xf numFmtId="0" fontId="31" fillId="0" borderId="57" xfId="1" applyFont="1" applyBorder="1" applyAlignment="1">
      <alignment horizontal="center" vertical="center"/>
    </xf>
    <xf numFmtId="0" fontId="31" fillId="0" borderId="54" xfId="1" applyFont="1" applyBorder="1" applyAlignment="1">
      <alignment horizontal="center" vertical="center" wrapText="1"/>
    </xf>
    <xf numFmtId="0" fontId="31" fillId="0" borderId="58" xfId="1" applyFont="1" applyBorder="1" applyAlignment="1">
      <alignment horizontal="center" vertical="center" wrapText="1"/>
    </xf>
    <xf numFmtId="0" fontId="31" fillId="0" borderId="55" xfId="1" applyFont="1" applyBorder="1" applyAlignment="1">
      <alignment horizontal="center" vertical="center"/>
    </xf>
    <xf numFmtId="0" fontId="31" fillId="0" borderId="59" xfId="1" applyFont="1" applyBorder="1" applyAlignment="1">
      <alignment horizontal="center" vertical="center"/>
    </xf>
    <xf numFmtId="0" fontId="31" fillId="0" borderId="55" xfId="1" applyFont="1" applyBorder="1" applyAlignment="1">
      <alignment horizontal="center" wrapText="1"/>
    </xf>
    <xf numFmtId="0" fontId="31" fillId="0" borderId="59" xfId="1" applyFont="1" applyBorder="1" applyAlignment="1">
      <alignment horizontal="center" wrapText="1"/>
    </xf>
    <xf numFmtId="0" fontId="31" fillId="0" borderId="56" xfId="1" applyFont="1" applyBorder="1" applyAlignment="1">
      <alignment horizontal="justify"/>
    </xf>
    <xf numFmtId="0" fontId="31" fillId="0" borderId="60" xfId="1" applyFont="1" applyBorder="1" applyAlignment="1">
      <alignment horizontal="justify"/>
    </xf>
    <xf numFmtId="0" fontId="31" fillId="0" borderId="56" xfId="1" applyFont="1" applyBorder="1" applyAlignment="1">
      <alignment horizontal="justify" vertical="center"/>
    </xf>
    <xf numFmtId="0" fontId="31" fillId="0" borderId="60" xfId="1" applyFont="1" applyBorder="1" applyAlignment="1">
      <alignment horizontal="justify" vertical="center"/>
    </xf>
    <xf numFmtId="0" fontId="29" fillId="0" borderId="0" xfId="1" applyFont="1" applyAlignment="1">
      <alignment horizontal="right"/>
    </xf>
    <xf numFmtId="0" fontId="37" fillId="21" borderId="33" xfId="1" applyFont="1" applyFill="1" applyBorder="1" applyAlignment="1">
      <alignment horizontal="center"/>
    </xf>
    <xf numFmtId="0" fontId="37" fillId="21" borderId="20" xfId="1" applyFont="1" applyFill="1" applyBorder="1" applyAlignment="1">
      <alignment horizontal="center"/>
    </xf>
    <xf numFmtId="0" fontId="37" fillId="21" borderId="34" xfId="1" applyFont="1" applyFill="1" applyBorder="1" applyAlignment="1">
      <alignment horizontal="center"/>
    </xf>
    <xf numFmtId="0" fontId="7" fillId="6" borderId="0" xfId="0" applyFont="1" applyFill="1"/>
    <xf numFmtId="0" fontId="0" fillId="0" borderId="0" xfId="0"/>
    <xf numFmtId="0" fontId="12" fillId="0" borderId="0" xfId="0" applyFont="1"/>
    <xf numFmtId="0" fontId="8" fillId="0" borderId="43" xfId="0" applyFont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441856AF-9EC8-47D6-8087-E244D2AA5C6A}"/>
  </cellStyles>
  <dxfs count="131"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C00000"/>
      </font>
    </dxf>
    <dxf>
      <font>
        <color rgb="FF7F7F7F"/>
      </font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C00000"/>
      </font>
    </dxf>
    <dxf>
      <font>
        <color rgb="FF7F7F7F"/>
      </font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C00000"/>
      </font>
    </dxf>
    <dxf>
      <font>
        <color rgb="FF7F7F7F"/>
      </font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FFFF"/>
      </font>
      <fill>
        <patternFill patternType="solid">
          <fgColor indexed="64"/>
          <bgColor rgb="FFFF0000"/>
        </patternFill>
      </fill>
    </dxf>
    <dxf>
      <font>
        <color rgb="FFC00000"/>
      </font>
    </dxf>
    <dxf>
      <font>
        <color rgb="FF7F7F7F"/>
      </font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FFFF"/>
      </font>
      <fill>
        <patternFill patternType="solid">
          <fgColor indexed="64"/>
          <bgColor rgb="FFFF0000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FFFF"/>
      </font>
      <fill>
        <patternFill patternType="solid">
          <fgColor indexed="64"/>
          <bgColor rgb="FFFF0000"/>
        </patternFill>
      </fill>
    </dxf>
    <dxf>
      <font>
        <color rgb="FFC00000"/>
      </font>
    </dxf>
    <dxf>
      <font>
        <color rgb="FF7F7F7F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Calibri"/>
        <scheme val="minor"/>
      </font>
      <numFmt numFmtId="1" formatCode="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Calibri"/>
        <scheme val="minor"/>
      </font>
      <numFmt numFmtId="1" formatCode="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Calibri"/>
        <scheme val="minor"/>
      </font>
      <numFmt numFmtId="1" formatCode="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Calibri"/>
        <scheme val="minor"/>
      </font>
      <numFmt numFmtId="1" formatCode="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>
        <bottom style="medium">
          <color rgb="FF163A5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numFmt numFmtId="0" formatCode="General"/>
      <fill>
        <patternFill patternType="solid">
          <fgColor indexed="64"/>
          <bgColor rgb="FF1D4E78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tmp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tmp"/><Relationship Id="rId2" Type="http://schemas.openxmlformats.org/officeDocument/2006/relationships/image" Target="../media/image6.tmp"/><Relationship Id="rId1" Type="http://schemas.openxmlformats.org/officeDocument/2006/relationships/image" Target="../media/image2.png"/><Relationship Id="rId4" Type="http://schemas.openxmlformats.org/officeDocument/2006/relationships/image" Target="../media/image8.tmp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tmp"/><Relationship Id="rId2" Type="http://schemas.openxmlformats.org/officeDocument/2006/relationships/image" Target="../media/image6.tmp"/><Relationship Id="rId1" Type="http://schemas.openxmlformats.org/officeDocument/2006/relationships/image" Target="../media/image2.png"/><Relationship Id="rId4" Type="http://schemas.openxmlformats.org/officeDocument/2006/relationships/image" Target="../media/image8.tmp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tmp"/><Relationship Id="rId2" Type="http://schemas.openxmlformats.org/officeDocument/2006/relationships/image" Target="../media/image6.tmp"/><Relationship Id="rId1" Type="http://schemas.openxmlformats.org/officeDocument/2006/relationships/image" Target="../media/image2.png"/><Relationship Id="rId4" Type="http://schemas.openxmlformats.org/officeDocument/2006/relationships/image" Target="../media/image8.tmp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tmp"/><Relationship Id="rId2" Type="http://schemas.openxmlformats.org/officeDocument/2006/relationships/image" Target="../media/image6.tmp"/><Relationship Id="rId1" Type="http://schemas.openxmlformats.org/officeDocument/2006/relationships/image" Target="../media/image2.png"/><Relationship Id="rId4" Type="http://schemas.openxmlformats.org/officeDocument/2006/relationships/image" Target="../media/image8.tmp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5.png"/><Relationship Id="rId1" Type="http://schemas.openxmlformats.org/officeDocument/2006/relationships/image" Target="../media/image2.png"/><Relationship Id="rId6" Type="http://schemas.openxmlformats.org/officeDocument/2006/relationships/image" Target="../media/image8.tmp"/><Relationship Id="rId5" Type="http://schemas.openxmlformats.org/officeDocument/2006/relationships/image" Target="../media/image7.tmp"/><Relationship Id="rId4" Type="http://schemas.openxmlformats.org/officeDocument/2006/relationships/image" Target="../media/image6.tmp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33627854" y="112032"/>
    <xdr:ext cx="4639298" cy="3069013"/>
    <xdr:pic>
      <xdr:nvPicPr>
        <xdr:cNvPr id="378" name="RIF_LM252_AMARRO_OPGW">
          <a:extLst>
            <a:ext uri="{FF2B5EF4-FFF2-40B4-BE49-F238E27FC236}">
              <a16:creationId xmlns:a16="http://schemas.microsoft.com/office/drawing/2014/main" id="{FA0C8817-30D5-1919-055C-6FD10FBF1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27854" y="112032"/>
          <a:ext cx="4639298" cy="3069013"/>
        </a:xfrm>
        <a:prstGeom prst="rect">
          <a:avLst/>
        </a:prstGeom>
      </xdr:spPr>
    </xdr:pic>
    <xdr:clientData/>
  </xdr:absoluteAnchor>
  <xdr:absoluteAnchor>
    <xdr:pos x="243568" y="437105"/>
    <xdr:ext cx="1408112" cy="476038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3568" y="437105"/>
          <a:ext cx="1408112" cy="476038"/>
        </a:xfrm>
        <a:prstGeom prst="rect">
          <a:avLst/>
        </a:prstGeom>
      </xdr:spPr>
    </xdr:pic>
    <xdr:clientData/>
  </xdr:absoluteAnchor>
  <xdr:absoluteAnchor>
    <xdr:pos x="17035736" y="6550317"/>
    <xdr:ext cx="788233" cy="560171"/>
    <xdr:pic>
      <xdr:nvPicPr>
        <xdr:cNvPr id="406" name="Imagen 405">
          <a:extLst>
            <a:ext uri="{FF2B5EF4-FFF2-40B4-BE49-F238E27FC236}">
              <a16:creationId xmlns:a16="http://schemas.microsoft.com/office/drawing/2014/main" id="{BBCC8A2A-1F83-4372-BA08-6B6E45E63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17035736" y="6550317"/>
          <a:ext cx="788233" cy="560171"/>
        </a:xfrm>
        <a:prstGeom prst="rect">
          <a:avLst/>
        </a:prstGeom>
      </xdr:spPr>
    </xdr:pic>
    <xdr:clientData/>
  </xdr:absoluteAnchor>
  <xdr:absoluteAnchor>
    <xdr:pos x="776960" y="6418035"/>
    <xdr:ext cx="1136272" cy="754351"/>
    <xdr:pic>
      <xdr:nvPicPr>
        <xdr:cNvPr id="407" name="Imagen 406">
          <a:extLst>
            <a:ext uri="{FF2B5EF4-FFF2-40B4-BE49-F238E27FC236}">
              <a16:creationId xmlns:a16="http://schemas.microsoft.com/office/drawing/2014/main" id="{1ADD26C0-0C0E-4259-9522-6B1B159F8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776960" y="6418035"/>
          <a:ext cx="1136272" cy="754351"/>
        </a:xfrm>
        <a:prstGeom prst="rect">
          <a:avLst/>
        </a:prstGeom>
      </xdr:spPr>
    </xdr:pic>
    <xdr:clientData/>
  </xdr:absoluteAnchor>
  <xdr:absoluteAnchor>
    <xdr:pos x="15698045" y="3198117"/>
    <xdr:ext cx="1849157" cy="1220922"/>
    <xdr:pic>
      <xdr:nvPicPr>
        <xdr:cNvPr id="409" name="Imagen 408">
          <a:extLst>
            <a:ext uri="{FF2B5EF4-FFF2-40B4-BE49-F238E27FC236}">
              <a16:creationId xmlns:a16="http://schemas.microsoft.com/office/drawing/2014/main" id="{7BF5C218-A9E3-4566-83E1-CC98D8827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698045" y="3198117"/>
          <a:ext cx="1849157" cy="1220922"/>
        </a:xfrm>
        <a:prstGeom prst="rect">
          <a:avLst/>
        </a:prstGeom>
      </xdr:spPr>
    </xdr:pic>
    <xdr:clientData/>
  </xdr:absoluteAnchor>
  <xdr:twoCellAnchor>
    <xdr:from>
      <xdr:col>1</xdr:col>
      <xdr:colOff>0</xdr:colOff>
      <xdr:row>25</xdr:row>
      <xdr:rowOff>92075</xdr:rowOff>
    </xdr:from>
    <xdr:to>
      <xdr:col>43</xdr:col>
      <xdr:colOff>0</xdr:colOff>
      <xdr:row>25</xdr:row>
      <xdr:rowOff>92075</xdr:rowOff>
    </xdr:to>
    <xdr:cxnSp macro="">
      <xdr:nvCxnSpPr>
        <xdr:cNvPr id="4" name="SCHEMA_T01_TERRENO">
          <a:extLst>
            <a:ext uri="{FF2B5EF4-FFF2-40B4-BE49-F238E27FC236}">
              <a16:creationId xmlns:a16="http://schemas.microsoft.com/office/drawing/2014/main" id="{A9D7035B-F7F6-CA84-AECD-20E83E9AD7BB}"/>
            </a:ext>
          </a:extLst>
        </xdr:cNvPr>
        <xdr:cNvCxnSpPr/>
      </xdr:nvCxnSpPr>
      <xdr:spPr>
        <a:xfrm>
          <a:off x="1676400" y="7134225"/>
          <a:ext cx="16002000" cy="0"/>
        </a:xfrm>
        <a:prstGeom prst="line">
          <a:avLst/>
        </a:prstGeom>
        <a:ln w="15240">
          <a:solidFill>
            <a:srgbClr val="80808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</xdr:row>
      <xdr:rowOff>228322</xdr:rowOff>
    </xdr:from>
    <xdr:to>
      <xdr:col>1</xdr:col>
      <xdr:colOff>44450</xdr:colOff>
      <xdr:row>25</xdr:row>
      <xdr:rowOff>92075</xdr:rowOff>
    </xdr:to>
    <xdr:cxnSp macro="">
      <xdr:nvCxnSpPr>
        <xdr:cNvPr id="5" name="SCHEMA_T01_SOSTEGNO_01_SX">
          <a:extLst>
            <a:ext uri="{FF2B5EF4-FFF2-40B4-BE49-F238E27FC236}">
              <a16:creationId xmlns:a16="http://schemas.microsoft.com/office/drawing/2014/main" id="{89EEA478-A059-69AA-9E50-B80A2698B7C3}"/>
            </a:ext>
          </a:extLst>
        </xdr:cNvPr>
        <xdr:cNvCxnSpPr/>
      </xdr:nvCxnSpPr>
      <xdr:spPr>
        <a:xfrm flipV="1">
          <a:off x="1676400" y="4546322"/>
          <a:ext cx="44450" cy="2587903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44450</xdr:colOff>
      <xdr:row>14</xdr:row>
      <xdr:rowOff>228322</xdr:rowOff>
    </xdr:from>
    <xdr:to>
      <xdr:col>1</xdr:col>
      <xdr:colOff>88900</xdr:colOff>
      <xdr:row>25</xdr:row>
      <xdr:rowOff>92075</xdr:rowOff>
    </xdr:to>
    <xdr:cxnSp macro="">
      <xdr:nvCxnSpPr>
        <xdr:cNvPr id="6" name="SCHEMA_T01_SOSTEGNO_01_DX">
          <a:extLst>
            <a:ext uri="{FF2B5EF4-FFF2-40B4-BE49-F238E27FC236}">
              <a16:creationId xmlns:a16="http://schemas.microsoft.com/office/drawing/2014/main" id="{E6C5960A-03ED-D690-5DEE-3A6A562966CD}"/>
            </a:ext>
          </a:extLst>
        </xdr:cNvPr>
        <xdr:cNvCxnSpPr/>
      </xdr:nvCxnSpPr>
      <xdr:spPr>
        <a:xfrm flipH="1" flipV="1">
          <a:off x="1720850" y="4546322"/>
          <a:ext cx="44450" cy="2587903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</xdr:row>
      <xdr:rowOff>198845</xdr:rowOff>
    </xdr:from>
    <xdr:to>
      <xdr:col>1</xdr:col>
      <xdr:colOff>88900</xdr:colOff>
      <xdr:row>16</xdr:row>
      <xdr:rowOff>198845</xdr:rowOff>
    </xdr:to>
    <xdr:cxnSp macro="">
      <xdr:nvCxnSpPr>
        <xdr:cNvPr id="7" name="SCHEMA_T01_SOSTEGNO_01_TR1">
          <a:extLst>
            <a:ext uri="{FF2B5EF4-FFF2-40B4-BE49-F238E27FC236}">
              <a16:creationId xmlns:a16="http://schemas.microsoft.com/office/drawing/2014/main" id="{0650B696-2FB3-F6F9-47A0-5BC801316C67}"/>
            </a:ext>
          </a:extLst>
        </xdr:cNvPr>
        <xdr:cNvCxnSpPr/>
      </xdr:nvCxnSpPr>
      <xdr:spPr>
        <a:xfrm>
          <a:off x="1676400" y="5012145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</xdr:row>
      <xdr:rowOff>14093</xdr:rowOff>
    </xdr:from>
    <xdr:to>
      <xdr:col>1</xdr:col>
      <xdr:colOff>88900</xdr:colOff>
      <xdr:row>18</xdr:row>
      <xdr:rowOff>14093</xdr:rowOff>
    </xdr:to>
    <xdr:cxnSp macro="">
      <xdr:nvCxnSpPr>
        <xdr:cNvPr id="8" name="SCHEMA_T01_SOSTEGNO_01_TR2">
          <a:extLst>
            <a:ext uri="{FF2B5EF4-FFF2-40B4-BE49-F238E27FC236}">
              <a16:creationId xmlns:a16="http://schemas.microsoft.com/office/drawing/2014/main" id="{3B2F583A-0C3E-1ECA-5EE9-A2532DEAAEFA}"/>
            </a:ext>
          </a:extLst>
        </xdr:cNvPr>
        <xdr:cNvCxnSpPr/>
      </xdr:nvCxnSpPr>
      <xdr:spPr>
        <a:xfrm>
          <a:off x="1676400" y="5322693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</xdr:row>
      <xdr:rowOff>76991</xdr:rowOff>
    </xdr:from>
    <xdr:to>
      <xdr:col>1</xdr:col>
      <xdr:colOff>88900</xdr:colOff>
      <xdr:row>19</xdr:row>
      <xdr:rowOff>76991</xdr:rowOff>
    </xdr:to>
    <xdr:cxnSp macro="">
      <xdr:nvCxnSpPr>
        <xdr:cNvPr id="9" name="SCHEMA_T01_SOSTEGNO_01_TR3">
          <a:extLst>
            <a:ext uri="{FF2B5EF4-FFF2-40B4-BE49-F238E27FC236}">
              <a16:creationId xmlns:a16="http://schemas.microsoft.com/office/drawing/2014/main" id="{B65DFD10-42B3-9F1E-BE68-68DE0A7044CE}"/>
            </a:ext>
          </a:extLst>
        </xdr:cNvPr>
        <xdr:cNvCxnSpPr/>
      </xdr:nvCxnSpPr>
      <xdr:spPr>
        <a:xfrm>
          <a:off x="1676400" y="5633241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</xdr:row>
      <xdr:rowOff>75169</xdr:rowOff>
    </xdr:from>
    <xdr:to>
      <xdr:col>3</xdr:col>
      <xdr:colOff>44450</xdr:colOff>
      <xdr:row>25</xdr:row>
      <xdr:rowOff>92075</xdr:rowOff>
    </xdr:to>
    <xdr:cxnSp macro="">
      <xdr:nvCxnSpPr>
        <xdr:cNvPr id="10" name="SCHEMA_T01_SOSTEGNO_02_SX">
          <a:extLst>
            <a:ext uri="{FF2B5EF4-FFF2-40B4-BE49-F238E27FC236}">
              <a16:creationId xmlns:a16="http://schemas.microsoft.com/office/drawing/2014/main" id="{B24349A3-FC93-CFEC-A8F8-797DB6973FFA}"/>
            </a:ext>
          </a:extLst>
        </xdr:cNvPr>
        <xdr:cNvCxnSpPr/>
      </xdr:nvCxnSpPr>
      <xdr:spPr>
        <a:xfrm flipV="1">
          <a:off x="2435679" y="4633562"/>
          <a:ext cx="44450" cy="2466192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44450</xdr:colOff>
      <xdr:row>15</xdr:row>
      <xdr:rowOff>75169</xdr:rowOff>
    </xdr:from>
    <xdr:to>
      <xdr:col>3</xdr:col>
      <xdr:colOff>88900</xdr:colOff>
      <xdr:row>25</xdr:row>
      <xdr:rowOff>92075</xdr:rowOff>
    </xdr:to>
    <xdr:cxnSp macro="">
      <xdr:nvCxnSpPr>
        <xdr:cNvPr id="11" name="SCHEMA_T01_SOSTEGNO_02_DX">
          <a:extLst>
            <a:ext uri="{FF2B5EF4-FFF2-40B4-BE49-F238E27FC236}">
              <a16:creationId xmlns:a16="http://schemas.microsoft.com/office/drawing/2014/main" id="{EDE39C3A-6D0D-D047-CEF9-F7034AABD592}"/>
            </a:ext>
          </a:extLst>
        </xdr:cNvPr>
        <xdr:cNvCxnSpPr/>
      </xdr:nvCxnSpPr>
      <xdr:spPr>
        <a:xfrm flipH="1" flipV="1">
          <a:off x="2482850" y="4640819"/>
          <a:ext cx="44450" cy="2493406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17</xdr:row>
      <xdr:rowOff>28682</xdr:rowOff>
    </xdr:from>
    <xdr:to>
      <xdr:col>3</xdr:col>
      <xdr:colOff>88900</xdr:colOff>
      <xdr:row>17</xdr:row>
      <xdr:rowOff>28682</xdr:rowOff>
    </xdr:to>
    <xdr:cxnSp macro="">
      <xdr:nvCxnSpPr>
        <xdr:cNvPr id="12" name="SCHEMA_T01_SOSTEGNO_02_TR1">
          <a:extLst>
            <a:ext uri="{FF2B5EF4-FFF2-40B4-BE49-F238E27FC236}">
              <a16:creationId xmlns:a16="http://schemas.microsoft.com/office/drawing/2014/main" id="{61DAD57E-FA3B-7445-9F82-9BEC4148C571}"/>
            </a:ext>
          </a:extLst>
        </xdr:cNvPr>
        <xdr:cNvCxnSpPr/>
      </xdr:nvCxnSpPr>
      <xdr:spPr>
        <a:xfrm>
          <a:off x="2438400" y="5089632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18</xdr:row>
      <xdr:rowOff>80240</xdr:rowOff>
    </xdr:from>
    <xdr:to>
      <xdr:col>3</xdr:col>
      <xdr:colOff>88900</xdr:colOff>
      <xdr:row>18</xdr:row>
      <xdr:rowOff>80240</xdr:rowOff>
    </xdr:to>
    <xdr:cxnSp macro="">
      <xdr:nvCxnSpPr>
        <xdr:cNvPr id="13" name="SCHEMA_T01_SOSTEGNO_02_TR2">
          <a:extLst>
            <a:ext uri="{FF2B5EF4-FFF2-40B4-BE49-F238E27FC236}">
              <a16:creationId xmlns:a16="http://schemas.microsoft.com/office/drawing/2014/main" id="{4DFFC034-CD81-852C-8C37-61785D7EA972}"/>
            </a:ext>
          </a:extLst>
        </xdr:cNvPr>
        <xdr:cNvCxnSpPr/>
      </xdr:nvCxnSpPr>
      <xdr:spPr>
        <a:xfrm>
          <a:off x="2438400" y="5388840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19</xdr:row>
      <xdr:rowOff>131799</xdr:rowOff>
    </xdr:from>
    <xdr:to>
      <xdr:col>3</xdr:col>
      <xdr:colOff>88900</xdr:colOff>
      <xdr:row>19</xdr:row>
      <xdr:rowOff>131799</xdr:rowOff>
    </xdr:to>
    <xdr:cxnSp macro="">
      <xdr:nvCxnSpPr>
        <xdr:cNvPr id="14" name="SCHEMA_T01_SOSTEGNO_02_TR3">
          <a:extLst>
            <a:ext uri="{FF2B5EF4-FFF2-40B4-BE49-F238E27FC236}">
              <a16:creationId xmlns:a16="http://schemas.microsoft.com/office/drawing/2014/main" id="{74956BD6-127C-1F2C-50D0-8385D23894E9}"/>
            </a:ext>
          </a:extLst>
        </xdr:cNvPr>
        <xdr:cNvCxnSpPr/>
      </xdr:nvCxnSpPr>
      <xdr:spPr>
        <a:xfrm>
          <a:off x="2438400" y="5688049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</xdr:row>
      <xdr:rowOff>75169</xdr:rowOff>
    </xdr:from>
    <xdr:to>
      <xdr:col>5</xdr:col>
      <xdr:colOff>44450</xdr:colOff>
      <xdr:row>25</xdr:row>
      <xdr:rowOff>92075</xdr:rowOff>
    </xdr:to>
    <xdr:cxnSp macro="">
      <xdr:nvCxnSpPr>
        <xdr:cNvPr id="15" name="SCHEMA_T01_SOSTEGNO_03_SX">
          <a:extLst>
            <a:ext uri="{FF2B5EF4-FFF2-40B4-BE49-F238E27FC236}">
              <a16:creationId xmlns:a16="http://schemas.microsoft.com/office/drawing/2014/main" id="{8E3DBABD-D4AE-BCB2-D81E-0AF8375AC542}"/>
            </a:ext>
          </a:extLst>
        </xdr:cNvPr>
        <xdr:cNvCxnSpPr/>
      </xdr:nvCxnSpPr>
      <xdr:spPr>
        <a:xfrm flipV="1">
          <a:off x="3200400" y="4640819"/>
          <a:ext cx="44450" cy="2493406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44450</xdr:colOff>
      <xdr:row>15</xdr:row>
      <xdr:rowOff>75169</xdr:rowOff>
    </xdr:from>
    <xdr:to>
      <xdr:col>5</xdr:col>
      <xdr:colOff>88900</xdr:colOff>
      <xdr:row>25</xdr:row>
      <xdr:rowOff>92075</xdr:rowOff>
    </xdr:to>
    <xdr:cxnSp macro="">
      <xdr:nvCxnSpPr>
        <xdr:cNvPr id="16" name="SCHEMA_T01_SOSTEGNO_03_DX">
          <a:extLst>
            <a:ext uri="{FF2B5EF4-FFF2-40B4-BE49-F238E27FC236}">
              <a16:creationId xmlns:a16="http://schemas.microsoft.com/office/drawing/2014/main" id="{931800F3-BC47-8CD9-F76D-CB9E82DC36BF}"/>
            </a:ext>
          </a:extLst>
        </xdr:cNvPr>
        <xdr:cNvCxnSpPr/>
      </xdr:nvCxnSpPr>
      <xdr:spPr>
        <a:xfrm flipH="1" flipV="1">
          <a:off x="3244850" y="4640819"/>
          <a:ext cx="44450" cy="2493406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17</xdr:row>
      <xdr:rowOff>28682</xdr:rowOff>
    </xdr:from>
    <xdr:to>
      <xdr:col>5</xdr:col>
      <xdr:colOff>88900</xdr:colOff>
      <xdr:row>17</xdr:row>
      <xdr:rowOff>28682</xdr:rowOff>
    </xdr:to>
    <xdr:cxnSp macro="">
      <xdr:nvCxnSpPr>
        <xdr:cNvPr id="17" name="SCHEMA_T01_SOSTEGNO_03_TR1">
          <a:extLst>
            <a:ext uri="{FF2B5EF4-FFF2-40B4-BE49-F238E27FC236}">
              <a16:creationId xmlns:a16="http://schemas.microsoft.com/office/drawing/2014/main" id="{A16E63E8-E6B2-44FC-5F82-1E24D77C67A2}"/>
            </a:ext>
          </a:extLst>
        </xdr:cNvPr>
        <xdr:cNvCxnSpPr/>
      </xdr:nvCxnSpPr>
      <xdr:spPr>
        <a:xfrm>
          <a:off x="3200400" y="5089632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18</xdr:row>
      <xdr:rowOff>80240</xdr:rowOff>
    </xdr:from>
    <xdr:to>
      <xdr:col>5</xdr:col>
      <xdr:colOff>88900</xdr:colOff>
      <xdr:row>18</xdr:row>
      <xdr:rowOff>80240</xdr:rowOff>
    </xdr:to>
    <xdr:cxnSp macro="">
      <xdr:nvCxnSpPr>
        <xdr:cNvPr id="18" name="SCHEMA_T01_SOSTEGNO_03_TR2">
          <a:extLst>
            <a:ext uri="{FF2B5EF4-FFF2-40B4-BE49-F238E27FC236}">
              <a16:creationId xmlns:a16="http://schemas.microsoft.com/office/drawing/2014/main" id="{7EF2929A-BE50-B98D-F86E-B9890D3F2ADE}"/>
            </a:ext>
          </a:extLst>
        </xdr:cNvPr>
        <xdr:cNvCxnSpPr/>
      </xdr:nvCxnSpPr>
      <xdr:spPr>
        <a:xfrm>
          <a:off x="3200400" y="5388840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19</xdr:row>
      <xdr:rowOff>131799</xdr:rowOff>
    </xdr:from>
    <xdr:to>
      <xdr:col>5</xdr:col>
      <xdr:colOff>88900</xdr:colOff>
      <xdr:row>19</xdr:row>
      <xdr:rowOff>131799</xdr:rowOff>
    </xdr:to>
    <xdr:cxnSp macro="">
      <xdr:nvCxnSpPr>
        <xdr:cNvPr id="19" name="SCHEMA_T01_SOSTEGNO_03_TR3">
          <a:extLst>
            <a:ext uri="{FF2B5EF4-FFF2-40B4-BE49-F238E27FC236}">
              <a16:creationId xmlns:a16="http://schemas.microsoft.com/office/drawing/2014/main" id="{704FD2D5-C56E-E27F-1A29-0F914AF1C83C}"/>
            </a:ext>
          </a:extLst>
        </xdr:cNvPr>
        <xdr:cNvCxnSpPr/>
      </xdr:nvCxnSpPr>
      <xdr:spPr>
        <a:xfrm>
          <a:off x="3200400" y="5688049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</xdr:row>
      <xdr:rowOff>3492</xdr:rowOff>
    </xdr:from>
    <xdr:to>
      <xdr:col>7</xdr:col>
      <xdr:colOff>44450</xdr:colOff>
      <xdr:row>25</xdr:row>
      <xdr:rowOff>92075</xdr:rowOff>
    </xdr:to>
    <xdr:cxnSp macro="">
      <xdr:nvCxnSpPr>
        <xdr:cNvPr id="20" name="SCHEMA_T01_SOSTEGNO_04_SX">
          <a:extLst>
            <a:ext uri="{FF2B5EF4-FFF2-40B4-BE49-F238E27FC236}">
              <a16:creationId xmlns:a16="http://schemas.microsoft.com/office/drawing/2014/main" id="{B417548D-5AF0-FC53-6493-50C5081A7F10}"/>
            </a:ext>
          </a:extLst>
        </xdr:cNvPr>
        <xdr:cNvCxnSpPr/>
      </xdr:nvCxnSpPr>
      <xdr:spPr>
        <a:xfrm flipV="1">
          <a:off x="3962400" y="4073842"/>
          <a:ext cx="44450" cy="3060383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44450</xdr:colOff>
      <xdr:row>13</xdr:row>
      <xdr:rowOff>3492</xdr:rowOff>
    </xdr:from>
    <xdr:to>
      <xdr:col>7</xdr:col>
      <xdr:colOff>88900</xdr:colOff>
      <xdr:row>25</xdr:row>
      <xdr:rowOff>92075</xdr:rowOff>
    </xdr:to>
    <xdr:cxnSp macro="">
      <xdr:nvCxnSpPr>
        <xdr:cNvPr id="21" name="SCHEMA_T01_SOSTEGNO_04_DX">
          <a:extLst>
            <a:ext uri="{FF2B5EF4-FFF2-40B4-BE49-F238E27FC236}">
              <a16:creationId xmlns:a16="http://schemas.microsoft.com/office/drawing/2014/main" id="{E99AC9DB-3BF5-EF2A-7959-81152959EF49}"/>
            </a:ext>
          </a:extLst>
        </xdr:cNvPr>
        <xdr:cNvCxnSpPr/>
      </xdr:nvCxnSpPr>
      <xdr:spPr>
        <a:xfrm flipH="1" flipV="1">
          <a:off x="4006850" y="4073842"/>
          <a:ext cx="44450" cy="3060383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15</xdr:row>
      <xdr:rowOff>59062</xdr:rowOff>
    </xdr:from>
    <xdr:to>
      <xdr:col>7</xdr:col>
      <xdr:colOff>88900</xdr:colOff>
      <xdr:row>15</xdr:row>
      <xdr:rowOff>59062</xdr:rowOff>
    </xdr:to>
    <xdr:cxnSp macro="">
      <xdr:nvCxnSpPr>
        <xdr:cNvPr id="22" name="SCHEMA_T01_SOSTEGNO_04_TR1">
          <a:extLst>
            <a:ext uri="{FF2B5EF4-FFF2-40B4-BE49-F238E27FC236}">
              <a16:creationId xmlns:a16="http://schemas.microsoft.com/office/drawing/2014/main" id="{2E42C4B5-ECE7-2455-B7AA-9D5BBC85732A}"/>
            </a:ext>
          </a:extLst>
        </xdr:cNvPr>
        <xdr:cNvCxnSpPr/>
      </xdr:nvCxnSpPr>
      <xdr:spPr>
        <a:xfrm>
          <a:off x="3962400" y="4624712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16</xdr:row>
      <xdr:rowOff>178657</xdr:rowOff>
    </xdr:from>
    <xdr:to>
      <xdr:col>7</xdr:col>
      <xdr:colOff>88900</xdr:colOff>
      <xdr:row>16</xdr:row>
      <xdr:rowOff>178657</xdr:rowOff>
    </xdr:to>
    <xdr:cxnSp macro="">
      <xdr:nvCxnSpPr>
        <xdr:cNvPr id="23" name="SCHEMA_T01_SOSTEGNO_04_TR2">
          <a:extLst>
            <a:ext uri="{FF2B5EF4-FFF2-40B4-BE49-F238E27FC236}">
              <a16:creationId xmlns:a16="http://schemas.microsoft.com/office/drawing/2014/main" id="{EA4136E3-88EB-CAAD-478C-D38B18A8396F}"/>
            </a:ext>
          </a:extLst>
        </xdr:cNvPr>
        <xdr:cNvCxnSpPr/>
      </xdr:nvCxnSpPr>
      <xdr:spPr>
        <a:xfrm>
          <a:off x="3962400" y="4991957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18</xdr:row>
      <xdr:rowOff>50603</xdr:rowOff>
    </xdr:from>
    <xdr:to>
      <xdr:col>7</xdr:col>
      <xdr:colOff>88900</xdr:colOff>
      <xdr:row>18</xdr:row>
      <xdr:rowOff>50603</xdr:rowOff>
    </xdr:to>
    <xdr:cxnSp macro="">
      <xdr:nvCxnSpPr>
        <xdr:cNvPr id="24" name="SCHEMA_T01_SOSTEGNO_04_TR3">
          <a:extLst>
            <a:ext uri="{FF2B5EF4-FFF2-40B4-BE49-F238E27FC236}">
              <a16:creationId xmlns:a16="http://schemas.microsoft.com/office/drawing/2014/main" id="{0A5BB508-61BB-CEF8-DE5F-14FCE7BC0202}"/>
            </a:ext>
          </a:extLst>
        </xdr:cNvPr>
        <xdr:cNvCxnSpPr/>
      </xdr:nvCxnSpPr>
      <xdr:spPr>
        <a:xfrm>
          <a:off x="3962400" y="5359203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14</xdr:row>
      <xdr:rowOff>110203</xdr:rowOff>
    </xdr:from>
    <xdr:to>
      <xdr:col>9</xdr:col>
      <xdr:colOff>44450</xdr:colOff>
      <xdr:row>25</xdr:row>
      <xdr:rowOff>92075</xdr:rowOff>
    </xdr:to>
    <xdr:cxnSp macro="">
      <xdr:nvCxnSpPr>
        <xdr:cNvPr id="25" name="SCHEMA_T01_SOSTEGNO_05_SX">
          <a:extLst>
            <a:ext uri="{FF2B5EF4-FFF2-40B4-BE49-F238E27FC236}">
              <a16:creationId xmlns:a16="http://schemas.microsoft.com/office/drawing/2014/main" id="{D5331CE8-AF8E-7158-AAE7-6ACA3D0CB77D}"/>
            </a:ext>
          </a:extLst>
        </xdr:cNvPr>
        <xdr:cNvCxnSpPr/>
      </xdr:nvCxnSpPr>
      <xdr:spPr>
        <a:xfrm flipV="1">
          <a:off x="4724400" y="4428203"/>
          <a:ext cx="44450" cy="2706022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44450</xdr:colOff>
      <xdr:row>14</xdr:row>
      <xdr:rowOff>110203</xdr:rowOff>
    </xdr:from>
    <xdr:to>
      <xdr:col>9</xdr:col>
      <xdr:colOff>88900</xdr:colOff>
      <xdr:row>25</xdr:row>
      <xdr:rowOff>92075</xdr:rowOff>
    </xdr:to>
    <xdr:cxnSp macro="">
      <xdr:nvCxnSpPr>
        <xdr:cNvPr id="26" name="SCHEMA_T01_SOSTEGNO_05_DX">
          <a:extLst>
            <a:ext uri="{FF2B5EF4-FFF2-40B4-BE49-F238E27FC236}">
              <a16:creationId xmlns:a16="http://schemas.microsoft.com/office/drawing/2014/main" id="{8BDD2FA0-52D0-1C96-C7A7-336DF88B1680}"/>
            </a:ext>
          </a:extLst>
        </xdr:cNvPr>
        <xdr:cNvCxnSpPr/>
      </xdr:nvCxnSpPr>
      <xdr:spPr>
        <a:xfrm flipH="1" flipV="1">
          <a:off x="4768850" y="4428203"/>
          <a:ext cx="44450" cy="2706022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16</xdr:row>
      <xdr:rowOff>101987</xdr:rowOff>
    </xdr:from>
    <xdr:to>
      <xdr:col>9</xdr:col>
      <xdr:colOff>88900</xdr:colOff>
      <xdr:row>16</xdr:row>
      <xdr:rowOff>101987</xdr:rowOff>
    </xdr:to>
    <xdr:cxnSp macro="">
      <xdr:nvCxnSpPr>
        <xdr:cNvPr id="27" name="SCHEMA_T01_SOSTEGNO_05_TR1">
          <a:extLst>
            <a:ext uri="{FF2B5EF4-FFF2-40B4-BE49-F238E27FC236}">
              <a16:creationId xmlns:a16="http://schemas.microsoft.com/office/drawing/2014/main" id="{16D99FCB-2177-7E79-1E6D-F1312D5BF8EA}"/>
            </a:ext>
          </a:extLst>
        </xdr:cNvPr>
        <xdr:cNvCxnSpPr/>
      </xdr:nvCxnSpPr>
      <xdr:spPr>
        <a:xfrm>
          <a:off x="4724400" y="4915287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17</xdr:row>
      <xdr:rowOff>179059</xdr:rowOff>
    </xdr:from>
    <xdr:to>
      <xdr:col>9</xdr:col>
      <xdr:colOff>88900</xdr:colOff>
      <xdr:row>17</xdr:row>
      <xdr:rowOff>179059</xdr:rowOff>
    </xdr:to>
    <xdr:cxnSp macro="">
      <xdr:nvCxnSpPr>
        <xdr:cNvPr id="28" name="SCHEMA_T01_SOSTEGNO_05_TR2">
          <a:extLst>
            <a:ext uri="{FF2B5EF4-FFF2-40B4-BE49-F238E27FC236}">
              <a16:creationId xmlns:a16="http://schemas.microsoft.com/office/drawing/2014/main" id="{E0ABFD5A-D5F6-D769-3204-380025479274}"/>
            </a:ext>
          </a:extLst>
        </xdr:cNvPr>
        <xdr:cNvCxnSpPr/>
      </xdr:nvCxnSpPr>
      <xdr:spPr>
        <a:xfrm>
          <a:off x="4724400" y="5240009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19</xdr:row>
      <xdr:rowOff>8482</xdr:rowOff>
    </xdr:from>
    <xdr:to>
      <xdr:col>9</xdr:col>
      <xdr:colOff>88900</xdr:colOff>
      <xdr:row>19</xdr:row>
      <xdr:rowOff>8482</xdr:rowOff>
    </xdr:to>
    <xdr:cxnSp macro="">
      <xdr:nvCxnSpPr>
        <xdr:cNvPr id="29" name="SCHEMA_T01_SOSTEGNO_05_TR3">
          <a:extLst>
            <a:ext uri="{FF2B5EF4-FFF2-40B4-BE49-F238E27FC236}">
              <a16:creationId xmlns:a16="http://schemas.microsoft.com/office/drawing/2014/main" id="{A87C846F-E35A-F9FA-8407-DD08CDBC9CCA}"/>
            </a:ext>
          </a:extLst>
        </xdr:cNvPr>
        <xdr:cNvCxnSpPr/>
      </xdr:nvCxnSpPr>
      <xdr:spPr>
        <a:xfrm>
          <a:off x="4724400" y="5564732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</xdr:row>
      <xdr:rowOff>70829</xdr:rowOff>
    </xdr:from>
    <xdr:to>
      <xdr:col>11</xdr:col>
      <xdr:colOff>44450</xdr:colOff>
      <xdr:row>25</xdr:row>
      <xdr:rowOff>92075</xdr:rowOff>
    </xdr:to>
    <xdr:cxnSp macro="">
      <xdr:nvCxnSpPr>
        <xdr:cNvPr id="30" name="SCHEMA_T01_SOSTEGNO_06_SX">
          <a:extLst>
            <a:ext uri="{FF2B5EF4-FFF2-40B4-BE49-F238E27FC236}">
              <a16:creationId xmlns:a16="http://schemas.microsoft.com/office/drawing/2014/main" id="{4A018E83-68B5-3FCD-D5AF-7D9CDAA3C5F5}"/>
            </a:ext>
          </a:extLst>
        </xdr:cNvPr>
        <xdr:cNvCxnSpPr/>
      </xdr:nvCxnSpPr>
      <xdr:spPr>
        <a:xfrm flipV="1">
          <a:off x="5486400" y="4388829"/>
          <a:ext cx="44450" cy="2745396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44450</xdr:colOff>
      <xdr:row>14</xdr:row>
      <xdr:rowOff>70829</xdr:rowOff>
    </xdr:from>
    <xdr:to>
      <xdr:col>11</xdr:col>
      <xdr:colOff>88900</xdr:colOff>
      <xdr:row>25</xdr:row>
      <xdr:rowOff>92075</xdr:rowOff>
    </xdr:to>
    <xdr:cxnSp macro="">
      <xdr:nvCxnSpPr>
        <xdr:cNvPr id="31" name="SCHEMA_T01_SOSTEGNO_06_DX">
          <a:extLst>
            <a:ext uri="{FF2B5EF4-FFF2-40B4-BE49-F238E27FC236}">
              <a16:creationId xmlns:a16="http://schemas.microsoft.com/office/drawing/2014/main" id="{72821209-38A7-8AF3-6A5D-85A8099DA377}"/>
            </a:ext>
          </a:extLst>
        </xdr:cNvPr>
        <xdr:cNvCxnSpPr/>
      </xdr:nvCxnSpPr>
      <xdr:spPr>
        <a:xfrm flipH="1" flipV="1">
          <a:off x="5530850" y="4388829"/>
          <a:ext cx="44450" cy="2745396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16</xdr:row>
      <xdr:rowOff>69700</xdr:rowOff>
    </xdr:from>
    <xdr:to>
      <xdr:col>11</xdr:col>
      <xdr:colOff>88900</xdr:colOff>
      <xdr:row>16</xdr:row>
      <xdr:rowOff>69700</xdr:rowOff>
    </xdr:to>
    <xdr:cxnSp macro="">
      <xdr:nvCxnSpPr>
        <xdr:cNvPr id="32" name="SCHEMA_T01_SOSTEGNO_06_TR1">
          <a:extLst>
            <a:ext uri="{FF2B5EF4-FFF2-40B4-BE49-F238E27FC236}">
              <a16:creationId xmlns:a16="http://schemas.microsoft.com/office/drawing/2014/main" id="{F7531BC3-A90C-9E19-B269-70E35D223E0D}"/>
            </a:ext>
          </a:extLst>
        </xdr:cNvPr>
        <xdr:cNvCxnSpPr/>
      </xdr:nvCxnSpPr>
      <xdr:spPr>
        <a:xfrm>
          <a:off x="5486400" y="4883000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17</xdr:row>
      <xdr:rowOff>151498</xdr:rowOff>
    </xdr:from>
    <xdr:to>
      <xdr:col>11</xdr:col>
      <xdr:colOff>88900</xdr:colOff>
      <xdr:row>17</xdr:row>
      <xdr:rowOff>151498</xdr:rowOff>
    </xdr:to>
    <xdr:cxnSp macro="">
      <xdr:nvCxnSpPr>
        <xdr:cNvPr id="33" name="SCHEMA_T01_SOSTEGNO_06_TR2">
          <a:extLst>
            <a:ext uri="{FF2B5EF4-FFF2-40B4-BE49-F238E27FC236}">
              <a16:creationId xmlns:a16="http://schemas.microsoft.com/office/drawing/2014/main" id="{9CB62184-AF3F-E0C5-287F-7FCCE31DBBF2}"/>
            </a:ext>
          </a:extLst>
        </xdr:cNvPr>
        <xdr:cNvCxnSpPr/>
      </xdr:nvCxnSpPr>
      <xdr:spPr>
        <a:xfrm>
          <a:off x="5486400" y="5212448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18</xdr:row>
      <xdr:rowOff>233295</xdr:rowOff>
    </xdr:from>
    <xdr:to>
      <xdr:col>11</xdr:col>
      <xdr:colOff>88900</xdr:colOff>
      <xdr:row>18</xdr:row>
      <xdr:rowOff>233295</xdr:rowOff>
    </xdr:to>
    <xdr:cxnSp macro="">
      <xdr:nvCxnSpPr>
        <xdr:cNvPr id="34" name="SCHEMA_T01_SOSTEGNO_06_TR3">
          <a:extLst>
            <a:ext uri="{FF2B5EF4-FFF2-40B4-BE49-F238E27FC236}">
              <a16:creationId xmlns:a16="http://schemas.microsoft.com/office/drawing/2014/main" id="{B829DDC8-52C0-A518-4704-83CF6CB677DF}"/>
            </a:ext>
          </a:extLst>
        </xdr:cNvPr>
        <xdr:cNvCxnSpPr/>
      </xdr:nvCxnSpPr>
      <xdr:spPr>
        <a:xfrm>
          <a:off x="5486400" y="5541895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14</xdr:row>
      <xdr:rowOff>86578</xdr:rowOff>
    </xdr:from>
    <xdr:to>
      <xdr:col>13</xdr:col>
      <xdr:colOff>44450</xdr:colOff>
      <xdr:row>25</xdr:row>
      <xdr:rowOff>92075</xdr:rowOff>
    </xdr:to>
    <xdr:cxnSp macro="">
      <xdr:nvCxnSpPr>
        <xdr:cNvPr id="35" name="SCHEMA_T01_SOSTEGNO_07_SX">
          <a:extLst>
            <a:ext uri="{FF2B5EF4-FFF2-40B4-BE49-F238E27FC236}">
              <a16:creationId xmlns:a16="http://schemas.microsoft.com/office/drawing/2014/main" id="{B77A4A24-DED0-1ED6-7927-FBE26E45714A}"/>
            </a:ext>
          </a:extLst>
        </xdr:cNvPr>
        <xdr:cNvCxnSpPr/>
      </xdr:nvCxnSpPr>
      <xdr:spPr>
        <a:xfrm flipV="1">
          <a:off x="6248400" y="4404578"/>
          <a:ext cx="44450" cy="2729647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44450</xdr:colOff>
      <xdr:row>14</xdr:row>
      <xdr:rowOff>86578</xdr:rowOff>
    </xdr:from>
    <xdr:to>
      <xdr:col>13</xdr:col>
      <xdr:colOff>88900</xdr:colOff>
      <xdr:row>25</xdr:row>
      <xdr:rowOff>92075</xdr:rowOff>
    </xdr:to>
    <xdr:cxnSp macro="">
      <xdr:nvCxnSpPr>
        <xdr:cNvPr id="36" name="SCHEMA_T01_SOSTEGNO_07_DX">
          <a:extLst>
            <a:ext uri="{FF2B5EF4-FFF2-40B4-BE49-F238E27FC236}">
              <a16:creationId xmlns:a16="http://schemas.microsoft.com/office/drawing/2014/main" id="{3D183F49-5A7F-FEA9-7438-B953542360F6}"/>
            </a:ext>
          </a:extLst>
        </xdr:cNvPr>
        <xdr:cNvCxnSpPr/>
      </xdr:nvCxnSpPr>
      <xdr:spPr>
        <a:xfrm flipH="1" flipV="1">
          <a:off x="6292850" y="4404578"/>
          <a:ext cx="44450" cy="2729647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16</xdr:row>
      <xdr:rowOff>82615</xdr:rowOff>
    </xdr:from>
    <xdr:to>
      <xdr:col>13</xdr:col>
      <xdr:colOff>88900</xdr:colOff>
      <xdr:row>16</xdr:row>
      <xdr:rowOff>82615</xdr:rowOff>
    </xdr:to>
    <xdr:cxnSp macro="">
      <xdr:nvCxnSpPr>
        <xdr:cNvPr id="37" name="SCHEMA_T01_SOSTEGNO_07_TR1">
          <a:extLst>
            <a:ext uri="{FF2B5EF4-FFF2-40B4-BE49-F238E27FC236}">
              <a16:creationId xmlns:a16="http://schemas.microsoft.com/office/drawing/2014/main" id="{6EBC8FCD-136E-0F64-BAC1-E992A74D9EC2}"/>
            </a:ext>
          </a:extLst>
        </xdr:cNvPr>
        <xdr:cNvCxnSpPr/>
      </xdr:nvCxnSpPr>
      <xdr:spPr>
        <a:xfrm>
          <a:off x="6248400" y="4895915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17</xdr:row>
      <xdr:rowOff>162523</xdr:rowOff>
    </xdr:from>
    <xdr:to>
      <xdr:col>13</xdr:col>
      <xdr:colOff>88900</xdr:colOff>
      <xdr:row>17</xdr:row>
      <xdr:rowOff>162523</xdr:rowOff>
    </xdr:to>
    <xdr:cxnSp macro="">
      <xdr:nvCxnSpPr>
        <xdr:cNvPr id="38" name="SCHEMA_T01_SOSTEGNO_07_TR2">
          <a:extLst>
            <a:ext uri="{FF2B5EF4-FFF2-40B4-BE49-F238E27FC236}">
              <a16:creationId xmlns:a16="http://schemas.microsoft.com/office/drawing/2014/main" id="{003CDEAF-E1F0-163C-0492-EAA2C940001A}"/>
            </a:ext>
          </a:extLst>
        </xdr:cNvPr>
        <xdr:cNvCxnSpPr/>
      </xdr:nvCxnSpPr>
      <xdr:spPr>
        <a:xfrm>
          <a:off x="6248400" y="5223473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18</xdr:row>
      <xdr:rowOff>242430</xdr:rowOff>
    </xdr:from>
    <xdr:to>
      <xdr:col>13</xdr:col>
      <xdr:colOff>88900</xdr:colOff>
      <xdr:row>18</xdr:row>
      <xdr:rowOff>242430</xdr:rowOff>
    </xdr:to>
    <xdr:cxnSp macro="">
      <xdr:nvCxnSpPr>
        <xdr:cNvPr id="39" name="SCHEMA_T01_SOSTEGNO_07_TR3">
          <a:extLst>
            <a:ext uri="{FF2B5EF4-FFF2-40B4-BE49-F238E27FC236}">
              <a16:creationId xmlns:a16="http://schemas.microsoft.com/office/drawing/2014/main" id="{9B9AD4A1-B4B5-33F7-0804-74F60A940231}"/>
            </a:ext>
          </a:extLst>
        </xdr:cNvPr>
        <xdr:cNvCxnSpPr/>
      </xdr:nvCxnSpPr>
      <xdr:spPr>
        <a:xfrm>
          <a:off x="6248400" y="5551030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15</xdr:row>
      <xdr:rowOff>75169</xdr:rowOff>
    </xdr:from>
    <xdr:to>
      <xdr:col>15</xdr:col>
      <xdr:colOff>44450</xdr:colOff>
      <xdr:row>25</xdr:row>
      <xdr:rowOff>92075</xdr:rowOff>
    </xdr:to>
    <xdr:cxnSp macro="">
      <xdr:nvCxnSpPr>
        <xdr:cNvPr id="40" name="SCHEMA_T01_SOSTEGNO_08_SX">
          <a:extLst>
            <a:ext uri="{FF2B5EF4-FFF2-40B4-BE49-F238E27FC236}">
              <a16:creationId xmlns:a16="http://schemas.microsoft.com/office/drawing/2014/main" id="{C36C3BB4-6DD1-DFE3-4B29-5ACF03A07944}"/>
            </a:ext>
          </a:extLst>
        </xdr:cNvPr>
        <xdr:cNvCxnSpPr/>
      </xdr:nvCxnSpPr>
      <xdr:spPr>
        <a:xfrm flipV="1">
          <a:off x="7010400" y="4640819"/>
          <a:ext cx="44450" cy="2493406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44450</xdr:colOff>
      <xdr:row>15</xdr:row>
      <xdr:rowOff>75169</xdr:rowOff>
    </xdr:from>
    <xdr:to>
      <xdr:col>15</xdr:col>
      <xdr:colOff>88900</xdr:colOff>
      <xdr:row>25</xdr:row>
      <xdr:rowOff>92075</xdr:rowOff>
    </xdr:to>
    <xdr:cxnSp macro="">
      <xdr:nvCxnSpPr>
        <xdr:cNvPr id="41" name="SCHEMA_T01_SOSTEGNO_08_DX">
          <a:extLst>
            <a:ext uri="{FF2B5EF4-FFF2-40B4-BE49-F238E27FC236}">
              <a16:creationId xmlns:a16="http://schemas.microsoft.com/office/drawing/2014/main" id="{BEEB69F6-5E86-6A12-1121-AA33E31B8E1A}"/>
            </a:ext>
          </a:extLst>
        </xdr:cNvPr>
        <xdr:cNvCxnSpPr/>
      </xdr:nvCxnSpPr>
      <xdr:spPr>
        <a:xfrm flipH="1" flipV="1">
          <a:off x="7054850" y="4640819"/>
          <a:ext cx="44450" cy="2493406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17</xdr:row>
      <xdr:rowOff>28682</xdr:rowOff>
    </xdr:from>
    <xdr:to>
      <xdr:col>15</xdr:col>
      <xdr:colOff>88900</xdr:colOff>
      <xdr:row>17</xdr:row>
      <xdr:rowOff>28682</xdr:rowOff>
    </xdr:to>
    <xdr:cxnSp macro="">
      <xdr:nvCxnSpPr>
        <xdr:cNvPr id="42" name="SCHEMA_T01_SOSTEGNO_08_TR1">
          <a:extLst>
            <a:ext uri="{FF2B5EF4-FFF2-40B4-BE49-F238E27FC236}">
              <a16:creationId xmlns:a16="http://schemas.microsoft.com/office/drawing/2014/main" id="{61B8501F-7B4F-708D-E6A2-634C52195E9D}"/>
            </a:ext>
          </a:extLst>
        </xdr:cNvPr>
        <xdr:cNvCxnSpPr/>
      </xdr:nvCxnSpPr>
      <xdr:spPr>
        <a:xfrm>
          <a:off x="7010400" y="5089632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18</xdr:row>
      <xdr:rowOff>80240</xdr:rowOff>
    </xdr:from>
    <xdr:to>
      <xdr:col>15</xdr:col>
      <xdr:colOff>88900</xdr:colOff>
      <xdr:row>18</xdr:row>
      <xdr:rowOff>80240</xdr:rowOff>
    </xdr:to>
    <xdr:cxnSp macro="">
      <xdr:nvCxnSpPr>
        <xdr:cNvPr id="43" name="SCHEMA_T01_SOSTEGNO_08_TR2">
          <a:extLst>
            <a:ext uri="{FF2B5EF4-FFF2-40B4-BE49-F238E27FC236}">
              <a16:creationId xmlns:a16="http://schemas.microsoft.com/office/drawing/2014/main" id="{45F6D5CF-B6C1-EC8F-C177-D65B6624A447}"/>
            </a:ext>
          </a:extLst>
        </xdr:cNvPr>
        <xdr:cNvCxnSpPr/>
      </xdr:nvCxnSpPr>
      <xdr:spPr>
        <a:xfrm>
          <a:off x="7010400" y="5388840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19</xdr:row>
      <xdr:rowOff>131799</xdr:rowOff>
    </xdr:from>
    <xdr:to>
      <xdr:col>15</xdr:col>
      <xdr:colOff>88900</xdr:colOff>
      <xdr:row>19</xdr:row>
      <xdr:rowOff>131799</xdr:rowOff>
    </xdr:to>
    <xdr:cxnSp macro="">
      <xdr:nvCxnSpPr>
        <xdr:cNvPr id="44" name="SCHEMA_T01_SOSTEGNO_08_TR3">
          <a:extLst>
            <a:ext uri="{FF2B5EF4-FFF2-40B4-BE49-F238E27FC236}">
              <a16:creationId xmlns:a16="http://schemas.microsoft.com/office/drawing/2014/main" id="{1091E0A1-5E3E-CB68-6222-5244778DA3E3}"/>
            </a:ext>
          </a:extLst>
        </xdr:cNvPr>
        <xdr:cNvCxnSpPr/>
      </xdr:nvCxnSpPr>
      <xdr:spPr>
        <a:xfrm>
          <a:off x="7010400" y="5688049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15</xdr:row>
      <xdr:rowOff>83043</xdr:rowOff>
    </xdr:from>
    <xdr:to>
      <xdr:col>17</xdr:col>
      <xdr:colOff>44450</xdr:colOff>
      <xdr:row>25</xdr:row>
      <xdr:rowOff>92075</xdr:rowOff>
    </xdr:to>
    <xdr:cxnSp macro="">
      <xdr:nvCxnSpPr>
        <xdr:cNvPr id="45" name="SCHEMA_T01_SOSTEGNO_09_SX">
          <a:extLst>
            <a:ext uri="{FF2B5EF4-FFF2-40B4-BE49-F238E27FC236}">
              <a16:creationId xmlns:a16="http://schemas.microsoft.com/office/drawing/2014/main" id="{FC9A790A-AC3E-17B2-E8D5-7D4800B1733B}"/>
            </a:ext>
          </a:extLst>
        </xdr:cNvPr>
        <xdr:cNvCxnSpPr/>
      </xdr:nvCxnSpPr>
      <xdr:spPr>
        <a:xfrm flipV="1">
          <a:off x="7772400" y="4648693"/>
          <a:ext cx="44450" cy="2485532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44450</xdr:colOff>
      <xdr:row>15</xdr:row>
      <xdr:rowOff>83043</xdr:rowOff>
    </xdr:from>
    <xdr:to>
      <xdr:col>17</xdr:col>
      <xdr:colOff>88900</xdr:colOff>
      <xdr:row>25</xdr:row>
      <xdr:rowOff>92075</xdr:rowOff>
    </xdr:to>
    <xdr:cxnSp macro="">
      <xdr:nvCxnSpPr>
        <xdr:cNvPr id="46" name="SCHEMA_T01_SOSTEGNO_09_DX">
          <a:extLst>
            <a:ext uri="{FF2B5EF4-FFF2-40B4-BE49-F238E27FC236}">
              <a16:creationId xmlns:a16="http://schemas.microsoft.com/office/drawing/2014/main" id="{1B545134-5893-20A9-B7EB-754533689EE2}"/>
            </a:ext>
          </a:extLst>
        </xdr:cNvPr>
        <xdr:cNvCxnSpPr/>
      </xdr:nvCxnSpPr>
      <xdr:spPr>
        <a:xfrm flipH="1" flipV="1">
          <a:off x="7816850" y="4648693"/>
          <a:ext cx="44450" cy="2485532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17</xdr:row>
      <xdr:rowOff>35139</xdr:rowOff>
    </xdr:from>
    <xdr:to>
      <xdr:col>17</xdr:col>
      <xdr:colOff>88900</xdr:colOff>
      <xdr:row>17</xdr:row>
      <xdr:rowOff>35139</xdr:rowOff>
    </xdr:to>
    <xdr:cxnSp macro="">
      <xdr:nvCxnSpPr>
        <xdr:cNvPr id="47" name="SCHEMA_T01_SOSTEGNO_09_TR1">
          <a:extLst>
            <a:ext uri="{FF2B5EF4-FFF2-40B4-BE49-F238E27FC236}">
              <a16:creationId xmlns:a16="http://schemas.microsoft.com/office/drawing/2014/main" id="{D2ED1C7A-B62E-C88C-4F2B-2F9DCEEAAD62}"/>
            </a:ext>
          </a:extLst>
        </xdr:cNvPr>
        <xdr:cNvCxnSpPr/>
      </xdr:nvCxnSpPr>
      <xdr:spPr>
        <a:xfrm>
          <a:off x="7772400" y="5096089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18</xdr:row>
      <xdr:rowOff>85753</xdr:rowOff>
    </xdr:from>
    <xdr:to>
      <xdr:col>17</xdr:col>
      <xdr:colOff>88900</xdr:colOff>
      <xdr:row>18</xdr:row>
      <xdr:rowOff>85753</xdr:rowOff>
    </xdr:to>
    <xdr:cxnSp macro="">
      <xdr:nvCxnSpPr>
        <xdr:cNvPr id="48" name="SCHEMA_T01_SOSTEGNO_09_TR2">
          <a:extLst>
            <a:ext uri="{FF2B5EF4-FFF2-40B4-BE49-F238E27FC236}">
              <a16:creationId xmlns:a16="http://schemas.microsoft.com/office/drawing/2014/main" id="{30CF88CD-45BA-6F8F-1156-ACC32452E2BD}"/>
            </a:ext>
          </a:extLst>
        </xdr:cNvPr>
        <xdr:cNvCxnSpPr/>
      </xdr:nvCxnSpPr>
      <xdr:spPr>
        <a:xfrm>
          <a:off x="7772400" y="5394353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19</xdr:row>
      <xdr:rowOff>136366</xdr:rowOff>
    </xdr:from>
    <xdr:to>
      <xdr:col>17</xdr:col>
      <xdr:colOff>88900</xdr:colOff>
      <xdr:row>19</xdr:row>
      <xdr:rowOff>136366</xdr:rowOff>
    </xdr:to>
    <xdr:cxnSp macro="">
      <xdr:nvCxnSpPr>
        <xdr:cNvPr id="49" name="SCHEMA_T01_SOSTEGNO_09_TR3">
          <a:extLst>
            <a:ext uri="{FF2B5EF4-FFF2-40B4-BE49-F238E27FC236}">
              <a16:creationId xmlns:a16="http://schemas.microsoft.com/office/drawing/2014/main" id="{DFB4DC3A-EAA3-716F-6822-A505E5E01416}"/>
            </a:ext>
          </a:extLst>
        </xdr:cNvPr>
        <xdr:cNvCxnSpPr/>
      </xdr:nvCxnSpPr>
      <xdr:spPr>
        <a:xfrm>
          <a:off x="7772400" y="5692616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14</xdr:row>
      <xdr:rowOff>133827</xdr:rowOff>
    </xdr:from>
    <xdr:to>
      <xdr:col>19</xdr:col>
      <xdr:colOff>44450</xdr:colOff>
      <xdr:row>25</xdr:row>
      <xdr:rowOff>92075</xdr:rowOff>
    </xdr:to>
    <xdr:cxnSp macro="">
      <xdr:nvCxnSpPr>
        <xdr:cNvPr id="50" name="SCHEMA_T01_SOSTEGNO_10_SX">
          <a:extLst>
            <a:ext uri="{FF2B5EF4-FFF2-40B4-BE49-F238E27FC236}">
              <a16:creationId xmlns:a16="http://schemas.microsoft.com/office/drawing/2014/main" id="{6CBABDA3-9B7F-DA28-5DE0-379F36651E12}"/>
            </a:ext>
          </a:extLst>
        </xdr:cNvPr>
        <xdr:cNvCxnSpPr/>
      </xdr:nvCxnSpPr>
      <xdr:spPr>
        <a:xfrm flipV="1">
          <a:off x="8534400" y="4451827"/>
          <a:ext cx="44450" cy="2682398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44450</xdr:colOff>
      <xdr:row>14</xdr:row>
      <xdr:rowOff>133827</xdr:rowOff>
    </xdr:from>
    <xdr:to>
      <xdr:col>19</xdr:col>
      <xdr:colOff>88900</xdr:colOff>
      <xdr:row>25</xdr:row>
      <xdr:rowOff>92075</xdr:rowOff>
    </xdr:to>
    <xdr:cxnSp macro="">
      <xdr:nvCxnSpPr>
        <xdr:cNvPr id="51" name="SCHEMA_T01_SOSTEGNO_10_DX">
          <a:extLst>
            <a:ext uri="{FF2B5EF4-FFF2-40B4-BE49-F238E27FC236}">
              <a16:creationId xmlns:a16="http://schemas.microsoft.com/office/drawing/2014/main" id="{F6336914-69DF-5EF2-69D5-CDD3B465F7F6}"/>
            </a:ext>
          </a:extLst>
        </xdr:cNvPr>
        <xdr:cNvCxnSpPr/>
      </xdr:nvCxnSpPr>
      <xdr:spPr>
        <a:xfrm flipH="1" flipV="1">
          <a:off x="8578850" y="4451827"/>
          <a:ext cx="44450" cy="2682398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16</xdr:row>
      <xdr:rowOff>121358</xdr:rowOff>
    </xdr:from>
    <xdr:to>
      <xdr:col>19</xdr:col>
      <xdr:colOff>88900</xdr:colOff>
      <xdr:row>16</xdr:row>
      <xdr:rowOff>121358</xdr:rowOff>
    </xdr:to>
    <xdr:cxnSp macro="">
      <xdr:nvCxnSpPr>
        <xdr:cNvPr id="52" name="SCHEMA_T01_SOSTEGNO_10_TR1">
          <a:extLst>
            <a:ext uri="{FF2B5EF4-FFF2-40B4-BE49-F238E27FC236}">
              <a16:creationId xmlns:a16="http://schemas.microsoft.com/office/drawing/2014/main" id="{0590A8AA-B82D-9A97-B58F-82BC4E9506BF}"/>
            </a:ext>
          </a:extLst>
        </xdr:cNvPr>
        <xdr:cNvCxnSpPr/>
      </xdr:nvCxnSpPr>
      <xdr:spPr>
        <a:xfrm>
          <a:off x="8534400" y="4934658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17</xdr:row>
      <xdr:rowOff>195596</xdr:rowOff>
    </xdr:from>
    <xdr:to>
      <xdr:col>19</xdr:col>
      <xdr:colOff>88900</xdr:colOff>
      <xdr:row>17</xdr:row>
      <xdr:rowOff>195596</xdr:rowOff>
    </xdr:to>
    <xdr:cxnSp macro="">
      <xdr:nvCxnSpPr>
        <xdr:cNvPr id="53" name="SCHEMA_T01_SOSTEGNO_10_TR2">
          <a:extLst>
            <a:ext uri="{FF2B5EF4-FFF2-40B4-BE49-F238E27FC236}">
              <a16:creationId xmlns:a16="http://schemas.microsoft.com/office/drawing/2014/main" id="{EF2F6B3C-F557-DB0D-EF10-CBE3FAEADD41}"/>
            </a:ext>
          </a:extLst>
        </xdr:cNvPr>
        <xdr:cNvCxnSpPr/>
      </xdr:nvCxnSpPr>
      <xdr:spPr>
        <a:xfrm>
          <a:off x="8534400" y="5256546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19</xdr:row>
      <xdr:rowOff>22184</xdr:rowOff>
    </xdr:from>
    <xdr:to>
      <xdr:col>19</xdr:col>
      <xdr:colOff>88900</xdr:colOff>
      <xdr:row>19</xdr:row>
      <xdr:rowOff>22184</xdr:rowOff>
    </xdr:to>
    <xdr:cxnSp macro="">
      <xdr:nvCxnSpPr>
        <xdr:cNvPr id="54" name="SCHEMA_T01_SOSTEGNO_10_TR3">
          <a:extLst>
            <a:ext uri="{FF2B5EF4-FFF2-40B4-BE49-F238E27FC236}">
              <a16:creationId xmlns:a16="http://schemas.microsoft.com/office/drawing/2014/main" id="{20B4F403-B171-7A45-4404-44C7FFE15E33}"/>
            </a:ext>
          </a:extLst>
        </xdr:cNvPr>
        <xdr:cNvCxnSpPr/>
      </xdr:nvCxnSpPr>
      <xdr:spPr>
        <a:xfrm>
          <a:off x="8534400" y="5578434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14</xdr:row>
      <xdr:rowOff>78704</xdr:rowOff>
    </xdr:from>
    <xdr:to>
      <xdr:col>21</xdr:col>
      <xdr:colOff>44450</xdr:colOff>
      <xdr:row>25</xdr:row>
      <xdr:rowOff>92075</xdr:rowOff>
    </xdr:to>
    <xdr:cxnSp macro="">
      <xdr:nvCxnSpPr>
        <xdr:cNvPr id="55" name="SCHEMA_T01_SOSTEGNO_11_SX">
          <a:extLst>
            <a:ext uri="{FF2B5EF4-FFF2-40B4-BE49-F238E27FC236}">
              <a16:creationId xmlns:a16="http://schemas.microsoft.com/office/drawing/2014/main" id="{9D0F7BC4-228E-681B-E226-661E70DDD8C0}"/>
            </a:ext>
          </a:extLst>
        </xdr:cNvPr>
        <xdr:cNvCxnSpPr/>
      </xdr:nvCxnSpPr>
      <xdr:spPr>
        <a:xfrm flipV="1">
          <a:off x="9296400" y="4396704"/>
          <a:ext cx="44450" cy="2737521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44450</xdr:colOff>
      <xdr:row>14</xdr:row>
      <xdr:rowOff>78704</xdr:rowOff>
    </xdr:from>
    <xdr:to>
      <xdr:col>21</xdr:col>
      <xdr:colOff>88900</xdr:colOff>
      <xdr:row>25</xdr:row>
      <xdr:rowOff>92075</xdr:rowOff>
    </xdr:to>
    <xdr:cxnSp macro="">
      <xdr:nvCxnSpPr>
        <xdr:cNvPr id="56" name="SCHEMA_T01_SOSTEGNO_11_DX">
          <a:extLst>
            <a:ext uri="{FF2B5EF4-FFF2-40B4-BE49-F238E27FC236}">
              <a16:creationId xmlns:a16="http://schemas.microsoft.com/office/drawing/2014/main" id="{67496397-6E01-A6B1-CC44-0EA47C65C40D}"/>
            </a:ext>
          </a:extLst>
        </xdr:cNvPr>
        <xdr:cNvCxnSpPr/>
      </xdr:nvCxnSpPr>
      <xdr:spPr>
        <a:xfrm flipH="1" flipV="1">
          <a:off x="9340850" y="4396704"/>
          <a:ext cx="44450" cy="2737521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16</xdr:row>
      <xdr:rowOff>76158</xdr:rowOff>
    </xdr:from>
    <xdr:to>
      <xdr:col>21</xdr:col>
      <xdr:colOff>88900</xdr:colOff>
      <xdr:row>16</xdr:row>
      <xdr:rowOff>76158</xdr:rowOff>
    </xdr:to>
    <xdr:cxnSp macro="">
      <xdr:nvCxnSpPr>
        <xdr:cNvPr id="57" name="SCHEMA_T01_SOSTEGNO_11_TR1">
          <a:extLst>
            <a:ext uri="{FF2B5EF4-FFF2-40B4-BE49-F238E27FC236}">
              <a16:creationId xmlns:a16="http://schemas.microsoft.com/office/drawing/2014/main" id="{0D1808C1-33D5-8580-D93E-A85A17EBBB04}"/>
            </a:ext>
          </a:extLst>
        </xdr:cNvPr>
        <xdr:cNvCxnSpPr/>
      </xdr:nvCxnSpPr>
      <xdr:spPr>
        <a:xfrm>
          <a:off x="9296400" y="4889458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17</xdr:row>
      <xdr:rowOff>157010</xdr:rowOff>
    </xdr:from>
    <xdr:to>
      <xdr:col>21</xdr:col>
      <xdr:colOff>88900</xdr:colOff>
      <xdr:row>17</xdr:row>
      <xdr:rowOff>157010</xdr:rowOff>
    </xdr:to>
    <xdr:cxnSp macro="">
      <xdr:nvCxnSpPr>
        <xdr:cNvPr id="58" name="SCHEMA_T01_SOSTEGNO_11_TR2">
          <a:extLst>
            <a:ext uri="{FF2B5EF4-FFF2-40B4-BE49-F238E27FC236}">
              <a16:creationId xmlns:a16="http://schemas.microsoft.com/office/drawing/2014/main" id="{A5DC7175-F08E-9431-D062-6F128EC81541}"/>
            </a:ext>
          </a:extLst>
        </xdr:cNvPr>
        <xdr:cNvCxnSpPr/>
      </xdr:nvCxnSpPr>
      <xdr:spPr>
        <a:xfrm>
          <a:off x="9296400" y="5217960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18</xdr:row>
      <xdr:rowOff>237863</xdr:rowOff>
    </xdr:from>
    <xdr:to>
      <xdr:col>21</xdr:col>
      <xdr:colOff>88900</xdr:colOff>
      <xdr:row>18</xdr:row>
      <xdr:rowOff>237863</xdr:rowOff>
    </xdr:to>
    <xdr:cxnSp macro="">
      <xdr:nvCxnSpPr>
        <xdr:cNvPr id="59" name="SCHEMA_T01_SOSTEGNO_11_TR3">
          <a:extLst>
            <a:ext uri="{FF2B5EF4-FFF2-40B4-BE49-F238E27FC236}">
              <a16:creationId xmlns:a16="http://schemas.microsoft.com/office/drawing/2014/main" id="{80128E99-99AA-DB45-57B0-D5550471B495}"/>
            </a:ext>
          </a:extLst>
        </xdr:cNvPr>
        <xdr:cNvCxnSpPr/>
      </xdr:nvCxnSpPr>
      <xdr:spPr>
        <a:xfrm>
          <a:off x="9296400" y="5546463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15</xdr:row>
      <xdr:rowOff>75169</xdr:rowOff>
    </xdr:from>
    <xdr:to>
      <xdr:col>23</xdr:col>
      <xdr:colOff>44450</xdr:colOff>
      <xdr:row>25</xdr:row>
      <xdr:rowOff>92075</xdr:rowOff>
    </xdr:to>
    <xdr:cxnSp macro="">
      <xdr:nvCxnSpPr>
        <xdr:cNvPr id="60" name="SCHEMA_T01_SOSTEGNO_12_SX">
          <a:extLst>
            <a:ext uri="{FF2B5EF4-FFF2-40B4-BE49-F238E27FC236}">
              <a16:creationId xmlns:a16="http://schemas.microsoft.com/office/drawing/2014/main" id="{BE631CB9-F187-6929-D3F8-83AE15E72E7E}"/>
            </a:ext>
          </a:extLst>
        </xdr:cNvPr>
        <xdr:cNvCxnSpPr/>
      </xdr:nvCxnSpPr>
      <xdr:spPr>
        <a:xfrm flipV="1">
          <a:off x="10058400" y="4640819"/>
          <a:ext cx="44450" cy="2493406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44450</xdr:colOff>
      <xdr:row>15</xdr:row>
      <xdr:rowOff>75169</xdr:rowOff>
    </xdr:from>
    <xdr:to>
      <xdr:col>23</xdr:col>
      <xdr:colOff>88900</xdr:colOff>
      <xdr:row>25</xdr:row>
      <xdr:rowOff>92075</xdr:rowOff>
    </xdr:to>
    <xdr:cxnSp macro="">
      <xdr:nvCxnSpPr>
        <xdr:cNvPr id="61" name="SCHEMA_T01_SOSTEGNO_12_DX">
          <a:extLst>
            <a:ext uri="{FF2B5EF4-FFF2-40B4-BE49-F238E27FC236}">
              <a16:creationId xmlns:a16="http://schemas.microsoft.com/office/drawing/2014/main" id="{FF24131B-E5E6-F682-C110-943DB1459EFB}"/>
            </a:ext>
          </a:extLst>
        </xdr:cNvPr>
        <xdr:cNvCxnSpPr/>
      </xdr:nvCxnSpPr>
      <xdr:spPr>
        <a:xfrm flipH="1" flipV="1">
          <a:off x="10102850" y="4640819"/>
          <a:ext cx="44450" cy="2493406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17</xdr:row>
      <xdr:rowOff>28682</xdr:rowOff>
    </xdr:from>
    <xdr:to>
      <xdr:col>23</xdr:col>
      <xdr:colOff>88900</xdr:colOff>
      <xdr:row>17</xdr:row>
      <xdr:rowOff>28682</xdr:rowOff>
    </xdr:to>
    <xdr:cxnSp macro="">
      <xdr:nvCxnSpPr>
        <xdr:cNvPr id="62" name="SCHEMA_T01_SOSTEGNO_12_TR1">
          <a:extLst>
            <a:ext uri="{FF2B5EF4-FFF2-40B4-BE49-F238E27FC236}">
              <a16:creationId xmlns:a16="http://schemas.microsoft.com/office/drawing/2014/main" id="{8F446F46-F029-4641-BBD3-ED2DA7D73811}"/>
            </a:ext>
          </a:extLst>
        </xdr:cNvPr>
        <xdr:cNvCxnSpPr/>
      </xdr:nvCxnSpPr>
      <xdr:spPr>
        <a:xfrm>
          <a:off x="10058400" y="5089632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18</xdr:row>
      <xdr:rowOff>80240</xdr:rowOff>
    </xdr:from>
    <xdr:to>
      <xdr:col>23</xdr:col>
      <xdr:colOff>88900</xdr:colOff>
      <xdr:row>18</xdr:row>
      <xdr:rowOff>80240</xdr:rowOff>
    </xdr:to>
    <xdr:cxnSp macro="">
      <xdr:nvCxnSpPr>
        <xdr:cNvPr id="63" name="SCHEMA_T01_SOSTEGNO_12_TR2">
          <a:extLst>
            <a:ext uri="{FF2B5EF4-FFF2-40B4-BE49-F238E27FC236}">
              <a16:creationId xmlns:a16="http://schemas.microsoft.com/office/drawing/2014/main" id="{C1B7B470-669C-6AD0-E3E5-9B5E0AB26AD1}"/>
            </a:ext>
          </a:extLst>
        </xdr:cNvPr>
        <xdr:cNvCxnSpPr/>
      </xdr:nvCxnSpPr>
      <xdr:spPr>
        <a:xfrm>
          <a:off x="10058400" y="5388840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19</xdr:row>
      <xdr:rowOff>131799</xdr:rowOff>
    </xdr:from>
    <xdr:to>
      <xdr:col>23</xdr:col>
      <xdr:colOff>88900</xdr:colOff>
      <xdr:row>19</xdr:row>
      <xdr:rowOff>131799</xdr:rowOff>
    </xdr:to>
    <xdr:cxnSp macro="">
      <xdr:nvCxnSpPr>
        <xdr:cNvPr id="1559" name="SCHEMA_T01_SOSTEGNO_12_TR3">
          <a:extLst>
            <a:ext uri="{FF2B5EF4-FFF2-40B4-BE49-F238E27FC236}">
              <a16:creationId xmlns:a16="http://schemas.microsoft.com/office/drawing/2014/main" id="{DE55C8AD-0EF4-A41B-F396-BFA1BC7A5590}"/>
            </a:ext>
          </a:extLst>
        </xdr:cNvPr>
        <xdr:cNvCxnSpPr/>
      </xdr:nvCxnSpPr>
      <xdr:spPr>
        <a:xfrm>
          <a:off x="10058400" y="5688049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15</xdr:row>
      <xdr:rowOff>114542</xdr:rowOff>
    </xdr:from>
    <xdr:to>
      <xdr:col>25</xdr:col>
      <xdr:colOff>44450</xdr:colOff>
      <xdr:row>25</xdr:row>
      <xdr:rowOff>92075</xdr:rowOff>
    </xdr:to>
    <xdr:cxnSp macro="">
      <xdr:nvCxnSpPr>
        <xdr:cNvPr id="1560" name="SCHEMA_T01_SOSTEGNO_13_SX">
          <a:extLst>
            <a:ext uri="{FF2B5EF4-FFF2-40B4-BE49-F238E27FC236}">
              <a16:creationId xmlns:a16="http://schemas.microsoft.com/office/drawing/2014/main" id="{A68FDA5C-62B0-3300-693E-AC0D133E610F}"/>
            </a:ext>
          </a:extLst>
        </xdr:cNvPr>
        <xdr:cNvCxnSpPr/>
      </xdr:nvCxnSpPr>
      <xdr:spPr>
        <a:xfrm flipV="1">
          <a:off x="10820400" y="4680192"/>
          <a:ext cx="44450" cy="2454033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44450</xdr:colOff>
      <xdr:row>15</xdr:row>
      <xdr:rowOff>114542</xdr:rowOff>
    </xdr:from>
    <xdr:to>
      <xdr:col>25</xdr:col>
      <xdr:colOff>88900</xdr:colOff>
      <xdr:row>25</xdr:row>
      <xdr:rowOff>92075</xdr:rowOff>
    </xdr:to>
    <xdr:cxnSp macro="">
      <xdr:nvCxnSpPr>
        <xdr:cNvPr id="1561" name="SCHEMA_T01_SOSTEGNO_13_DX">
          <a:extLst>
            <a:ext uri="{FF2B5EF4-FFF2-40B4-BE49-F238E27FC236}">
              <a16:creationId xmlns:a16="http://schemas.microsoft.com/office/drawing/2014/main" id="{B00481FC-F3A9-D7F5-5C76-102217E12A3D}"/>
            </a:ext>
          </a:extLst>
        </xdr:cNvPr>
        <xdr:cNvCxnSpPr/>
      </xdr:nvCxnSpPr>
      <xdr:spPr>
        <a:xfrm flipH="1" flipV="1">
          <a:off x="10864850" y="4680192"/>
          <a:ext cx="44450" cy="2454033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17</xdr:row>
      <xdr:rowOff>60968</xdr:rowOff>
    </xdr:from>
    <xdr:to>
      <xdr:col>25</xdr:col>
      <xdr:colOff>88900</xdr:colOff>
      <xdr:row>17</xdr:row>
      <xdr:rowOff>60968</xdr:rowOff>
    </xdr:to>
    <xdr:cxnSp macro="">
      <xdr:nvCxnSpPr>
        <xdr:cNvPr id="1562" name="SCHEMA_T01_SOSTEGNO_13_TR1">
          <a:extLst>
            <a:ext uri="{FF2B5EF4-FFF2-40B4-BE49-F238E27FC236}">
              <a16:creationId xmlns:a16="http://schemas.microsoft.com/office/drawing/2014/main" id="{D4315CDA-587C-EB0C-78C4-C2EAB977292D}"/>
            </a:ext>
          </a:extLst>
        </xdr:cNvPr>
        <xdr:cNvCxnSpPr/>
      </xdr:nvCxnSpPr>
      <xdr:spPr>
        <a:xfrm>
          <a:off x="10820400" y="5121918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18</xdr:row>
      <xdr:rowOff>107802</xdr:rowOff>
    </xdr:from>
    <xdr:to>
      <xdr:col>25</xdr:col>
      <xdr:colOff>88900</xdr:colOff>
      <xdr:row>18</xdr:row>
      <xdr:rowOff>107802</xdr:rowOff>
    </xdr:to>
    <xdr:cxnSp macro="">
      <xdr:nvCxnSpPr>
        <xdr:cNvPr id="1563" name="SCHEMA_T01_SOSTEGNO_13_TR2">
          <a:extLst>
            <a:ext uri="{FF2B5EF4-FFF2-40B4-BE49-F238E27FC236}">
              <a16:creationId xmlns:a16="http://schemas.microsoft.com/office/drawing/2014/main" id="{5FADBA43-EFAB-6AE7-5529-27E7E8D3B38E}"/>
            </a:ext>
          </a:extLst>
        </xdr:cNvPr>
        <xdr:cNvCxnSpPr/>
      </xdr:nvCxnSpPr>
      <xdr:spPr>
        <a:xfrm>
          <a:off x="10820400" y="5416402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19</xdr:row>
      <xdr:rowOff>154636</xdr:rowOff>
    </xdr:from>
    <xdr:to>
      <xdr:col>25</xdr:col>
      <xdr:colOff>88900</xdr:colOff>
      <xdr:row>19</xdr:row>
      <xdr:rowOff>154636</xdr:rowOff>
    </xdr:to>
    <xdr:cxnSp macro="">
      <xdr:nvCxnSpPr>
        <xdr:cNvPr id="1564" name="SCHEMA_T01_SOSTEGNO_13_TR3">
          <a:extLst>
            <a:ext uri="{FF2B5EF4-FFF2-40B4-BE49-F238E27FC236}">
              <a16:creationId xmlns:a16="http://schemas.microsoft.com/office/drawing/2014/main" id="{6AE5F472-5F8D-8EE7-D3F3-E674730863F9}"/>
            </a:ext>
          </a:extLst>
        </xdr:cNvPr>
        <xdr:cNvCxnSpPr/>
      </xdr:nvCxnSpPr>
      <xdr:spPr>
        <a:xfrm>
          <a:off x="10820400" y="5710886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15</xdr:row>
      <xdr:rowOff>90918</xdr:rowOff>
    </xdr:from>
    <xdr:to>
      <xdr:col>27</xdr:col>
      <xdr:colOff>44450</xdr:colOff>
      <xdr:row>25</xdr:row>
      <xdr:rowOff>92075</xdr:rowOff>
    </xdr:to>
    <xdr:cxnSp macro="">
      <xdr:nvCxnSpPr>
        <xdr:cNvPr id="1565" name="SCHEMA_T01_SOSTEGNO_14_SX">
          <a:extLst>
            <a:ext uri="{FF2B5EF4-FFF2-40B4-BE49-F238E27FC236}">
              <a16:creationId xmlns:a16="http://schemas.microsoft.com/office/drawing/2014/main" id="{0D6E3E92-1EEA-00B7-1514-CD3DBD638D1C}"/>
            </a:ext>
          </a:extLst>
        </xdr:cNvPr>
        <xdr:cNvCxnSpPr/>
      </xdr:nvCxnSpPr>
      <xdr:spPr>
        <a:xfrm flipV="1">
          <a:off x="11582400" y="4656568"/>
          <a:ext cx="44450" cy="2477657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44450</xdr:colOff>
      <xdr:row>15</xdr:row>
      <xdr:rowOff>90918</xdr:rowOff>
    </xdr:from>
    <xdr:to>
      <xdr:col>27</xdr:col>
      <xdr:colOff>88900</xdr:colOff>
      <xdr:row>25</xdr:row>
      <xdr:rowOff>92075</xdr:rowOff>
    </xdr:to>
    <xdr:cxnSp macro="">
      <xdr:nvCxnSpPr>
        <xdr:cNvPr id="1566" name="SCHEMA_T01_SOSTEGNO_14_DX">
          <a:extLst>
            <a:ext uri="{FF2B5EF4-FFF2-40B4-BE49-F238E27FC236}">
              <a16:creationId xmlns:a16="http://schemas.microsoft.com/office/drawing/2014/main" id="{AB848E7F-3931-109F-B9BC-2D49AB126DDE}"/>
            </a:ext>
          </a:extLst>
        </xdr:cNvPr>
        <xdr:cNvCxnSpPr/>
      </xdr:nvCxnSpPr>
      <xdr:spPr>
        <a:xfrm flipH="1" flipV="1">
          <a:off x="11626850" y="4656568"/>
          <a:ext cx="44450" cy="2477657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17</xdr:row>
      <xdr:rowOff>41596</xdr:rowOff>
    </xdr:from>
    <xdr:to>
      <xdr:col>27</xdr:col>
      <xdr:colOff>88900</xdr:colOff>
      <xdr:row>17</xdr:row>
      <xdr:rowOff>41596</xdr:rowOff>
    </xdr:to>
    <xdr:cxnSp macro="">
      <xdr:nvCxnSpPr>
        <xdr:cNvPr id="1567" name="SCHEMA_T01_SOSTEGNO_14_TR1">
          <a:extLst>
            <a:ext uri="{FF2B5EF4-FFF2-40B4-BE49-F238E27FC236}">
              <a16:creationId xmlns:a16="http://schemas.microsoft.com/office/drawing/2014/main" id="{60326996-CA40-0CCE-2FE6-3B26D0261312}"/>
            </a:ext>
          </a:extLst>
        </xdr:cNvPr>
        <xdr:cNvCxnSpPr/>
      </xdr:nvCxnSpPr>
      <xdr:spPr>
        <a:xfrm>
          <a:off x="11582400" y="5102546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18</xdr:row>
      <xdr:rowOff>91265</xdr:rowOff>
    </xdr:from>
    <xdr:to>
      <xdr:col>27</xdr:col>
      <xdr:colOff>88900</xdr:colOff>
      <xdr:row>18</xdr:row>
      <xdr:rowOff>91265</xdr:rowOff>
    </xdr:to>
    <xdr:cxnSp macro="">
      <xdr:nvCxnSpPr>
        <xdr:cNvPr id="1568" name="SCHEMA_T01_SOSTEGNO_14_TR2">
          <a:extLst>
            <a:ext uri="{FF2B5EF4-FFF2-40B4-BE49-F238E27FC236}">
              <a16:creationId xmlns:a16="http://schemas.microsoft.com/office/drawing/2014/main" id="{97181267-D3C4-F6C9-3E4C-1D3834162F62}"/>
            </a:ext>
          </a:extLst>
        </xdr:cNvPr>
        <xdr:cNvCxnSpPr/>
      </xdr:nvCxnSpPr>
      <xdr:spPr>
        <a:xfrm>
          <a:off x="11582400" y="5399865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19</xdr:row>
      <xdr:rowOff>140934</xdr:rowOff>
    </xdr:from>
    <xdr:to>
      <xdr:col>27</xdr:col>
      <xdr:colOff>88900</xdr:colOff>
      <xdr:row>19</xdr:row>
      <xdr:rowOff>140934</xdr:rowOff>
    </xdr:to>
    <xdr:cxnSp macro="">
      <xdr:nvCxnSpPr>
        <xdr:cNvPr id="1569" name="SCHEMA_T01_SOSTEGNO_14_TR3">
          <a:extLst>
            <a:ext uri="{FF2B5EF4-FFF2-40B4-BE49-F238E27FC236}">
              <a16:creationId xmlns:a16="http://schemas.microsoft.com/office/drawing/2014/main" id="{6FC51ED2-192F-BF8C-19D5-0C5EB60B79D9}"/>
            </a:ext>
          </a:extLst>
        </xdr:cNvPr>
        <xdr:cNvCxnSpPr/>
      </xdr:nvCxnSpPr>
      <xdr:spPr>
        <a:xfrm>
          <a:off x="11582400" y="5697184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16</xdr:row>
      <xdr:rowOff>8636</xdr:rowOff>
    </xdr:from>
    <xdr:to>
      <xdr:col>29</xdr:col>
      <xdr:colOff>44450</xdr:colOff>
      <xdr:row>25</xdr:row>
      <xdr:rowOff>92075</xdr:rowOff>
    </xdr:to>
    <xdr:cxnSp macro="">
      <xdr:nvCxnSpPr>
        <xdr:cNvPr id="1570" name="SCHEMA_T01_SOSTEGNO_15_SX">
          <a:extLst>
            <a:ext uri="{FF2B5EF4-FFF2-40B4-BE49-F238E27FC236}">
              <a16:creationId xmlns:a16="http://schemas.microsoft.com/office/drawing/2014/main" id="{ADA866CC-8A37-9853-AC54-779519D847A1}"/>
            </a:ext>
          </a:extLst>
        </xdr:cNvPr>
        <xdr:cNvCxnSpPr/>
      </xdr:nvCxnSpPr>
      <xdr:spPr>
        <a:xfrm flipV="1">
          <a:off x="12344400" y="4821936"/>
          <a:ext cx="44450" cy="2312289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44450</xdr:colOff>
      <xdr:row>16</xdr:row>
      <xdr:rowOff>8636</xdr:rowOff>
    </xdr:from>
    <xdr:to>
      <xdr:col>29</xdr:col>
      <xdr:colOff>88900</xdr:colOff>
      <xdr:row>25</xdr:row>
      <xdr:rowOff>92075</xdr:rowOff>
    </xdr:to>
    <xdr:cxnSp macro="">
      <xdr:nvCxnSpPr>
        <xdr:cNvPr id="1571" name="SCHEMA_T01_SOSTEGNO_15_DX">
          <a:extLst>
            <a:ext uri="{FF2B5EF4-FFF2-40B4-BE49-F238E27FC236}">
              <a16:creationId xmlns:a16="http://schemas.microsoft.com/office/drawing/2014/main" id="{9E884E7C-4AE7-2350-014C-61C2F4477483}"/>
            </a:ext>
          </a:extLst>
        </xdr:cNvPr>
        <xdr:cNvCxnSpPr/>
      </xdr:nvCxnSpPr>
      <xdr:spPr>
        <a:xfrm flipH="1" flipV="1">
          <a:off x="12388850" y="4821936"/>
          <a:ext cx="44450" cy="2312289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17</xdr:row>
      <xdr:rowOff>177198</xdr:rowOff>
    </xdr:from>
    <xdr:to>
      <xdr:col>29</xdr:col>
      <xdr:colOff>88900</xdr:colOff>
      <xdr:row>17</xdr:row>
      <xdr:rowOff>177198</xdr:rowOff>
    </xdr:to>
    <xdr:cxnSp macro="">
      <xdr:nvCxnSpPr>
        <xdr:cNvPr id="1572" name="SCHEMA_T01_SOSTEGNO_15_TR1">
          <a:extLst>
            <a:ext uri="{FF2B5EF4-FFF2-40B4-BE49-F238E27FC236}">
              <a16:creationId xmlns:a16="http://schemas.microsoft.com/office/drawing/2014/main" id="{5756F234-DBBA-ABA8-60F4-65784835AB00}"/>
            </a:ext>
          </a:extLst>
        </xdr:cNvPr>
        <xdr:cNvCxnSpPr/>
      </xdr:nvCxnSpPr>
      <xdr:spPr>
        <a:xfrm>
          <a:off x="12344400" y="5238148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18</xdr:row>
      <xdr:rowOff>207023</xdr:rowOff>
    </xdr:from>
    <xdr:to>
      <xdr:col>29</xdr:col>
      <xdr:colOff>88900</xdr:colOff>
      <xdr:row>18</xdr:row>
      <xdr:rowOff>207023</xdr:rowOff>
    </xdr:to>
    <xdr:cxnSp macro="">
      <xdr:nvCxnSpPr>
        <xdr:cNvPr id="1573" name="SCHEMA_T01_SOSTEGNO_15_TR2">
          <a:extLst>
            <a:ext uri="{FF2B5EF4-FFF2-40B4-BE49-F238E27FC236}">
              <a16:creationId xmlns:a16="http://schemas.microsoft.com/office/drawing/2014/main" id="{C08B55BB-04DA-5B30-4D17-77A0E3F7513E}"/>
            </a:ext>
          </a:extLst>
        </xdr:cNvPr>
        <xdr:cNvCxnSpPr/>
      </xdr:nvCxnSpPr>
      <xdr:spPr>
        <a:xfrm>
          <a:off x="12344400" y="5515623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19</xdr:row>
      <xdr:rowOff>236848</xdr:rowOff>
    </xdr:from>
    <xdr:to>
      <xdr:col>29</xdr:col>
      <xdr:colOff>88900</xdr:colOff>
      <xdr:row>19</xdr:row>
      <xdr:rowOff>236848</xdr:rowOff>
    </xdr:to>
    <xdr:cxnSp macro="">
      <xdr:nvCxnSpPr>
        <xdr:cNvPr id="1574" name="SCHEMA_T01_SOSTEGNO_15_TR3">
          <a:extLst>
            <a:ext uri="{FF2B5EF4-FFF2-40B4-BE49-F238E27FC236}">
              <a16:creationId xmlns:a16="http://schemas.microsoft.com/office/drawing/2014/main" id="{17F5E5EE-A5EC-4390-347E-7B813D23C6D5}"/>
            </a:ext>
          </a:extLst>
        </xdr:cNvPr>
        <xdr:cNvCxnSpPr/>
      </xdr:nvCxnSpPr>
      <xdr:spPr>
        <a:xfrm>
          <a:off x="12344400" y="5793098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15</xdr:row>
      <xdr:rowOff>209038</xdr:rowOff>
    </xdr:from>
    <xdr:to>
      <xdr:col>31</xdr:col>
      <xdr:colOff>44450</xdr:colOff>
      <xdr:row>25</xdr:row>
      <xdr:rowOff>92075</xdr:rowOff>
    </xdr:to>
    <xdr:cxnSp macro="">
      <xdr:nvCxnSpPr>
        <xdr:cNvPr id="1575" name="SCHEMA_T01_SOSTEGNO_16_SX">
          <a:extLst>
            <a:ext uri="{FF2B5EF4-FFF2-40B4-BE49-F238E27FC236}">
              <a16:creationId xmlns:a16="http://schemas.microsoft.com/office/drawing/2014/main" id="{647A0EC2-6E96-5F33-7E37-F135D1E9E0BF}"/>
            </a:ext>
          </a:extLst>
        </xdr:cNvPr>
        <xdr:cNvCxnSpPr/>
      </xdr:nvCxnSpPr>
      <xdr:spPr>
        <a:xfrm flipV="1">
          <a:off x="13106400" y="4774688"/>
          <a:ext cx="44450" cy="2359537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44450</xdr:colOff>
      <xdr:row>15</xdr:row>
      <xdr:rowOff>209038</xdr:rowOff>
    </xdr:from>
    <xdr:to>
      <xdr:col>31</xdr:col>
      <xdr:colOff>88900</xdr:colOff>
      <xdr:row>25</xdr:row>
      <xdr:rowOff>92075</xdr:rowOff>
    </xdr:to>
    <xdr:cxnSp macro="">
      <xdr:nvCxnSpPr>
        <xdr:cNvPr id="1576" name="SCHEMA_T01_SOSTEGNO_16_DX">
          <a:extLst>
            <a:ext uri="{FF2B5EF4-FFF2-40B4-BE49-F238E27FC236}">
              <a16:creationId xmlns:a16="http://schemas.microsoft.com/office/drawing/2014/main" id="{CF5CDC4F-A77D-2065-B5BF-12EED9643203}"/>
            </a:ext>
          </a:extLst>
        </xdr:cNvPr>
        <xdr:cNvCxnSpPr/>
      </xdr:nvCxnSpPr>
      <xdr:spPr>
        <a:xfrm flipH="1" flipV="1">
          <a:off x="13150850" y="4774688"/>
          <a:ext cx="44450" cy="2359537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17</xdr:row>
      <xdr:rowOff>138455</xdr:rowOff>
    </xdr:from>
    <xdr:to>
      <xdr:col>31</xdr:col>
      <xdr:colOff>88900</xdr:colOff>
      <xdr:row>17</xdr:row>
      <xdr:rowOff>138455</xdr:rowOff>
    </xdr:to>
    <xdr:cxnSp macro="">
      <xdr:nvCxnSpPr>
        <xdr:cNvPr id="1577" name="SCHEMA_T01_SOSTEGNO_16_TR1">
          <a:extLst>
            <a:ext uri="{FF2B5EF4-FFF2-40B4-BE49-F238E27FC236}">
              <a16:creationId xmlns:a16="http://schemas.microsoft.com/office/drawing/2014/main" id="{E6DD8352-D3FC-D4CA-CD55-5BD726F2E274}"/>
            </a:ext>
          </a:extLst>
        </xdr:cNvPr>
        <xdr:cNvCxnSpPr/>
      </xdr:nvCxnSpPr>
      <xdr:spPr>
        <a:xfrm>
          <a:off x="13106400" y="5199405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18</xdr:row>
      <xdr:rowOff>173949</xdr:rowOff>
    </xdr:from>
    <xdr:to>
      <xdr:col>31</xdr:col>
      <xdr:colOff>88900</xdr:colOff>
      <xdr:row>18</xdr:row>
      <xdr:rowOff>173949</xdr:rowOff>
    </xdr:to>
    <xdr:cxnSp macro="">
      <xdr:nvCxnSpPr>
        <xdr:cNvPr id="1578" name="SCHEMA_T01_SOSTEGNO_16_TR2">
          <a:extLst>
            <a:ext uri="{FF2B5EF4-FFF2-40B4-BE49-F238E27FC236}">
              <a16:creationId xmlns:a16="http://schemas.microsoft.com/office/drawing/2014/main" id="{37E9DA61-9A50-0BB5-FA06-674EBDB7B183}"/>
            </a:ext>
          </a:extLst>
        </xdr:cNvPr>
        <xdr:cNvCxnSpPr/>
      </xdr:nvCxnSpPr>
      <xdr:spPr>
        <a:xfrm>
          <a:off x="13106400" y="5482549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19</xdr:row>
      <xdr:rowOff>209443</xdr:rowOff>
    </xdr:from>
    <xdr:to>
      <xdr:col>31</xdr:col>
      <xdr:colOff>88900</xdr:colOff>
      <xdr:row>19</xdr:row>
      <xdr:rowOff>209443</xdr:rowOff>
    </xdr:to>
    <xdr:cxnSp macro="">
      <xdr:nvCxnSpPr>
        <xdr:cNvPr id="1579" name="SCHEMA_T01_SOSTEGNO_16_TR3">
          <a:extLst>
            <a:ext uri="{FF2B5EF4-FFF2-40B4-BE49-F238E27FC236}">
              <a16:creationId xmlns:a16="http://schemas.microsoft.com/office/drawing/2014/main" id="{04CC5B80-A998-9AEF-87BE-801E7B74A070}"/>
            </a:ext>
          </a:extLst>
        </xdr:cNvPr>
        <xdr:cNvCxnSpPr/>
      </xdr:nvCxnSpPr>
      <xdr:spPr>
        <a:xfrm>
          <a:off x="13106400" y="5765693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15</xdr:row>
      <xdr:rowOff>114542</xdr:rowOff>
    </xdr:from>
    <xdr:to>
      <xdr:col>33</xdr:col>
      <xdr:colOff>44450</xdr:colOff>
      <xdr:row>25</xdr:row>
      <xdr:rowOff>92075</xdr:rowOff>
    </xdr:to>
    <xdr:cxnSp macro="">
      <xdr:nvCxnSpPr>
        <xdr:cNvPr id="1580" name="SCHEMA_T01_SOSTEGNO_17_SX">
          <a:extLst>
            <a:ext uri="{FF2B5EF4-FFF2-40B4-BE49-F238E27FC236}">
              <a16:creationId xmlns:a16="http://schemas.microsoft.com/office/drawing/2014/main" id="{CED2BAA2-8EBE-6BE0-8788-FF4DD4B30E2D}"/>
            </a:ext>
          </a:extLst>
        </xdr:cNvPr>
        <xdr:cNvCxnSpPr/>
      </xdr:nvCxnSpPr>
      <xdr:spPr>
        <a:xfrm flipV="1">
          <a:off x="13868400" y="4680192"/>
          <a:ext cx="44450" cy="2454033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44450</xdr:colOff>
      <xdr:row>15</xdr:row>
      <xdr:rowOff>114542</xdr:rowOff>
    </xdr:from>
    <xdr:to>
      <xdr:col>33</xdr:col>
      <xdr:colOff>88900</xdr:colOff>
      <xdr:row>25</xdr:row>
      <xdr:rowOff>92075</xdr:rowOff>
    </xdr:to>
    <xdr:cxnSp macro="">
      <xdr:nvCxnSpPr>
        <xdr:cNvPr id="1581" name="SCHEMA_T01_SOSTEGNO_17_DX">
          <a:extLst>
            <a:ext uri="{FF2B5EF4-FFF2-40B4-BE49-F238E27FC236}">
              <a16:creationId xmlns:a16="http://schemas.microsoft.com/office/drawing/2014/main" id="{4D7A327B-09DA-0EB2-2386-834D10A7A133}"/>
            </a:ext>
          </a:extLst>
        </xdr:cNvPr>
        <xdr:cNvCxnSpPr/>
      </xdr:nvCxnSpPr>
      <xdr:spPr>
        <a:xfrm flipH="1" flipV="1">
          <a:off x="13912850" y="4680192"/>
          <a:ext cx="44450" cy="2454033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17</xdr:row>
      <xdr:rowOff>60968</xdr:rowOff>
    </xdr:from>
    <xdr:to>
      <xdr:col>33</xdr:col>
      <xdr:colOff>88900</xdr:colOff>
      <xdr:row>17</xdr:row>
      <xdr:rowOff>60968</xdr:rowOff>
    </xdr:to>
    <xdr:cxnSp macro="">
      <xdr:nvCxnSpPr>
        <xdr:cNvPr id="1582" name="SCHEMA_T01_SOSTEGNO_17_TR1">
          <a:extLst>
            <a:ext uri="{FF2B5EF4-FFF2-40B4-BE49-F238E27FC236}">
              <a16:creationId xmlns:a16="http://schemas.microsoft.com/office/drawing/2014/main" id="{0422DB26-24D9-3A34-9579-A70457C2F740}"/>
            </a:ext>
          </a:extLst>
        </xdr:cNvPr>
        <xdr:cNvCxnSpPr/>
      </xdr:nvCxnSpPr>
      <xdr:spPr>
        <a:xfrm>
          <a:off x="13868400" y="5121918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18</xdr:row>
      <xdr:rowOff>107802</xdr:rowOff>
    </xdr:from>
    <xdr:to>
      <xdr:col>33</xdr:col>
      <xdr:colOff>88900</xdr:colOff>
      <xdr:row>18</xdr:row>
      <xdr:rowOff>107802</xdr:rowOff>
    </xdr:to>
    <xdr:cxnSp macro="">
      <xdr:nvCxnSpPr>
        <xdr:cNvPr id="1583" name="SCHEMA_T01_SOSTEGNO_17_TR2">
          <a:extLst>
            <a:ext uri="{FF2B5EF4-FFF2-40B4-BE49-F238E27FC236}">
              <a16:creationId xmlns:a16="http://schemas.microsoft.com/office/drawing/2014/main" id="{9A482FCA-1AC6-7E53-CA97-A1E53456DB5C}"/>
            </a:ext>
          </a:extLst>
        </xdr:cNvPr>
        <xdr:cNvCxnSpPr/>
      </xdr:nvCxnSpPr>
      <xdr:spPr>
        <a:xfrm>
          <a:off x="13868400" y="5416402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19</xdr:row>
      <xdr:rowOff>154636</xdr:rowOff>
    </xdr:from>
    <xdr:to>
      <xdr:col>33</xdr:col>
      <xdr:colOff>88900</xdr:colOff>
      <xdr:row>19</xdr:row>
      <xdr:rowOff>154636</xdr:rowOff>
    </xdr:to>
    <xdr:cxnSp macro="">
      <xdr:nvCxnSpPr>
        <xdr:cNvPr id="1584" name="SCHEMA_T01_SOSTEGNO_17_TR3">
          <a:extLst>
            <a:ext uri="{FF2B5EF4-FFF2-40B4-BE49-F238E27FC236}">
              <a16:creationId xmlns:a16="http://schemas.microsoft.com/office/drawing/2014/main" id="{4E1A43C4-390F-7219-32BA-D85119EC9F9C}"/>
            </a:ext>
          </a:extLst>
        </xdr:cNvPr>
        <xdr:cNvCxnSpPr/>
      </xdr:nvCxnSpPr>
      <xdr:spPr>
        <a:xfrm>
          <a:off x="13868400" y="5710886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14</xdr:row>
      <xdr:rowOff>102328</xdr:rowOff>
    </xdr:from>
    <xdr:to>
      <xdr:col>35</xdr:col>
      <xdr:colOff>44450</xdr:colOff>
      <xdr:row>25</xdr:row>
      <xdr:rowOff>92075</xdr:rowOff>
    </xdr:to>
    <xdr:cxnSp macro="">
      <xdr:nvCxnSpPr>
        <xdr:cNvPr id="1585" name="SCHEMA_T01_SOSTEGNO_18_SX">
          <a:extLst>
            <a:ext uri="{FF2B5EF4-FFF2-40B4-BE49-F238E27FC236}">
              <a16:creationId xmlns:a16="http://schemas.microsoft.com/office/drawing/2014/main" id="{A4427A3E-0371-34DF-F66B-1D50D948C4B6}"/>
            </a:ext>
          </a:extLst>
        </xdr:cNvPr>
        <xdr:cNvCxnSpPr/>
      </xdr:nvCxnSpPr>
      <xdr:spPr>
        <a:xfrm flipV="1">
          <a:off x="14630400" y="4420328"/>
          <a:ext cx="44450" cy="2713897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44450</xdr:colOff>
      <xdr:row>14</xdr:row>
      <xdr:rowOff>102328</xdr:rowOff>
    </xdr:from>
    <xdr:to>
      <xdr:col>35</xdr:col>
      <xdr:colOff>88900</xdr:colOff>
      <xdr:row>25</xdr:row>
      <xdr:rowOff>92075</xdr:rowOff>
    </xdr:to>
    <xdr:cxnSp macro="">
      <xdr:nvCxnSpPr>
        <xdr:cNvPr id="1586" name="SCHEMA_T01_SOSTEGNO_18_DX">
          <a:extLst>
            <a:ext uri="{FF2B5EF4-FFF2-40B4-BE49-F238E27FC236}">
              <a16:creationId xmlns:a16="http://schemas.microsoft.com/office/drawing/2014/main" id="{B3D07645-1423-6160-610A-8210E2A0DECD}"/>
            </a:ext>
          </a:extLst>
        </xdr:cNvPr>
        <xdr:cNvCxnSpPr/>
      </xdr:nvCxnSpPr>
      <xdr:spPr>
        <a:xfrm flipH="1" flipV="1">
          <a:off x="14674850" y="4420328"/>
          <a:ext cx="44450" cy="2713897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16</xdr:row>
      <xdr:rowOff>95529</xdr:rowOff>
    </xdr:from>
    <xdr:to>
      <xdr:col>35</xdr:col>
      <xdr:colOff>88900</xdr:colOff>
      <xdr:row>16</xdr:row>
      <xdr:rowOff>95529</xdr:rowOff>
    </xdr:to>
    <xdr:cxnSp macro="">
      <xdr:nvCxnSpPr>
        <xdr:cNvPr id="1587" name="SCHEMA_T01_SOSTEGNO_18_TR1">
          <a:extLst>
            <a:ext uri="{FF2B5EF4-FFF2-40B4-BE49-F238E27FC236}">
              <a16:creationId xmlns:a16="http://schemas.microsoft.com/office/drawing/2014/main" id="{E6C36618-F45A-AB0C-87F7-FCE43CE3DFAB}"/>
            </a:ext>
          </a:extLst>
        </xdr:cNvPr>
        <xdr:cNvCxnSpPr/>
      </xdr:nvCxnSpPr>
      <xdr:spPr>
        <a:xfrm>
          <a:off x="14630400" y="4908829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17</xdr:row>
      <xdr:rowOff>173547</xdr:rowOff>
    </xdr:from>
    <xdr:to>
      <xdr:col>35</xdr:col>
      <xdr:colOff>88900</xdr:colOff>
      <xdr:row>17</xdr:row>
      <xdr:rowOff>173547</xdr:rowOff>
    </xdr:to>
    <xdr:cxnSp macro="">
      <xdr:nvCxnSpPr>
        <xdr:cNvPr id="1588" name="SCHEMA_T01_SOSTEGNO_18_TR2">
          <a:extLst>
            <a:ext uri="{FF2B5EF4-FFF2-40B4-BE49-F238E27FC236}">
              <a16:creationId xmlns:a16="http://schemas.microsoft.com/office/drawing/2014/main" id="{5DDD3CCF-2710-8FA7-791A-3FA1F0F1E188}"/>
            </a:ext>
          </a:extLst>
        </xdr:cNvPr>
        <xdr:cNvCxnSpPr/>
      </xdr:nvCxnSpPr>
      <xdr:spPr>
        <a:xfrm>
          <a:off x="14630400" y="5234497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19</xdr:row>
      <xdr:rowOff>3915</xdr:rowOff>
    </xdr:from>
    <xdr:to>
      <xdr:col>35</xdr:col>
      <xdr:colOff>88900</xdr:colOff>
      <xdr:row>19</xdr:row>
      <xdr:rowOff>3915</xdr:rowOff>
    </xdr:to>
    <xdr:cxnSp macro="">
      <xdr:nvCxnSpPr>
        <xdr:cNvPr id="1589" name="SCHEMA_T01_SOSTEGNO_18_TR3">
          <a:extLst>
            <a:ext uri="{FF2B5EF4-FFF2-40B4-BE49-F238E27FC236}">
              <a16:creationId xmlns:a16="http://schemas.microsoft.com/office/drawing/2014/main" id="{90036983-C32A-44DB-6CD0-70F36E15E579}"/>
            </a:ext>
          </a:extLst>
        </xdr:cNvPr>
        <xdr:cNvCxnSpPr/>
      </xdr:nvCxnSpPr>
      <xdr:spPr>
        <a:xfrm>
          <a:off x="14630400" y="5560165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15</xdr:row>
      <xdr:rowOff>90918</xdr:rowOff>
    </xdr:from>
    <xdr:to>
      <xdr:col>37</xdr:col>
      <xdr:colOff>44450</xdr:colOff>
      <xdr:row>25</xdr:row>
      <xdr:rowOff>92075</xdr:rowOff>
    </xdr:to>
    <xdr:cxnSp macro="">
      <xdr:nvCxnSpPr>
        <xdr:cNvPr id="1590" name="SCHEMA_T01_SOSTEGNO_19_SX">
          <a:extLst>
            <a:ext uri="{FF2B5EF4-FFF2-40B4-BE49-F238E27FC236}">
              <a16:creationId xmlns:a16="http://schemas.microsoft.com/office/drawing/2014/main" id="{504CC36E-BFB1-3282-66D7-CDD9E0062C9D}"/>
            </a:ext>
          </a:extLst>
        </xdr:cNvPr>
        <xdr:cNvCxnSpPr/>
      </xdr:nvCxnSpPr>
      <xdr:spPr>
        <a:xfrm flipV="1">
          <a:off x="15392400" y="4656568"/>
          <a:ext cx="44450" cy="2477657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44450</xdr:colOff>
      <xdr:row>15</xdr:row>
      <xdr:rowOff>90918</xdr:rowOff>
    </xdr:from>
    <xdr:to>
      <xdr:col>37</xdr:col>
      <xdr:colOff>88900</xdr:colOff>
      <xdr:row>25</xdr:row>
      <xdr:rowOff>92075</xdr:rowOff>
    </xdr:to>
    <xdr:cxnSp macro="">
      <xdr:nvCxnSpPr>
        <xdr:cNvPr id="1591" name="SCHEMA_T01_SOSTEGNO_19_DX">
          <a:extLst>
            <a:ext uri="{FF2B5EF4-FFF2-40B4-BE49-F238E27FC236}">
              <a16:creationId xmlns:a16="http://schemas.microsoft.com/office/drawing/2014/main" id="{EE1752EC-EECC-F28B-A18B-C4F160ED1954}"/>
            </a:ext>
          </a:extLst>
        </xdr:cNvPr>
        <xdr:cNvCxnSpPr/>
      </xdr:nvCxnSpPr>
      <xdr:spPr>
        <a:xfrm flipH="1" flipV="1">
          <a:off x="15436850" y="4656568"/>
          <a:ext cx="44450" cy="2477657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17</xdr:row>
      <xdr:rowOff>41596</xdr:rowOff>
    </xdr:from>
    <xdr:to>
      <xdr:col>37</xdr:col>
      <xdr:colOff>88900</xdr:colOff>
      <xdr:row>17</xdr:row>
      <xdr:rowOff>41596</xdr:rowOff>
    </xdr:to>
    <xdr:cxnSp macro="">
      <xdr:nvCxnSpPr>
        <xdr:cNvPr id="1592" name="SCHEMA_T01_SOSTEGNO_19_TR1">
          <a:extLst>
            <a:ext uri="{FF2B5EF4-FFF2-40B4-BE49-F238E27FC236}">
              <a16:creationId xmlns:a16="http://schemas.microsoft.com/office/drawing/2014/main" id="{CA727439-5B71-956B-B966-70D49840CDFC}"/>
            </a:ext>
          </a:extLst>
        </xdr:cNvPr>
        <xdr:cNvCxnSpPr/>
      </xdr:nvCxnSpPr>
      <xdr:spPr>
        <a:xfrm>
          <a:off x="15392400" y="5102546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18</xdr:row>
      <xdr:rowOff>91265</xdr:rowOff>
    </xdr:from>
    <xdr:to>
      <xdr:col>37</xdr:col>
      <xdr:colOff>88900</xdr:colOff>
      <xdr:row>18</xdr:row>
      <xdr:rowOff>91265</xdr:rowOff>
    </xdr:to>
    <xdr:cxnSp macro="">
      <xdr:nvCxnSpPr>
        <xdr:cNvPr id="1593" name="SCHEMA_T01_SOSTEGNO_19_TR2">
          <a:extLst>
            <a:ext uri="{FF2B5EF4-FFF2-40B4-BE49-F238E27FC236}">
              <a16:creationId xmlns:a16="http://schemas.microsoft.com/office/drawing/2014/main" id="{DBDB972F-C90D-3A57-5965-649928451317}"/>
            </a:ext>
          </a:extLst>
        </xdr:cNvPr>
        <xdr:cNvCxnSpPr/>
      </xdr:nvCxnSpPr>
      <xdr:spPr>
        <a:xfrm>
          <a:off x="15392400" y="5399865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19</xdr:row>
      <xdr:rowOff>140934</xdr:rowOff>
    </xdr:from>
    <xdr:to>
      <xdr:col>37</xdr:col>
      <xdr:colOff>88900</xdr:colOff>
      <xdr:row>19</xdr:row>
      <xdr:rowOff>140934</xdr:rowOff>
    </xdr:to>
    <xdr:cxnSp macro="">
      <xdr:nvCxnSpPr>
        <xdr:cNvPr id="1594" name="SCHEMA_T01_SOSTEGNO_19_TR3">
          <a:extLst>
            <a:ext uri="{FF2B5EF4-FFF2-40B4-BE49-F238E27FC236}">
              <a16:creationId xmlns:a16="http://schemas.microsoft.com/office/drawing/2014/main" id="{F8AE1CBF-3BF8-6F4D-13FC-CB1FD4D1E2EA}"/>
            </a:ext>
          </a:extLst>
        </xdr:cNvPr>
        <xdr:cNvCxnSpPr/>
      </xdr:nvCxnSpPr>
      <xdr:spPr>
        <a:xfrm>
          <a:off x="15392400" y="5697184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15</xdr:row>
      <xdr:rowOff>114542</xdr:rowOff>
    </xdr:from>
    <xdr:to>
      <xdr:col>39</xdr:col>
      <xdr:colOff>44450</xdr:colOff>
      <xdr:row>25</xdr:row>
      <xdr:rowOff>92075</xdr:rowOff>
    </xdr:to>
    <xdr:cxnSp macro="">
      <xdr:nvCxnSpPr>
        <xdr:cNvPr id="1595" name="SCHEMA_T01_SOSTEGNO_20_SX">
          <a:extLst>
            <a:ext uri="{FF2B5EF4-FFF2-40B4-BE49-F238E27FC236}">
              <a16:creationId xmlns:a16="http://schemas.microsoft.com/office/drawing/2014/main" id="{006A3C44-129E-3035-F143-7F52184066B0}"/>
            </a:ext>
          </a:extLst>
        </xdr:cNvPr>
        <xdr:cNvCxnSpPr/>
      </xdr:nvCxnSpPr>
      <xdr:spPr>
        <a:xfrm flipV="1">
          <a:off x="16154400" y="4680192"/>
          <a:ext cx="44450" cy="2454033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44450</xdr:colOff>
      <xdr:row>15</xdr:row>
      <xdr:rowOff>114542</xdr:rowOff>
    </xdr:from>
    <xdr:to>
      <xdr:col>39</xdr:col>
      <xdr:colOff>88900</xdr:colOff>
      <xdr:row>25</xdr:row>
      <xdr:rowOff>92075</xdr:rowOff>
    </xdr:to>
    <xdr:cxnSp macro="">
      <xdr:nvCxnSpPr>
        <xdr:cNvPr id="1596" name="SCHEMA_T01_SOSTEGNO_20_DX">
          <a:extLst>
            <a:ext uri="{FF2B5EF4-FFF2-40B4-BE49-F238E27FC236}">
              <a16:creationId xmlns:a16="http://schemas.microsoft.com/office/drawing/2014/main" id="{DAC3709C-7B95-1937-A21E-4637CAC8E200}"/>
            </a:ext>
          </a:extLst>
        </xdr:cNvPr>
        <xdr:cNvCxnSpPr/>
      </xdr:nvCxnSpPr>
      <xdr:spPr>
        <a:xfrm flipH="1" flipV="1">
          <a:off x="16198850" y="4680192"/>
          <a:ext cx="44450" cy="2454033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17</xdr:row>
      <xdr:rowOff>60968</xdr:rowOff>
    </xdr:from>
    <xdr:to>
      <xdr:col>39</xdr:col>
      <xdr:colOff>88900</xdr:colOff>
      <xdr:row>17</xdr:row>
      <xdr:rowOff>60968</xdr:rowOff>
    </xdr:to>
    <xdr:cxnSp macro="">
      <xdr:nvCxnSpPr>
        <xdr:cNvPr id="1597" name="SCHEMA_T01_SOSTEGNO_20_TR1">
          <a:extLst>
            <a:ext uri="{FF2B5EF4-FFF2-40B4-BE49-F238E27FC236}">
              <a16:creationId xmlns:a16="http://schemas.microsoft.com/office/drawing/2014/main" id="{AC06EB64-B9C6-7035-1A08-4F53FBA2ED51}"/>
            </a:ext>
          </a:extLst>
        </xdr:cNvPr>
        <xdr:cNvCxnSpPr/>
      </xdr:nvCxnSpPr>
      <xdr:spPr>
        <a:xfrm>
          <a:off x="16154400" y="5121918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18</xdr:row>
      <xdr:rowOff>107802</xdr:rowOff>
    </xdr:from>
    <xdr:to>
      <xdr:col>39</xdr:col>
      <xdr:colOff>88900</xdr:colOff>
      <xdr:row>18</xdr:row>
      <xdr:rowOff>107802</xdr:rowOff>
    </xdr:to>
    <xdr:cxnSp macro="">
      <xdr:nvCxnSpPr>
        <xdr:cNvPr id="1598" name="SCHEMA_T01_SOSTEGNO_20_TR2">
          <a:extLst>
            <a:ext uri="{FF2B5EF4-FFF2-40B4-BE49-F238E27FC236}">
              <a16:creationId xmlns:a16="http://schemas.microsoft.com/office/drawing/2014/main" id="{A091FF83-5A48-103F-EECE-AAD29846B1F8}"/>
            </a:ext>
          </a:extLst>
        </xdr:cNvPr>
        <xdr:cNvCxnSpPr/>
      </xdr:nvCxnSpPr>
      <xdr:spPr>
        <a:xfrm>
          <a:off x="16154400" y="5416402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19</xdr:row>
      <xdr:rowOff>154636</xdr:rowOff>
    </xdr:from>
    <xdr:to>
      <xdr:col>39</xdr:col>
      <xdr:colOff>88900</xdr:colOff>
      <xdr:row>19</xdr:row>
      <xdr:rowOff>154636</xdr:rowOff>
    </xdr:to>
    <xdr:cxnSp macro="">
      <xdr:nvCxnSpPr>
        <xdr:cNvPr id="1599" name="SCHEMA_T01_SOSTEGNO_20_TR3">
          <a:extLst>
            <a:ext uri="{FF2B5EF4-FFF2-40B4-BE49-F238E27FC236}">
              <a16:creationId xmlns:a16="http://schemas.microsoft.com/office/drawing/2014/main" id="{396ED93A-F25D-18DF-6244-BA97BED35598}"/>
            </a:ext>
          </a:extLst>
        </xdr:cNvPr>
        <xdr:cNvCxnSpPr/>
      </xdr:nvCxnSpPr>
      <xdr:spPr>
        <a:xfrm>
          <a:off x="16154400" y="5710886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14</xdr:row>
      <xdr:rowOff>133827</xdr:rowOff>
    </xdr:from>
    <xdr:to>
      <xdr:col>41</xdr:col>
      <xdr:colOff>44450</xdr:colOff>
      <xdr:row>25</xdr:row>
      <xdr:rowOff>92075</xdr:rowOff>
    </xdr:to>
    <xdr:cxnSp macro="">
      <xdr:nvCxnSpPr>
        <xdr:cNvPr id="1152" name="SCHEMA_T01_SOSTEGNO_21_SX">
          <a:extLst>
            <a:ext uri="{FF2B5EF4-FFF2-40B4-BE49-F238E27FC236}">
              <a16:creationId xmlns:a16="http://schemas.microsoft.com/office/drawing/2014/main" id="{A85000D8-034A-CA6A-98DF-3AD7F0A684EF}"/>
            </a:ext>
          </a:extLst>
        </xdr:cNvPr>
        <xdr:cNvCxnSpPr/>
      </xdr:nvCxnSpPr>
      <xdr:spPr>
        <a:xfrm flipV="1">
          <a:off x="16916400" y="4451827"/>
          <a:ext cx="44450" cy="2682398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44450</xdr:colOff>
      <xdr:row>14</xdr:row>
      <xdr:rowOff>133827</xdr:rowOff>
    </xdr:from>
    <xdr:to>
      <xdr:col>41</xdr:col>
      <xdr:colOff>88900</xdr:colOff>
      <xdr:row>25</xdr:row>
      <xdr:rowOff>92075</xdr:rowOff>
    </xdr:to>
    <xdr:cxnSp macro="">
      <xdr:nvCxnSpPr>
        <xdr:cNvPr id="1153" name="SCHEMA_T01_SOSTEGNO_21_DX">
          <a:extLst>
            <a:ext uri="{FF2B5EF4-FFF2-40B4-BE49-F238E27FC236}">
              <a16:creationId xmlns:a16="http://schemas.microsoft.com/office/drawing/2014/main" id="{3CC86D5C-D3BE-6588-3901-47FC6F10BE7C}"/>
            </a:ext>
          </a:extLst>
        </xdr:cNvPr>
        <xdr:cNvCxnSpPr/>
      </xdr:nvCxnSpPr>
      <xdr:spPr>
        <a:xfrm flipH="1" flipV="1">
          <a:off x="16960850" y="4451827"/>
          <a:ext cx="44450" cy="2682398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16</xdr:row>
      <xdr:rowOff>121358</xdr:rowOff>
    </xdr:from>
    <xdr:to>
      <xdr:col>41</xdr:col>
      <xdr:colOff>88900</xdr:colOff>
      <xdr:row>16</xdr:row>
      <xdr:rowOff>121358</xdr:rowOff>
    </xdr:to>
    <xdr:cxnSp macro="">
      <xdr:nvCxnSpPr>
        <xdr:cNvPr id="1154" name="SCHEMA_T01_SOSTEGNO_21_TR1">
          <a:extLst>
            <a:ext uri="{FF2B5EF4-FFF2-40B4-BE49-F238E27FC236}">
              <a16:creationId xmlns:a16="http://schemas.microsoft.com/office/drawing/2014/main" id="{B161611D-69AB-AF94-F897-9CBC1063796F}"/>
            </a:ext>
          </a:extLst>
        </xdr:cNvPr>
        <xdr:cNvCxnSpPr/>
      </xdr:nvCxnSpPr>
      <xdr:spPr>
        <a:xfrm>
          <a:off x="16916400" y="4934658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17</xdr:row>
      <xdr:rowOff>195596</xdr:rowOff>
    </xdr:from>
    <xdr:to>
      <xdr:col>41</xdr:col>
      <xdr:colOff>88900</xdr:colOff>
      <xdr:row>17</xdr:row>
      <xdr:rowOff>195596</xdr:rowOff>
    </xdr:to>
    <xdr:cxnSp macro="">
      <xdr:nvCxnSpPr>
        <xdr:cNvPr id="1155" name="SCHEMA_T01_SOSTEGNO_21_TR2">
          <a:extLst>
            <a:ext uri="{FF2B5EF4-FFF2-40B4-BE49-F238E27FC236}">
              <a16:creationId xmlns:a16="http://schemas.microsoft.com/office/drawing/2014/main" id="{BAE65416-BD42-C252-C137-A05AB8A865D7}"/>
            </a:ext>
          </a:extLst>
        </xdr:cNvPr>
        <xdr:cNvCxnSpPr/>
      </xdr:nvCxnSpPr>
      <xdr:spPr>
        <a:xfrm>
          <a:off x="16916400" y="5256546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19</xdr:row>
      <xdr:rowOff>22184</xdr:rowOff>
    </xdr:from>
    <xdr:to>
      <xdr:col>41</xdr:col>
      <xdr:colOff>88900</xdr:colOff>
      <xdr:row>19</xdr:row>
      <xdr:rowOff>22184</xdr:rowOff>
    </xdr:to>
    <xdr:cxnSp macro="">
      <xdr:nvCxnSpPr>
        <xdr:cNvPr id="1156" name="SCHEMA_T01_SOSTEGNO_21_TR3">
          <a:extLst>
            <a:ext uri="{FF2B5EF4-FFF2-40B4-BE49-F238E27FC236}">
              <a16:creationId xmlns:a16="http://schemas.microsoft.com/office/drawing/2014/main" id="{74EA7064-9169-A799-B411-108B0B18A393}"/>
            </a:ext>
          </a:extLst>
        </xdr:cNvPr>
        <xdr:cNvCxnSpPr/>
      </xdr:nvCxnSpPr>
      <xdr:spPr>
        <a:xfrm>
          <a:off x="16916400" y="5578434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44450</xdr:colOff>
      <xdr:row>14</xdr:row>
      <xdr:rowOff>177522</xdr:rowOff>
    </xdr:from>
    <xdr:to>
      <xdr:col>1</xdr:col>
      <xdr:colOff>298450</xdr:colOff>
      <xdr:row>15</xdr:row>
      <xdr:rowOff>46038</xdr:rowOff>
    </xdr:to>
    <xdr:cxnSp macro="">
      <xdr:nvCxnSpPr>
        <xdr:cNvPr id="1157" name="SCHEMA_T01_COND_0001">
          <a:extLst>
            <a:ext uri="{FF2B5EF4-FFF2-40B4-BE49-F238E27FC236}">
              <a16:creationId xmlns:a16="http://schemas.microsoft.com/office/drawing/2014/main" id="{65A9A473-1615-105E-17DD-E84E1AC01D56}"/>
            </a:ext>
          </a:extLst>
        </xdr:cNvPr>
        <xdr:cNvCxnSpPr/>
      </xdr:nvCxnSpPr>
      <xdr:spPr>
        <a:xfrm>
          <a:off x="1720850" y="4495522"/>
          <a:ext cx="254000" cy="116166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298450</xdr:colOff>
      <xdr:row>15</xdr:row>
      <xdr:rowOff>46038</xdr:rowOff>
    </xdr:from>
    <xdr:to>
      <xdr:col>2</xdr:col>
      <xdr:colOff>171450</xdr:colOff>
      <xdr:row>15</xdr:row>
      <xdr:rowOff>77537</xdr:rowOff>
    </xdr:to>
    <xdr:cxnSp macro="">
      <xdr:nvCxnSpPr>
        <xdr:cNvPr id="1158" name="SCHEMA_T01_COND_0002">
          <a:extLst>
            <a:ext uri="{FF2B5EF4-FFF2-40B4-BE49-F238E27FC236}">
              <a16:creationId xmlns:a16="http://schemas.microsoft.com/office/drawing/2014/main" id="{E33B43C3-A7BE-1184-AB00-02743431A671}"/>
            </a:ext>
          </a:extLst>
        </xdr:cNvPr>
        <xdr:cNvCxnSpPr/>
      </xdr:nvCxnSpPr>
      <xdr:spPr>
        <a:xfrm>
          <a:off x="1974850" y="4611688"/>
          <a:ext cx="254000" cy="31499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171450</xdr:colOff>
      <xdr:row>15</xdr:row>
      <xdr:rowOff>24369</xdr:rowOff>
    </xdr:from>
    <xdr:to>
      <xdr:col>3</xdr:col>
      <xdr:colOff>44450</xdr:colOff>
      <xdr:row>15</xdr:row>
      <xdr:rowOff>77537</xdr:rowOff>
    </xdr:to>
    <xdr:cxnSp macro="">
      <xdr:nvCxnSpPr>
        <xdr:cNvPr id="1159" name="SCHEMA_T01_COND_0003">
          <a:extLst>
            <a:ext uri="{FF2B5EF4-FFF2-40B4-BE49-F238E27FC236}">
              <a16:creationId xmlns:a16="http://schemas.microsoft.com/office/drawing/2014/main" id="{F3FF628C-68BB-F72D-F2E4-C5F1AA0452A2}"/>
            </a:ext>
          </a:extLst>
        </xdr:cNvPr>
        <xdr:cNvCxnSpPr/>
      </xdr:nvCxnSpPr>
      <xdr:spPr>
        <a:xfrm flipV="1">
          <a:off x="2228850" y="4590019"/>
          <a:ext cx="254000" cy="53168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44450</xdr:colOff>
      <xdr:row>15</xdr:row>
      <xdr:rowOff>94972</xdr:rowOff>
    </xdr:from>
    <xdr:to>
      <xdr:col>1</xdr:col>
      <xdr:colOff>298450</xdr:colOff>
      <xdr:row>15</xdr:row>
      <xdr:rowOff>211138</xdr:rowOff>
    </xdr:to>
    <xdr:cxnSp macro="">
      <xdr:nvCxnSpPr>
        <xdr:cNvPr id="1160" name="SCHEMA_T01_COND_0004">
          <a:extLst>
            <a:ext uri="{FF2B5EF4-FFF2-40B4-BE49-F238E27FC236}">
              <a16:creationId xmlns:a16="http://schemas.microsoft.com/office/drawing/2014/main" id="{63E8D8B7-AFBD-93B4-7D03-DA04ACDBE8FA}"/>
            </a:ext>
          </a:extLst>
        </xdr:cNvPr>
        <xdr:cNvCxnSpPr/>
      </xdr:nvCxnSpPr>
      <xdr:spPr>
        <a:xfrm>
          <a:off x="1720850" y="4660622"/>
          <a:ext cx="254000" cy="11616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298450</xdr:colOff>
      <xdr:row>15</xdr:row>
      <xdr:rowOff>211138</xdr:rowOff>
    </xdr:from>
    <xdr:to>
      <xdr:col>2</xdr:col>
      <xdr:colOff>171450</xdr:colOff>
      <xdr:row>15</xdr:row>
      <xdr:rowOff>242637</xdr:rowOff>
    </xdr:to>
    <xdr:cxnSp macro="">
      <xdr:nvCxnSpPr>
        <xdr:cNvPr id="1161" name="SCHEMA_T01_COND_0005">
          <a:extLst>
            <a:ext uri="{FF2B5EF4-FFF2-40B4-BE49-F238E27FC236}">
              <a16:creationId xmlns:a16="http://schemas.microsoft.com/office/drawing/2014/main" id="{69C059DC-53E8-14F2-B90A-6F5E820A6977}"/>
            </a:ext>
          </a:extLst>
        </xdr:cNvPr>
        <xdr:cNvCxnSpPr/>
      </xdr:nvCxnSpPr>
      <xdr:spPr>
        <a:xfrm>
          <a:off x="1974850" y="4776788"/>
          <a:ext cx="254000" cy="3149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171450</xdr:colOff>
      <xdr:row>15</xdr:row>
      <xdr:rowOff>189469</xdr:rowOff>
    </xdr:from>
    <xdr:to>
      <xdr:col>3</xdr:col>
      <xdr:colOff>44450</xdr:colOff>
      <xdr:row>15</xdr:row>
      <xdr:rowOff>242637</xdr:rowOff>
    </xdr:to>
    <xdr:cxnSp macro="">
      <xdr:nvCxnSpPr>
        <xdr:cNvPr id="1162" name="SCHEMA_T01_COND_0006">
          <a:extLst>
            <a:ext uri="{FF2B5EF4-FFF2-40B4-BE49-F238E27FC236}">
              <a16:creationId xmlns:a16="http://schemas.microsoft.com/office/drawing/2014/main" id="{D415E778-0D17-1368-8443-989F0423807F}"/>
            </a:ext>
          </a:extLst>
        </xdr:cNvPr>
        <xdr:cNvCxnSpPr/>
      </xdr:nvCxnSpPr>
      <xdr:spPr>
        <a:xfrm flipV="1">
          <a:off x="2228850" y="4755119"/>
          <a:ext cx="254000" cy="5316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44450</xdr:colOff>
      <xdr:row>15</xdr:row>
      <xdr:rowOff>196572</xdr:rowOff>
    </xdr:from>
    <xdr:to>
      <xdr:col>1</xdr:col>
      <xdr:colOff>298450</xdr:colOff>
      <xdr:row>16</xdr:row>
      <xdr:rowOff>65088</xdr:rowOff>
    </xdr:to>
    <xdr:cxnSp macro="">
      <xdr:nvCxnSpPr>
        <xdr:cNvPr id="1163" name="SCHEMA_T01_COND_0007">
          <a:extLst>
            <a:ext uri="{FF2B5EF4-FFF2-40B4-BE49-F238E27FC236}">
              <a16:creationId xmlns:a16="http://schemas.microsoft.com/office/drawing/2014/main" id="{92A9522F-D181-CCBF-31A9-C5268E8F18D6}"/>
            </a:ext>
          </a:extLst>
        </xdr:cNvPr>
        <xdr:cNvCxnSpPr/>
      </xdr:nvCxnSpPr>
      <xdr:spPr>
        <a:xfrm>
          <a:off x="1720850" y="4762222"/>
          <a:ext cx="254000" cy="11616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298450</xdr:colOff>
      <xdr:row>16</xdr:row>
      <xdr:rowOff>65088</xdr:rowOff>
    </xdr:from>
    <xdr:to>
      <xdr:col>2</xdr:col>
      <xdr:colOff>171450</xdr:colOff>
      <xdr:row>16</xdr:row>
      <xdr:rowOff>96587</xdr:rowOff>
    </xdr:to>
    <xdr:cxnSp macro="">
      <xdr:nvCxnSpPr>
        <xdr:cNvPr id="1164" name="SCHEMA_T01_COND_0008">
          <a:extLst>
            <a:ext uri="{FF2B5EF4-FFF2-40B4-BE49-F238E27FC236}">
              <a16:creationId xmlns:a16="http://schemas.microsoft.com/office/drawing/2014/main" id="{A59CD909-AF63-E529-2CA3-0801392301D0}"/>
            </a:ext>
          </a:extLst>
        </xdr:cNvPr>
        <xdr:cNvCxnSpPr/>
      </xdr:nvCxnSpPr>
      <xdr:spPr>
        <a:xfrm>
          <a:off x="1974850" y="4878388"/>
          <a:ext cx="254000" cy="3149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171450</xdr:colOff>
      <xdr:row>16</xdr:row>
      <xdr:rowOff>43419</xdr:rowOff>
    </xdr:from>
    <xdr:to>
      <xdr:col>3</xdr:col>
      <xdr:colOff>44450</xdr:colOff>
      <xdr:row>16</xdr:row>
      <xdr:rowOff>96587</xdr:rowOff>
    </xdr:to>
    <xdr:cxnSp macro="">
      <xdr:nvCxnSpPr>
        <xdr:cNvPr id="1165" name="SCHEMA_T01_COND_0009">
          <a:extLst>
            <a:ext uri="{FF2B5EF4-FFF2-40B4-BE49-F238E27FC236}">
              <a16:creationId xmlns:a16="http://schemas.microsoft.com/office/drawing/2014/main" id="{D45314D8-0247-FD81-3F17-06FDED46DA09}"/>
            </a:ext>
          </a:extLst>
        </xdr:cNvPr>
        <xdr:cNvCxnSpPr/>
      </xdr:nvCxnSpPr>
      <xdr:spPr>
        <a:xfrm flipV="1">
          <a:off x="2228850" y="4856719"/>
          <a:ext cx="254000" cy="5316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44450</xdr:colOff>
      <xdr:row>16</xdr:row>
      <xdr:rowOff>101322</xdr:rowOff>
    </xdr:from>
    <xdr:to>
      <xdr:col>1</xdr:col>
      <xdr:colOff>298450</xdr:colOff>
      <xdr:row>16</xdr:row>
      <xdr:rowOff>217488</xdr:rowOff>
    </xdr:to>
    <xdr:cxnSp macro="">
      <xdr:nvCxnSpPr>
        <xdr:cNvPr id="1166" name="SCHEMA_T01_COND_0010">
          <a:extLst>
            <a:ext uri="{FF2B5EF4-FFF2-40B4-BE49-F238E27FC236}">
              <a16:creationId xmlns:a16="http://schemas.microsoft.com/office/drawing/2014/main" id="{B3554D72-3F15-C21A-59EF-DE5B8F7E0AE3}"/>
            </a:ext>
          </a:extLst>
        </xdr:cNvPr>
        <xdr:cNvCxnSpPr/>
      </xdr:nvCxnSpPr>
      <xdr:spPr>
        <a:xfrm>
          <a:off x="1720850" y="4914622"/>
          <a:ext cx="254000" cy="11616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298450</xdr:colOff>
      <xdr:row>16</xdr:row>
      <xdr:rowOff>217488</xdr:rowOff>
    </xdr:from>
    <xdr:to>
      <xdr:col>2</xdr:col>
      <xdr:colOff>171450</xdr:colOff>
      <xdr:row>17</xdr:row>
      <xdr:rowOff>1337</xdr:rowOff>
    </xdr:to>
    <xdr:cxnSp macro="">
      <xdr:nvCxnSpPr>
        <xdr:cNvPr id="1167" name="SCHEMA_T01_COND_0011">
          <a:extLst>
            <a:ext uri="{FF2B5EF4-FFF2-40B4-BE49-F238E27FC236}">
              <a16:creationId xmlns:a16="http://schemas.microsoft.com/office/drawing/2014/main" id="{D8254495-4653-CECE-09A1-BC8C8D32D3CC}"/>
            </a:ext>
          </a:extLst>
        </xdr:cNvPr>
        <xdr:cNvCxnSpPr/>
      </xdr:nvCxnSpPr>
      <xdr:spPr>
        <a:xfrm>
          <a:off x="1974850" y="5030788"/>
          <a:ext cx="254000" cy="3149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171450</xdr:colOff>
      <xdr:row>16</xdr:row>
      <xdr:rowOff>195819</xdr:rowOff>
    </xdr:from>
    <xdr:to>
      <xdr:col>3</xdr:col>
      <xdr:colOff>44450</xdr:colOff>
      <xdr:row>17</xdr:row>
      <xdr:rowOff>1337</xdr:rowOff>
    </xdr:to>
    <xdr:cxnSp macro="">
      <xdr:nvCxnSpPr>
        <xdr:cNvPr id="1168" name="SCHEMA_T01_COND_0012">
          <a:extLst>
            <a:ext uri="{FF2B5EF4-FFF2-40B4-BE49-F238E27FC236}">
              <a16:creationId xmlns:a16="http://schemas.microsoft.com/office/drawing/2014/main" id="{7BA5AD00-ABF5-BC2F-CA74-A6A021691C96}"/>
            </a:ext>
          </a:extLst>
        </xdr:cNvPr>
        <xdr:cNvCxnSpPr/>
      </xdr:nvCxnSpPr>
      <xdr:spPr>
        <a:xfrm flipV="1">
          <a:off x="2228850" y="5009119"/>
          <a:ext cx="254000" cy="5316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44450</xdr:colOff>
      <xdr:row>16</xdr:row>
      <xdr:rowOff>202922</xdr:rowOff>
    </xdr:from>
    <xdr:to>
      <xdr:col>1</xdr:col>
      <xdr:colOff>298450</xdr:colOff>
      <xdr:row>17</xdr:row>
      <xdr:rowOff>71438</xdr:rowOff>
    </xdr:to>
    <xdr:cxnSp macro="">
      <xdr:nvCxnSpPr>
        <xdr:cNvPr id="1169" name="SCHEMA_T01_COND_0013">
          <a:extLst>
            <a:ext uri="{FF2B5EF4-FFF2-40B4-BE49-F238E27FC236}">
              <a16:creationId xmlns:a16="http://schemas.microsoft.com/office/drawing/2014/main" id="{54C6771A-AE7D-22F5-2DB5-E542175AFB31}"/>
            </a:ext>
          </a:extLst>
        </xdr:cNvPr>
        <xdr:cNvCxnSpPr/>
      </xdr:nvCxnSpPr>
      <xdr:spPr>
        <a:xfrm>
          <a:off x="1720850" y="5016222"/>
          <a:ext cx="254000" cy="11616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298450</xdr:colOff>
      <xdr:row>17</xdr:row>
      <xdr:rowOff>71438</xdr:rowOff>
    </xdr:from>
    <xdr:to>
      <xdr:col>2</xdr:col>
      <xdr:colOff>171450</xdr:colOff>
      <xdr:row>17</xdr:row>
      <xdr:rowOff>102937</xdr:rowOff>
    </xdr:to>
    <xdr:cxnSp macro="">
      <xdr:nvCxnSpPr>
        <xdr:cNvPr id="1170" name="SCHEMA_T01_COND_0014">
          <a:extLst>
            <a:ext uri="{FF2B5EF4-FFF2-40B4-BE49-F238E27FC236}">
              <a16:creationId xmlns:a16="http://schemas.microsoft.com/office/drawing/2014/main" id="{4851FA6F-C45E-E9BF-936D-0DA4CD16EB63}"/>
            </a:ext>
          </a:extLst>
        </xdr:cNvPr>
        <xdr:cNvCxnSpPr/>
      </xdr:nvCxnSpPr>
      <xdr:spPr>
        <a:xfrm>
          <a:off x="1974850" y="5132388"/>
          <a:ext cx="254000" cy="3149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171450</xdr:colOff>
      <xdr:row>17</xdr:row>
      <xdr:rowOff>49769</xdr:rowOff>
    </xdr:from>
    <xdr:to>
      <xdr:col>3</xdr:col>
      <xdr:colOff>44450</xdr:colOff>
      <xdr:row>17</xdr:row>
      <xdr:rowOff>102937</xdr:rowOff>
    </xdr:to>
    <xdr:cxnSp macro="">
      <xdr:nvCxnSpPr>
        <xdr:cNvPr id="1171" name="SCHEMA_T01_COND_0015">
          <a:extLst>
            <a:ext uri="{FF2B5EF4-FFF2-40B4-BE49-F238E27FC236}">
              <a16:creationId xmlns:a16="http://schemas.microsoft.com/office/drawing/2014/main" id="{584DB41F-6BCB-43A3-E6F0-FBFED082853C}"/>
            </a:ext>
          </a:extLst>
        </xdr:cNvPr>
        <xdr:cNvCxnSpPr/>
      </xdr:nvCxnSpPr>
      <xdr:spPr>
        <a:xfrm flipV="1">
          <a:off x="2228850" y="5110719"/>
          <a:ext cx="254000" cy="5316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6350</xdr:colOff>
      <xdr:row>25</xdr:row>
      <xdr:rowOff>3175</xdr:rowOff>
    </xdr:from>
    <xdr:to>
      <xdr:col>2</xdr:col>
      <xdr:colOff>82550</xdr:colOff>
      <xdr:row>25</xdr:row>
      <xdr:rowOff>79375</xdr:rowOff>
    </xdr:to>
    <xdr:sp macro="" textlink="">
      <xdr:nvSpPr>
        <xdr:cNvPr id="1172" name="SCHEMA_T01_ATTRAV_01">
          <a:extLst>
            <a:ext uri="{FF2B5EF4-FFF2-40B4-BE49-F238E27FC236}">
              <a16:creationId xmlns:a16="http://schemas.microsoft.com/office/drawing/2014/main" id="{E54BE8FB-9343-1F04-FD84-96AB3F2C1115}"/>
            </a:ext>
          </a:extLst>
        </xdr:cNvPr>
        <xdr:cNvSpPr/>
      </xdr:nvSpPr>
      <xdr:spPr>
        <a:xfrm>
          <a:off x="2063750" y="7045325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44450</xdr:colOff>
      <xdr:row>15</xdr:row>
      <xdr:rowOff>24369</xdr:rowOff>
    </xdr:from>
    <xdr:to>
      <xdr:col>3</xdr:col>
      <xdr:colOff>298450</xdr:colOff>
      <xdr:row>15</xdr:row>
      <xdr:rowOff>109035</xdr:rowOff>
    </xdr:to>
    <xdr:cxnSp macro="">
      <xdr:nvCxnSpPr>
        <xdr:cNvPr id="1173" name="SCHEMA_T01_COND_0016">
          <a:extLst>
            <a:ext uri="{FF2B5EF4-FFF2-40B4-BE49-F238E27FC236}">
              <a16:creationId xmlns:a16="http://schemas.microsoft.com/office/drawing/2014/main" id="{94A29CDC-8C7D-6DFB-A672-A5A7C47FB994}"/>
            </a:ext>
          </a:extLst>
        </xdr:cNvPr>
        <xdr:cNvCxnSpPr/>
      </xdr:nvCxnSpPr>
      <xdr:spPr>
        <a:xfrm>
          <a:off x="2482850" y="4590019"/>
          <a:ext cx="254000" cy="84666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298450</xdr:colOff>
      <xdr:row>15</xdr:row>
      <xdr:rowOff>109035</xdr:rowOff>
    </xdr:from>
    <xdr:to>
      <xdr:col>4</xdr:col>
      <xdr:colOff>171450</xdr:colOff>
      <xdr:row>15</xdr:row>
      <xdr:rowOff>109035</xdr:rowOff>
    </xdr:to>
    <xdr:cxnSp macro="">
      <xdr:nvCxnSpPr>
        <xdr:cNvPr id="1174" name="SCHEMA_T01_COND_0017">
          <a:extLst>
            <a:ext uri="{FF2B5EF4-FFF2-40B4-BE49-F238E27FC236}">
              <a16:creationId xmlns:a16="http://schemas.microsoft.com/office/drawing/2014/main" id="{4191011F-2368-BFF7-FB07-6490B4DD5C7C}"/>
            </a:ext>
          </a:extLst>
        </xdr:cNvPr>
        <xdr:cNvCxnSpPr/>
      </xdr:nvCxnSpPr>
      <xdr:spPr>
        <a:xfrm>
          <a:off x="2736850" y="4674685"/>
          <a:ext cx="254000" cy="0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171450</xdr:colOff>
      <xdr:row>15</xdr:row>
      <xdr:rowOff>24369</xdr:rowOff>
    </xdr:from>
    <xdr:to>
      <xdr:col>5</xdr:col>
      <xdr:colOff>44450</xdr:colOff>
      <xdr:row>15</xdr:row>
      <xdr:rowOff>109035</xdr:rowOff>
    </xdr:to>
    <xdr:cxnSp macro="">
      <xdr:nvCxnSpPr>
        <xdr:cNvPr id="320" name="SCHEMA_T01_COND_0018">
          <a:extLst>
            <a:ext uri="{FF2B5EF4-FFF2-40B4-BE49-F238E27FC236}">
              <a16:creationId xmlns:a16="http://schemas.microsoft.com/office/drawing/2014/main" id="{1EA922D2-C153-7A64-74A3-46B45D84F642}"/>
            </a:ext>
          </a:extLst>
        </xdr:cNvPr>
        <xdr:cNvCxnSpPr/>
      </xdr:nvCxnSpPr>
      <xdr:spPr>
        <a:xfrm flipV="1">
          <a:off x="2990850" y="4590019"/>
          <a:ext cx="254000" cy="84666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44450</xdr:colOff>
      <xdr:row>15</xdr:row>
      <xdr:rowOff>189469</xdr:rowOff>
    </xdr:from>
    <xdr:to>
      <xdr:col>3</xdr:col>
      <xdr:colOff>298450</xdr:colOff>
      <xdr:row>16</xdr:row>
      <xdr:rowOff>26485</xdr:rowOff>
    </xdr:to>
    <xdr:cxnSp macro="">
      <xdr:nvCxnSpPr>
        <xdr:cNvPr id="321" name="SCHEMA_T01_COND_0019">
          <a:extLst>
            <a:ext uri="{FF2B5EF4-FFF2-40B4-BE49-F238E27FC236}">
              <a16:creationId xmlns:a16="http://schemas.microsoft.com/office/drawing/2014/main" id="{F71A2A1B-EF78-BCF6-A915-B67799992967}"/>
            </a:ext>
          </a:extLst>
        </xdr:cNvPr>
        <xdr:cNvCxnSpPr/>
      </xdr:nvCxnSpPr>
      <xdr:spPr>
        <a:xfrm>
          <a:off x="2482850" y="4755119"/>
          <a:ext cx="254000" cy="8466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298450</xdr:colOff>
      <xdr:row>16</xdr:row>
      <xdr:rowOff>26485</xdr:rowOff>
    </xdr:from>
    <xdr:to>
      <xdr:col>4</xdr:col>
      <xdr:colOff>171450</xdr:colOff>
      <xdr:row>16</xdr:row>
      <xdr:rowOff>26485</xdr:rowOff>
    </xdr:to>
    <xdr:cxnSp macro="">
      <xdr:nvCxnSpPr>
        <xdr:cNvPr id="322" name="SCHEMA_T01_COND_0020">
          <a:extLst>
            <a:ext uri="{FF2B5EF4-FFF2-40B4-BE49-F238E27FC236}">
              <a16:creationId xmlns:a16="http://schemas.microsoft.com/office/drawing/2014/main" id="{03C4BEE7-BAB4-DA63-B747-DC595A48EAF5}"/>
            </a:ext>
          </a:extLst>
        </xdr:cNvPr>
        <xdr:cNvCxnSpPr/>
      </xdr:nvCxnSpPr>
      <xdr:spPr>
        <a:xfrm>
          <a:off x="2736850" y="4839785"/>
          <a:ext cx="254000" cy="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171450</xdr:colOff>
      <xdr:row>15</xdr:row>
      <xdr:rowOff>189469</xdr:rowOff>
    </xdr:from>
    <xdr:to>
      <xdr:col>5</xdr:col>
      <xdr:colOff>44450</xdr:colOff>
      <xdr:row>16</xdr:row>
      <xdr:rowOff>26485</xdr:rowOff>
    </xdr:to>
    <xdr:cxnSp macro="">
      <xdr:nvCxnSpPr>
        <xdr:cNvPr id="323" name="SCHEMA_T01_COND_0021">
          <a:extLst>
            <a:ext uri="{FF2B5EF4-FFF2-40B4-BE49-F238E27FC236}">
              <a16:creationId xmlns:a16="http://schemas.microsoft.com/office/drawing/2014/main" id="{EFFDA649-E9F2-34C1-2B52-6868FCB9C7B4}"/>
            </a:ext>
          </a:extLst>
        </xdr:cNvPr>
        <xdr:cNvCxnSpPr/>
      </xdr:nvCxnSpPr>
      <xdr:spPr>
        <a:xfrm flipV="1">
          <a:off x="2990850" y="4755119"/>
          <a:ext cx="254000" cy="8466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44450</xdr:colOff>
      <xdr:row>16</xdr:row>
      <xdr:rowOff>43419</xdr:rowOff>
    </xdr:from>
    <xdr:to>
      <xdr:col>3</xdr:col>
      <xdr:colOff>298450</xdr:colOff>
      <xdr:row>16</xdr:row>
      <xdr:rowOff>128085</xdr:rowOff>
    </xdr:to>
    <xdr:cxnSp macro="">
      <xdr:nvCxnSpPr>
        <xdr:cNvPr id="324" name="SCHEMA_T01_COND_0022">
          <a:extLst>
            <a:ext uri="{FF2B5EF4-FFF2-40B4-BE49-F238E27FC236}">
              <a16:creationId xmlns:a16="http://schemas.microsoft.com/office/drawing/2014/main" id="{D6342795-CBFE-EBFD-B58B-0C6530166FAF}"/>
            </a:ext>
          </a:extLst>
        </xdr:cNvPr>
        <xdr:cNvCxnSpPr/>
      </xdr:nvCxnSpPr>
      <xdr:spPr>
        <a:xfrm>
          <a:off x="2482850" y="4856719"/>
          <a:ext cx="254000" cy="8466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298450</xdr:colOff>
      <xdr:row>16</xdr:row>
      <xdr:rowOff>128085</xdr:rowOff>
    </xdr:from>
    <xdr:to>
      <xdr:col>4</xdr:col>
      <xdr:colOff>171450</xdr:colOff>
      <xdr:row>16</xdr:row>
      <xdr:rowOff>128085</xdr:rowOff>
    </xdr:to>
    <xdr:cxnSp macro="">
      <xdr:nvCxnSpPr>
        <xdr:cNvPr id="325" name="SCHEMA_T01_COND_0023">
          <a:extLst>
            <a:ext uri="{FF2B5EF4-FFF2-40B4-BE49-F238E27FC236}">
              <a16:creationId xmlns:a16="http://schemas.microsoft.com/office/drawing/2014/main" id="{98539CFE-7AC4-46A3-CDE5-B477D558FCEF}"/>
            </a:ext>
          </a:extLst>
        </xdr:cNvPr>
        <xdr:cNvCxnSpPr/>
      </xdr:nvCxnSpPr>
      <xdr:spPr>
        <a:xfrm>
          <a:off x="2736850" y="4941385"/>
          <a:ext cx="254000" cy="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171450</xdr:colOff>
      <xdr:row>16</xdr:row>
      <xdr:rowOff>43419</xdr:rowOff>
    </xdr:from>
    <xdr:to>
      <xdr:col>5</xdr:col>
      <xdr:colOff>44450</xdr:colOff>
      <xdr:row>16</xdr:row>
      <xdr:rowOff>128085</xdr:rowOff>
    </xdr:to>
    <xdr:cxnSp macro="">
      <xdr:nvCxnSpPr>
        <xdr:cNvPr id="326" name="SCHEMA_T01_COND_0024">
          <a:extLst>
            <a:ext uri="{FF2B5EF4-FFF2-40B4-BE49-F238E27FC236}">
              <a16:creationId xmlns:a16="http://schemas.microsoft.com/office/drawing/2014/main" id="{EFD1AC07-C7B3-1DFB-1456-1FAA13DE5F83}"/>
            </a:ext>
          </a:extLst>
        </xdr:cNvPr>
        <xdr:cNvCxnSpPr/>
      </xdr:nvCxnSpPr>
      <xdr:spPr>
        <a:xfrm flipV="1">
          <a:off x="2990850" y="4856719"/>
          <a:ext cx="254000" cy="8466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44450</xdr:colOff>
      <xdr:row>16</xdr:row>
      <xdr:rowOff>195819</xdr:rowOff>
    </xdr:from>
    <xdr:to>
      <xdr:col>3</xdr:col>
      <xdr:colOff>298450</xdr:colOff>
      <xdr:row>17</xdr:row>
      <xdr:rowOff>32835</xdr:rowOff>
    </xdr:to>
    <xdr:cxnSp macro="">
      <xdr:nvCxnSpPr>
        <xdr:cNvPr id="327" name="SCHEMA_T01_COND_0025">
          <a:extLst>
            <a:ext uri="{FF2B5EF4-FFF2-40B4-BE49-F238E27FC236}">
              <a16:creationId xmlns:a16="http://schemas.microsoft.com/office/drawing/2014/main" id="{B563AF84-FD75-B78C-5446-A63B90EC2833}"/>
            </a:ext>
          </a:extLst>
        </xdr:cNvPr>
        <xdr:cNvCxnSpPr/>
      </xdr:nvCxnSpPr>
      <xdr:spPr>
        <a:xfrm>
          <a:off x="2482850" y="5009119"/>
          <a:ext cx="254000" cy="8466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298450</xdr:colOff>
      <xdr:row>17</xdr:row>
      <xdr:rowOff>32835</xdr:rowOff>
    </xdr:from>
    <xdr:to>
      <xdr:col>4</xdr:col>
      <xdr:colOff>171450</xdr:colOff>
      <xdr:row>17</xdr:row>
      <xdr:rowOff>32835</xdr:rowOff>
    </xdr:to>
    <xdr:cxnSp macro="">
      <xdr:nvCxnSpPr>
        <xdr:cNvPr id="328" name="SCHEMA_T01_COND_0026">
          <a:extLst>
            <a:ext uri="{FF2B5EF4-FFF2-40B4-BE49-F238E27FC236}">
              <a16:creationId xmlns:a16="http://schemas.microsoft.com/office/drawing/2014/main" id="{68472C3B-6443-F680-D0F9-653BBF1D8ED5}"/>
            </a:ext>
          </a:extLst>
        </xdr:cNvPr>
        <xdr:cNvCxnSpPr/>
      </xdr:nvCxnSpPr>
      <xdr:spPr>
        <a:xfrm>
          <a:off x="2736850" y="5093785"/>
          <a:ext cx="254000" cy="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171450</xdr:colOff>
      <xdr:row>16</xdr:row>
      <xdr:rowOff>195819</xdr:rowOff>
    </xdr:from>
    <xdr:to>
      <xdr:col>5</xdr:col>
      <xdr:colOff>44450</xdr:colOff>
      <xdr:row>17</xdr:row>
      <xdr:rowOff>32835</xdr:rowOff>
    </xdr:to>
    <xdr:cxnSp macro="">
      <xdr:nvCxnSpPr>
        <xdr:cNvPr id="329" name="SCHEMA_T01_COND_0027">
          <a:extLst>
            <a:ext uri="{FF2B5EF4-FFF2-40B4-BE49-F238E27FC236}">
              <a16:creationId xmlns:a16="http://schemas.microsoft.com/office/drawing/2014/main" id="{7C21BB8A-C40D-8EB0-E5C1-A0D0EEE58DEB}"/>
            </a:ext>
          </a:extLst>
        </xdr:cNvPr>
        <xdr:cNvCxnSpPr/>
      </xdr:nvCxnSpPr>
      <xdr:spPr>
        <a:xfrm flipV="1">
          <a:off x="2990850" y="5009119"/>
          <a:ext cx="254000" cy="8466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44450</xdr:colOff>
      <xdr:row>17</xdr:row>
      <xdr:rowOff>49769</xdr:rowOff>
    </xdr:from>
    <xdr:to>
      <xdr:col>3</xdr:col>
      <xdr:colOff>298450</xdr:colOff>
      <xdr:row>17</xdr:row>
      <xdr:rowOff>134435</xdr:rowOff>
    </xdr:to>
    <xdr:cxnSp macro="">
      <xdr:nvCxnSpPr>
        <xdr:cNvPr id="330" name="SCHEMA_T01_COND_0028">
          <a:extLst>
            <a:ext uri="{FF2B5EF4-FFF2-40B4-BE49-F238E27FC236}">
              <a16:creationId xmlns:a16="http://schemas.microsoft.com/office/drawing/2014/main" id="{B9A44320-6F70-5474-E203-82ED8BB07560}"/>
            </a:ext>
          </a:extLst>
        </xdr:cNvPr>
        <xdr:cNvCxnSpPr/>
      </xdr:nvCxnSpPr>
      <xdr:spPr>
        <a:xfrm>
          <a:off x="2482850" y="5110719"/>
          <a:ext cx="254000" cy="8466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298450</xdr:colOff>
      <xdr:row>17</xdr:row>
      <xdr:rowOff>134435</xdr:rowOff>
    </xdr:from>
    <xdr:to>
      <xdr:col>4</xdr:col>
      <xdr:colOff>171450</xdr:colOff>
      <xdr:row>17</xdr:row>
      <xdr:rowOff>134435</xdr:rowOff>
    </xdr:to>
    <xdr:cxnSp macro="">
      <xdr:nvCxnSpPr>
        <xdr:cNvPr id="331" name="SCHEMA_T01_COND_0029">
          <a:extLst>
            <a:ext uri="{FF2B5EF4-FFF2-40B4-BE49-F238E27FC236}">
              <a16:creationId xmlns:a16="http://schemas.microsoft.com/office/drawing/2014/main" id="{8BA7AA07-1E65-E041-F666-23A49EB697C9}"/>
            </a:ext>
          </a:extLst>
        </xdr:cNvPr>
        <xdr:cNvCxnSpPr/>
      </xdr:nvCxnSpPr>
      <xdr:spPr>
        <a:xfrm>
          <a:off x="2736850" y="5195385"/>
          <a:ext cx="254000" cy="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171450</xdr:colOff>
      <xdr:row>17</xdr:row>
      <xdr:rowOff>49769</xdr:rowOff>
    </xdr:from>
    <xdr:to>
      <xdr:col>5</xdr:col>
      <xdr:colOff>44450</xdr:colOff>
      <xdr:row>17</xdr:row>
      <xdr:rowOff>134435</xdr:rowOff>
    </xdr:to>
    <xdr:cxnSp macro="">
      <xdr:nvCxnSpPr>
        <xdr:cNvPr id="332" name="SCHEMA_T01_COND_0030">
          <a:extLst>
            <a:ext uri="{FF2B5EF4-FFF2-40B4-BE49-F238E27FC236}">
              <a16:creationId xmlns:a16="http://schemas.microsoft.com/office/drawing/2014/main" id="{F53D7154-0A18-09CB-25B0-37F6366ECA7C}"/>
            </a:ext>
          </a:extLst>
        </xdr:cNvPr>
        <xdr:cNvCxnSpPr/>
      </xdr:nvCxnSpPr>
      <xdr:spPr>
        <a:xfrm flipV="1">
          <a:off x="2990850" y="5110719"/>
          <a:ext cx="254000" cy="8466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6350</xdr:colOff>
      <xdr:row>25</xdr:row>
      <xdr:rowOff>3175</xdr:rowOff>
    </xdr:from>
    <xdr:to>
      <xdr:col>4</xdr:col>
      <xdr:colOff>82550</xdr:colOff>
      <xdr:row>25</xdr:row>
      <xdr:rowOff>79375</xdr:rowOff>
    </xdr:to>
    <xdr:sp macro="" textlink="">
      <xdr:nvSpPr>
        <xdr:cNvPr id="333" name="SCHEMA_T01_ATTRAV_02">
          <a:extLst>
            <a:ext uri="{FF2B5EF4-FFF2-40B4-BE49-F238E27FC236}">
              <a16:creationId xmlns:a16="http://schemas.microsoft.com/office/drawing/2014/main" id="{B121BCC5-6161-AA4F-56AC-B3CE59DD87AB}"/>
            </a:ext>
          </a:extLst>
        </xdr:cNvPr>
        <xdr:cNvSpPr/>
      </xdr:nvSpPr>
      <xdr:spPr>
        <a:xfrm>
          <a:off x="2825750" y="7045325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44450</xdr:colOff>
      <xdr:row>14</xdr:row>
      <xdr:rowOff>167693</xdr:rowOff>
    </xdr:from>
    <xdr:to>
      <xdr:col>5</xdr:col>
      <xdr:colOff>298450</xdr:colOff>
      <xdr:row>15</xdr:row>
      <xdr:rowOff>24369</xdr:rowOff>
    </xdr:to>
    <xdr:cxnSp macro="">
      <xdr:nvCxnSpPr>
        <xdr:cNvPr id="334" name="SCHEMA_T01_COND_0031">
          <a:extLst>
            <a:ext uri="{FF2B5EF4-FFF2-40B4-BE49-F238E27FC236}">
              <a16:creationId xmlns:a16="http://schemas.microsoft.com/office/drawing/2014/main" id="{A489F048-E577-3C95-7D53-BCCA3D6AAAF5}"/>
            </a:ext>
          </a:extLst>
        </xdr:cNvPr>
        <xdr:cNvCxnSpPr/>
      </xdr:nvCxnSpPr>
      <xdr:spPr>
        <a:xfrm flipV="1">
          <a:off x="3244850" y="4485693"/>
          <a:ext cx="254000" cy="104326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298450</xdr:colOff>
      <xdr:row>13</xdr:row>
      <xdr:rowOff>226351</xdr:rowOff>
    </xdr:from>
    <xdr:to>
      <xdr:col>6</xdr:col>
      <xdr:colOff>171450</xdr:colOff>
      <xdr:row>14</xdr:row>
      <xdr:rowOff>167693</xdr:rowOff>
    </xdr:to>
    <xdr:cxnSp macro="">
      <xdr:nvCxnSpPr>
        <xdr:cNvPr id="335" name="SCHEMA_T01_COND_0032">
          <a:extLst>
            <a:ext uri="{FF2B5EF4-FFF2-40B4-BE49-F238E27FC236}">
              <a16:creationId xmlns:a16="http://schemas.microsoft.com/office/drawing/2014/main" id="{20B210E5-1304-3BEA-5BC2-2489F012FE22}"/>
            </a:ext>
          </a:extLst>
        </xdr:cNvPr>
        <xdr:cNvCxnSpPr/>
      </xdr:nvCxnSpPr>
      <xdr:spPr>
        <a:xfrm flipV="1">
          <a:off x="3498850" y="4296701"/>
          <a:ext cx="254000" cy="188992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171450</xdr:colOff>
      <xdr:row>12</xdr:row>
      <xdr:rowOff>200342</xdr:rowOff>
    </xdr:from>
    <xdr:to>
      <xdr:col>7</xdr:col>
      <xdr:colOff>44450</xdr:colOff>
      <xdr:row>13</xdr:row>
      <xdr:rowOff>226351</xdr:rowOff>
    </xdr:to>
    <xdr:cxnSp macro="">
      <xdr:nvCxnSpPr>
        <xdr:cNvPr id="336" name="SCHEMA_T01_COND_0033">
          <a:extLst>
            <a:ext uri="{FF2B5EF4-FFF2-40B4-BE49-F238E27FC236}">
              <a16:creationId xmlns:a16="http://schemas.microsoft.com/office/drawing/2014/main" id="{88F24712-DAB8-5713-0812-65EB72BFB1F7}"/>
            </a:ext>
          </a:extLst>
        </xdr:cNvPr>
        <xdr:cNvCxnSpPr/>
      </xdr:nvCxnSpPr>
      <xdr:spPr>
        <a:xfrm flipV="1">
          <a:off x="3752850" y="4023042"/>
          <a:ext cx="254000" cy="273659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44450</xdr:colOff>
      <xdr:row>15</xdr:row>
      <xdr:rowOff>85143</xdr:rowOff>
    </xdr:from>
    <xdr:to>
      <xdr:col>5</xdr:col>
      <xdr:colOff>298450</xdr:colOff>
      <xdr:row>15</xdr:row>
      <xdr:rowOff>189469</xdr:rowOff>
    </xdr:to>
    <xdr:cxnSp macro="">
      <xdr:nvCxnSpPr>
        <xdr:cNvPr id="337" name="SCHEMA_T01_COND_0034">
          <a:extLst>
            <a:ext uri="{FF2B5EF4-FFF2-40B4-BE49-F238E27FC236}">
              <a16:creationId xmlns:a16="http://schemas.microsoft.com/office/drawing/2014/main" id="{C1D0B0EA-94D7-23E1-B2F3-CA43FFC96171}"/>
            </a:ext>
          </a:extLst>
        </xdr:cNvPr>
        <xdr:cNvCxnSpPr/>
      </xdr:nvCxnSpPr>
      <xdr:spPr>
        <a:xfrm flipV="1">
          <a:off x="3244850" y="4650793"/>
          <a:ext cx="254000" cy="10432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298450</xdr:colOff>
      <xdr:row>14</xdr:row>
      <xdr:rowOff>143801</xdr:rowOff>
    </xdr:from>
    <xdr:to>
      <xdr:col>6</xdr:col>
      <xdr:colOff>171450</xdr:colOff>
      <xdr:row>15</xdr:row>
      <xdr:rowOff>85143</xdr:rowOff>
    </xdr:to>
    <xdr:cxnSp macro="">
      <xdr:nvCxnSpPr>
        <xdr:cNvPr id="338" name="SCHEMA_T01_COND_0035">
          <a:extLst>
            <a:ext uri="{FF2B5EF4-FFF2-40B4-BE49-F238E27FC236}">
              <a16:creationId xmlns:a16="http://schemas.microsoft.com/office/drawing/2014/main" id="{3311C4E0-EC7B-E118-251D-21C76F29F724}"/>
            </a:ext>
          </a:extLst>
        </xdr:cNvPr>
        <xdr:cNvCxnSpPr/>
      </xdr:nvCxnSpPr>
      <xdr:spPr>
        <a:xfrm flipV="1">
          <a:off x="3498850" y="4461801"/>
          <a:ext cx="254000" cy="18899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171450</xdr:colOff>
      <xdr:row>13</xdr:row>
      <xdr:rowOff>117792</xdr:rowOff>
    </xdr:from>
    <xdr:to>
      <xdr:col>7</xdr:col>
      <xdr:colOff>44450</xdr:colOff>
      <xdr:row>14</xdr:row>
      <xdr:rowOff>143801</xdr:rowOff>
    </xdr:to>
    <xdr:cxnSp macro="">
      <xdr:nvCxnSpPr>
        <xdr:cNvPr id="339" name="SCHEMA_T01_COND_0036">
          <a:extLst>
            <a:ext uri="{FF2B5EF4-FFF2-40B4-BE49-F238E27FC236}">
              <a16:creationId xmlns:a16="http://schemas.microsoft.com/office/drawing/2014/main" id="{598F782E-E55B-35AB-C26C-48DD933E352C}"/>
            </a:ext>
          </a:extLst>
        </xdr:cNvPr>
        <xdr:cNvCxnSpPr/>
      </xdr:nvCxnSpPr>
      <xdr:spPr>
        <a:xfrm flipV="1">
          <a:off x="3752850" y="4188142"/>
          <a:ext cx="254000" cy="27365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44450</xdr:colOff>
      <xdr:row>15</xdr:row>
      <xdr:rowOff>186743</xdr:rowOff>
    </xdr:from>
    <xdr:to>
      <xdr:col>5</xdr:col>
      <xdr:colOff>298450</xdr:colOff>
      <xdr:row>16</xdr:row>
      <xdr:rowOff>43419</xdr:rowOff>
    </xdr:to>
    <xdr:cxnSp macro="">
      <xdr:nvCxnSpPr>
        <xdr:cNvPr id="340" name="SCHEMA_T01_COND_0037">
          <a:extLst>
            <a:ext uri="{FF2B5EF4-FFF2-40B4-BE49-F238E27FC236}">
              <a16:creationId xmlns:a16="http://schemas.microsoft.com/office/drawing/2014/main" id="{BFE5AFB6-3C94-82D5-7612-8AE07FB655B2}"/>
            </a:ext>
          </a:extLst>
        </xdr:cNvPr>
        <xdr:cNvCxnSpPr/>
      </xdr:nvCxnSpPr>
      <xdr:spPr>
        <a:xfrm flipV="1">
          <a:off x="3244850" y="4752393"/>
          <a:ext cx="254000" cy="10432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298450</xdr:colOff>
      <xdr:row>14</xdr:row>
      <xdr:rowOff>245401</xdr:rowOff>
    </xdr:from>
    <xdr:to>
      <xdr:col>6</xdr:col>
      <xdr:colOff>171450</xdr:colOff>
      <xdr:row>15</xdr:row>
      <xdr:rowOff>186743</xdr:rowOff>
    </xdr:to>
    <xdr:cxnSp macro="">
      <xdr:nvCxnSpPr>
        <xdr:cNvPr id="341" name="SCHEMA_T01_COND_0038">
          <a:extLst>
            <a:ext uri="{FF2B5EF4-FFF2-40B4-BE49-F238E27FC236}">
              <a16:creationId xmlns:a16="http://schemas.microsoft.com/office/drawing/2014/main" id="{136A17B0-9C37-0A02-EC3F-C5420C93D794}"/>
            </a:ext>
          </a:extLst>
        </xdr:cNvPr>
        <xdr:cNvCxnSpPr/>
      </xdr:nvCxnSpPr>
      <xdr:spPr>
        <a:xfrm flipV="1">
          <a:off x="3498850" y="4563401"/>
          <a:ext cx="254000" cy="18899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171450</xdr:colOff>
      <xdr:row>13</xdr:row>
      <xdr:rowOff>219392</xdr:rowOff>
    </xdr:from>
    <xdr:to>
      <xdr:col>7</xdr:col>
      <xdr:colOff>44450</xdr:colOff>
      <xdr:row>14</xdr:row>
      <xdr:rowOff>245401</xdr:rowOff>
    </xdr:to>
    <xdr:cxnSp macro="">
      <xdr:nvCxnSpPr>
        <xdr:cNvPr id="342" name="SCHEMA_T01_COND_0039">
          <a:extLst>
            <a:ext uri="{FF2B5EF4-FFF2-40B4-BE49-F238E27FC236}">
              <a16:creationId xmlns:a16="http://schemas.microsoft.com/office/drawing/2014/main" id="{F081CDFD-6B3F-A704-6762-4741B9D076D9}"/>
            </a:ext>
          </a:extLst>
        </xdr:cNvPr>
        <xdr:cNvCxnSpPr/>
      </xdr:nvCxnSpPr>
      <xdr:spPr>
        <a:xfrm flipV="1">
          <a:off x="3752850" y="4289742"/>
          <a:ext cx="254000" cy="27365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44450</xdr:colOff>
      <xdr:row>16</xdr:row>
      <xdr:rowOff>91493</xdr:rowOff>
    </xdr:from>
    <xdr:to>
      <xdr:col>5</xdr:col>
      <xdr:colOff>298450</xdr:colOff>
      <xdr:row>16</xdr:row>
      <xdr:rowOff>195819</xdr:rowOff>
    </xdr:to>
    <xdr:cxnSp macro="">
      <xdr:nvCxnSpPr>
        <xdr:cNvPr id="343" name="SCHEMA_T01_COND_0040">
          <a:extLst>
            <a:ext uri="{FF2B5EF4-FFF2-40B4-BE49-F238E27FC236}">
              <a16:creationId xmlns:a16="http://schemas.microsoft.com/office/drawing/2014/main" id="{70E7D9EB-5874-430E-784A-B8479A730F4B}"/>
            </a:ext>
          </a:extLst>
        </xdr:cNvPr>
        <xdr:cNvCxnSpPr/>
      </xdr:nvCxnSpPr>
      <xdr:spPr>
        <a:xfrm flipV="1">
          <a:off x="3244850" y="4904793"/>
          <a:ext cx="254000" cy="10432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298450</xdr:colOff>
      <xdr:row>15</xdr:row>
      <xdr:rowOff>150151</xdr:rowOff>
    </xdr:from>
    <xdr:to>
      <xdr:col>6</xdr:col>
      <xdr:colOff>171450</xdr:colOff>
      <xdr:row>16</xdr:row>
      <xdr:rowOff>91493</xdr:rowOff>
    </xdr:to>
    <xdr:cxnSp macro="">
      <xdr:nvCxnSpPr>
        <xdr:cNvPr id="344" name="SCHEMA_T01_COND_0041">
          <a:extLst>
            <a:ext uri="{FF2B5EF4-FFF2-40B4-BE49-F238E27FC236}">
              <a16:creationId xmlns:a16="http://schemas.microsoft.com/office/drawing/2014/main" id="{9D1D3799-02C4-BA50-7F2A-0E25473B9541}"/>
            </a:ext>
          </a:extLst>
        </xdr:cNvPr>
        <xdr:cNvCxnSpPr/>
      </xdr:nvCxnSpPr>
      <xdr:spPr>
        <a:xfrm flipV="1">
          <a:off x="3498850" y="4715801"/>
          <a:ext cx="254000" cy="18899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171450</xdr:colOff>
      <xdr:row>14</xdr:row>
      <xdr:rowOff>124142</xdr:rowOff>
    </xdr:from>
    <xdr:to>
      <xdr:col>7</xdr:col>
      <xdr:colOff>44450</xdr:colOff>
      <xdr:row>15</xdr:row>
      <xdr:rowOff>150151</xdr:rowOff>
    </xdr:to>
    <xdr:cxnSp macro="">
      <xdr:nvCxnSpPr>
        <xdr:cNvPr id="345" name="SCHEMA_T01_COND_0042">
          <a:extLst>
            <a:ext uri="{FF2B5EF4-FFF2-40B4-BE49-F238E27FC236}">
              <a16:creationId xmlns:a16="http://schemas.microsoft.com/office/drawing/2014/main" id="{5C86B77B-0BCE-9ED8-91B8-40FC11095EF6}"/>
            </a:ext>
          </a:extLst>
        </xdr:cNvPr>
        <xdr:cNvCxnSpPr/>
      </xdr:nvCxnSpPr>
      <xdr:spPr>
        <a:xfrm flipV="1">
          <a:off x="3752850" y="4442142"/>
          <a:ext cx="254000" cy="27365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44450</xdr:colOff>
      <xdr:row>16</xdr:row>
      <xdr:rowOff>193093</xdr:rowOff>
    </xdr:from>
    <xdr:to>
      <xdr:col>5</xdr:col>
      <xdr:colOff>298450</xdr:colOff>
      <xdr:row>17</xdr:row>
      <xdr:rowOff>49769</xdr:rowOff>
    </xdr:to>
    <xdr:cxnSp macro="">
      <xdr:nvCxnSpPr>
        <xdr:cNvPr id="346" name="SCHEMA_T01_COND_0043">
          <a:extLst>
            <a:ext uri="{FF2B5EF4-FFF2-40B4-BE49-F238E27FC236}">
              <a16:creationId xmlns:a16="http://schemas.microsoft.com/office/drawing/2014/main" id="{A10D9E66-671E-1711-BC8B-DE34D703D01F}"/>
            </a:ext>
          </a:extLst>
        </xdr:cNvPr>
        <xdr:cNvCxnSpPr/>
      </xdr:nvCxnSpPr>
      <xdr:spPr>
        <a:xfrm flipV="1">
          <a:off x="3244850" y="5006393"/>
          <a:ext cx="254000" cy="10432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298450</xdr:colOff>
      <xdr:row>16</xdr:row>
      <xdr:rowOff>4101</xdr:rowOff>
    </xdr:from>
    <xdr:to>
      <xdr:col>6</xdr:col>
      <xdr:colOff>171450</xdr:colOff>
      <xdr:row>16</xdr:row>
      <xdr:rowOff>193093</xdr:rowOff>
    </xdr:to>
    <xdr:cxnSp macro="">
      <xdr:nvCxnSpPr>
        <xdr:cNvPr id="347" name="SCHEMA_T01_COND_0044">
          <a:extLst>
            <a:ext uri="{FF2B5EF4-FFF2-40B4-BE49-F238E27FC236}">
              <a16:creationId xmlns:a16="http://schemas.microsoft.com/office/drawing/2014/main" id="{FA8D1E55-47CE-BB81-A5DB-CE547330026F}"/>
            </a:ext>
          </a:extLst>
        </xdr:cNvPr>
        <xdr:cNvCxnSpPr/>
      </xdr:nvCxnSpPr>
      <xdr:spPr>
        <a:xfrm flipV="1">
          <a:off x="3498850" y="4817401"/>
          <a:ext cx="254000" cy="18899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171450</xdr:colOff>
      <xdr:row>14</xdr:row>
      <xdr:rowOff>225742</xdr:rowOff>
    </xdr:from>
    <xdr:to>
      <xdr:col>7</xdr:col>
      <xdr:colOff>44450</xdr:colOff>
      <xdr:row>16</xdr:row>
      <xdr:rowOff>4101</xdr:rowOff>
    </xdr:to>
    <xdr:cxnSp macro="">
      <xdr:nvCxnSpPr>
        <xdr:cNvPr id="348" name="SCHEMA_T01_COND_0045">
          <a:extLst>
            <a:ext uri="{FF2B5EF4-FFF2-40B4-BE49-F238E27FC236}">
              <a16:creationId xmlns:a16="http://schemas.microsoft.com/office/drawing/2014/main" id="{6323C233-9331-6640-15F6-28E6F1DD6448}"/>
            </a:ext>
          </a:extLst>
        </xdr:cNvPr>
        <xdr:cNvCxnSpPr/>
      </xdr:nvCxnSpPr>
      <xdr:spPr>
        <a:xfrm flipV="1">
          <a:off x="3752850" y="4543742"/>
          <a:ext cx="254000" cy="27365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6350</xdr:colOff>
      <xdr:row>25</xdr:row>
      <xdr:rowOff>3175</xdr:rowOff>
    </xdr:from>
    <xdr:to>
      <xdr:col>6</xdr:col>
      <xdr:colOff>82550</xdr:colOff>
      <xdr:row>25</xdr:row>
      <xdr:rowOff>79375</xdr:rowOff>
    </xdr:to>
    <xdr:sp macro="" textlink="">
      <xdr:nvSpPr>
        <xdr:cNvPr id="349" name="SCHEMA_T01_ATTRAV_03">
          <a:extLst>
            <a:ext uri="{FF2B5EF4-FFF2-40B4-BE49-F238E27FC236}">
              <a16:creationId xmlns:a16="http://schemas.microsoft.com/office/drawing/2014/main" id="{E96C60F2-5C0B-2540-EA51-0B18C1EFFF1F}"/>
            </a:ext>
          </a:extLst>
        </xdr:cNvPr>
        <xdr:cNvSpPr/>
      </xdr:nvSpPr>
      <xdr:spPr>
        <a:xfrm>
          <a:off x="3587750" y="7045325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44450</xdr:colOff>
      <xdr:row>12</xdr:row>
      <xdr:rowOff>200342</xdr:rowOff>
    </xdr:from>
    <xdr:to>
      <xdr:col>7</xdr:col>
      <xdr:colOff>298450</xdr:colOff>
      <xdr:row>13</xdr:row>
      <xdr:rowOff>155479</xdr:rowOff>
    </xdr:to>
    <xdr:cxnSp macro="">
      <xdr:nvCxnSpPr>
        <xdr:cNvPr id="350" name="SCHEMA_T01_COND_0046">
          <a:extLst>
            <a:ext uri="{FF2B5EF4-FFF2-40B4-BE49-F238E27FC236}">
              <a16:creationId xmlns:a16="http://schemas.microsoft.com/office/drawing/2014/main" id="{CDEF72DC-51E8-C307-9B00-FEF5900317F2}"/>
            </a:ext>
          </a:extLst>
        </xdr:cNvPr>
        <xdr:cNvCxnSpPr/>
      </xdr:nvCxnSpPr>
      <xdr:spPr>
        <a:xfrm>
          <a:off x="4006850" y="4023042"/>
          <a:ext cx="254000" cy="202787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298450</xdr:colOff>
      <xdr:row>13</xdr:row>
      <xdr:rowOff>155479</xdr:rowOff>
    </xdr:from>
    <xdr:to>
      <xdr:col>8</xdr:col>
      <xdr:colOff>171450</xdr:colOff>
      <xdr:row>14</xdr:row>
      <xdr:rowOff>25949</xdr:rowOff>
    </xdr:to>
    <xdr:cxnSp macro="">
      <xdr:nvCxnSpPr>
        <xdr:cNvPr id="351" name="SCHEMA_T01_COND_0047">
          <a:extLst>
            <a:ext uri="{FF2B5EF4-FFF2-40B4-BE49-F238E27FC236}">
              <a16:creationId xmlns:a16="http://schemas.microsoft.com/office/drawing/2014/main" id="{DECC0475-3F2C-3046-9AEB-91604FC083EF}"/>
            </a:ext>
          </a:extLst>
        </xdr:cNvPr>
        <xdr:cNvCxnSpPr/>
      </xdr:nvCxnSpPr>
      <xdr:spPr>
        <a:xfrm>
          <a:off x="4260850" y="4225829"/>
          <a:ext cx="254000" cy="118120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171450</xdr:colOff>
      <xdr:row>14</xdr:row>
      <xdr:rowOff>25949</xdr:rowOff>
    </xdr:from>
    <xdr:to>
      <xdr:col>9</xdr:col>
      <xdr:colOff>44450</xdr:colOff>
      <xdr:row>14</xdr:row>
      <xdr:rowOff>59403</xdr:rowOff>
    </xdr:to>
    <xdr:cxnSp macro="">
      <xdr:nvCxnSpPr>
        <xdr:cNvPr id="352" name="SCHEMA_T01_COND_0048">
          <a:extLst>
            <a:ext uri="{FF2B5EF4-FFF2-40B4-BE49-F238E27FC236}">
              <a16:creationId xmlns:a16="http://schemas.microsoft.com/office/drawing/2014/main" id="{2E5E1151-8C38-D7F8-FFC8-41160AC83544}"/>
            </a:ext>
          </a:extLst>
        </xdr:cNvPr>
        <xdr:cNvCxnSpPr/>
      </xdr:nvCxnSpPr>
      <xdr:spPr>
        <a:xfrm>
          <a:off x="4514850" y="4343949"/>
          <a:ext cx="254000" cy="33454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44450</xdr:colOff>
      <xdr:row>13</xdr:row>
      <xdr:rowOff>117792</xdr:rowOff>
    </xdr:from>
    <xdr:to>
      <xdr:col>7</xdr:col>
      <xdr:colOff>298450</xdr:colOff>
      <xdr:row>14</xdr:row>
      <xdr:rowOff>72929</xdr:rowOff>
    </xdr:to>
    <xdr:cxnSp macro="">
      <xdr:nvCxnSpPr>
        <xdr:cNvPr id="353" name="SCHEMA_T01_COND_0049">
          <a:extLst>
            <a:ext uri="{FF2B5EF4-FFF2-40B4-BE49-F238E27FC236}">
              <a16:creationId xmlns:a16="http://schemas.microsoft.com/office/drawing/2014/main" id="{6E306091-2CD9-5C37-43B5-08382D3AE86C}"/>
            </a:ext>
          </a:extLst>
        </xdr:cNvPr>
        <xdr:cNvCxnSpPr/>
      </xdr:nvCxnSpPr>
      <xdr:spPr>
        <a:xfrm>
          <a:off x="4006850" y="4188142"/>
          <a:ext cx="254000" cy="20278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298450</xdr:colOff>
      <xdr:row>14</xdr:row>
      <xdr:rowOff>72929</xdr:rowOff>
    </xdr:from>
    <xdr:to>
      <xdr:col>8</xdr:col>
      <xdr:colOff>171450</xdr:colOff>
      <xdr:row>14</xdr:row>
      <xdr:rowOff>191049</xdr:rowOff>
    </xdr:to>
    <xdr:cxnSp macro="">
      <xdr:nvCxnSpPr>
        <xdr:cNvPr id="354" name="SCHEMA_T01_COND_0050">
          <a:extLst>
            <a:ext uri="{FF2B5EF4-FFF2-40B4-BE49-F238E27FC236}">
              <a16:creationId xmlns:a16="http://schemas.microsoft.com/office/drawing/2014/main" id="{085CC38B-D4DE-732F-4D4B-997481B0ED1F}"/>
            </a:ext>
          </a:extLst>
        </xdr:cNvPr>
        <xdr:cNvCxnSpPr/>
      </xdr:nvCxnSpPr>
      <xdr:spPr>
        <a:xfrm>
          <a:off x="4260850" y="4390929"/>
          <a:ext cx="254000" cy="11812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171450</xdr:colOff>
      <xdr:row>14</xdr:row>
      <xdr:rowOff>191049</xdr:rowOff>
    </xdr:from>
    <xdr:to>
      <xdr:col>9</xdr:col>
      <xdr:colOff>44450</xdr:colOff>
      <xdr:row>14</xdr:row>
      <xdr:rowOff>224503</xdr:rowOff>
    </xdr:to>
    <xdr:cxnSp macro="">
      <xdr:nvCxnSpPr>
        <xdr:cNvPr id="355" name="SCHEMA_T01_COND_0051">
          <a:extLst>
            <a:ext uri="{FF2B5EF4-FFF2-40B4-BE49-F238E27FC236}">
              <a16:creationId xmlns:a16="http://schemas.microsoft.com/office/drawing/2014/main" id="{71C5AB51-2EF9-0D49-BCDB-08C810B589D1}"/>
            </a:ext>
          </a:extLst>
        </xdr:cNvPr>
        <xdr:cNvCxnSpPr/>
      </xdr:nvCxnSpPr>
      <xdr:spPr>
        <a:xfrm>
          <a:off x="4514850" y="4509049"/>
          <a:ext cx="254000" cy="33454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44450</xdr:colOff>
      <xdr:row>13</xdr:row>
      <xdr:rowOff>219392</xdr:rowOff>
    </xdr:from>
    <xdr:to>
      <xdr:col>7</xdr:col>
      <xdr:colOff>298450</xdr:colOff>
      <xdr:row>14</xdr:row>
      <xdr:rowOff>174529</xdr:rowOff>
    </xdr:to>
    <xdr:cxnSp macro="">
      <xdr:nvCxnSpPr>
        <xdr:cNvPr id="356" name="SCHEMA_T01_COND_0052">
          <a:extLst>
            <a:ext uri="{FF2B5EF4-FFF2-40B4-BE49-F238E27FC236}">
              <a16:creationId xmlns:a16="http://schemas.microsoft.com/office/drawing/2014/main" id="{E0C29A41-F3F8-3706-49E1-5D086233D3A4}"/>
            </a:ext>
          </a:extLst>
        </xdr:cNvPr>
        <xdr:cNvCxnSpPr/>
      </xdr:nvCxnSpPr>
      <xdr:spPr>
        <a:xfrm>
          <a:off x="4006850" y="4289742"/>
          <a:ext cx="254000" cy="20278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298450</xdr:colOff>
      <xdr:row>14</xdr:row>
      <xdr:rowOff>174529</xdr:rowOff>
    </xdr:from>
    <xdr:to>
      <xdr:col>8</xdr:col>
      <xdr:colOff>171450</xdr:colOff>
      <xdr:row>15</xdr:row>
      <xdr:rowOff>44999</xdr:rowOff>
    </xdr:to>
    <xdr:cxnSp macro="">
      <xdr:nvCxnSpPr>
        <xdr:cNvPr id="357" name="SCHEMA_T01_COND_0053">
          <a:extLst>
            <a:ext uri="{FF2B5EF4-FFF2-40B4-BE49-F238E27FC236}">
              <a16:creationId xmlns:a16="http://schemas.microsoft.com/office/drawing/2014/main" id="{D3A47208-779F-B3BB-5A52-ECD91F57B7A6}"/>
            </a:ext>
          </a:extLst>
        </xdr:cNvPr>
        <xdr:cNvCxnSpPr/>
      </xdr:nvCxnSpPr>
      <xdr:spPr>
        <a:xfrm>
          <a:off x="4260850" y="4492529"/>
          <a:ext cx="254000" cy="11812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171450</xdr:colOff>
      <xdr:row>15</xdr:row>
      <xdr:rowOff>44999</xdr:rowOff>
    </xdr:from>
    <xdr:to>
      <xdr:col>9</xdr:col>
      <xdr:colOff>44450</xdr:colOff>
      <xdr:row>15</xdr:row>
      <xdr:rowOff>78453</xdr:rowOff>
    </xdr:to>
    <xdr:cxnSp macro="">
      <xdr:nvCxnSpPr>
        <xdr:cNvPr id="358" name="SCHEMA_T01_COND_0054">
          <a:extLst>
            <a:ext uri="{FF2B5EF4-FFF2-40B4-BE49-F238E27FC236}">
              <a16:creationId xmlns:a16="http://schemas.microsoft.com/office/drawing/2014/main" id="{EFCAE1CC-33E5-C7A4-8D35-C5B4123AC891}"/>
            </a:ext>
          </a:extLst>
        </xdr:cNvPr>
        <xdr:cNvCxnSpPr/>
      </xdr:nvCxnSpPr>
      <xdr:spPr>
        <a:xfrm>
          <a:off x="4514850" y="4610649"/>
          <a:ext cx="254000" cy="33454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44450</xdr:colOff>
      <xdr:row>14</xdr:row>
      <xdr:rowOff>124142</xdr:rowOff>
    </xdr:from>
    <xdr:to>
      <xdr:col>7</xdr:col>
      <xdr:colOff>298450</xdr:colOff>
      <xdr:row>15</xdr:row>
      <xdr:rowOff>79279</xdr:rowOff>
    </xdr:to>
    <xdr:cxnSp macro="">
      <xdr:nvCxnSpPr>
        <xdr:cNvPr id="359" name="SCHEMA_T01_COND_0055">
          <a:extLst>
            <a:ext uri="{FF2B5EF4-FFF2-40B4-BE49-F238E27FC236}">
              <a16:creationId xmlns:a16="http://schemas.microsoft.com/office/drawing/2014/main" id="{770B7CAE-015E-170D-61D4-84D7A3660318}"/>
            </a:ext>
          </a:extLst>
        </xdr:cNvPr>
        <xdr:cNvCxnSpPr/>
      </xdr:nvCxnSpPr>
      <xdr:spPr>
        <a:xfrm>
          <a:off x="4006850" y="4442142"/>
          <a:ext cx="254000" cy="20278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298450</xdr:colOff>
      <xdr:row>15</xdr:row>
      <xdr:rowOff>79279</xdr:rowOff>
    </xdr:from>
    <xdr:to>
      <xdr:col>8</xdr:col>
      <xdr:colOff>171450</xdr:colOff>
      <xdr:row>15</xdr:row>
      <xdr:rowOff>197399</xdr:rowOff>
    </xdr:to>
    <xdr:cxnSp macro="">
      <xdr:nvCxnSpPr>
        <xdr:cNvPr id="360" name="SCHEMA_T01_COND_0056">
          <a:extLst>
            <a:ext uri="{FF2B5EF4-FFF2-40B4-BE49-F238E27FC236}">
              <a16:creationId xmlns:a16="http://schemas.microsoft.com/office/drawing/2014/main" id="{6CBC7420-6D22-61FD-554A-0D4401331066}"/>
            </a:ext>
          </a:extLst>
        </xdr:cNvPr>
        <xdr:cNvCxnSpPr/>
      </xdr:nvCxnSpPr>
      <xdr:spPr>
        <a:xfrm>
          <a:off x="4260850" y="4644929"/>
          <a:ext cx="254000" cy="11812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171450</xdr:colOff>
      <xdr:row>15</xdr:row>
      <xdr:rowOff>197399</xdr:rowOff>
    </xdr:from>
    <xdr:to>
      <xdr:col>9</xdr:col>
      <xdr:colOff>44450</xdr:colOff>
      <xdr:row>15</xdr:row>
      <xdr:rowOff>230853</xdr:rowOff>
    </xdr:to>
    <xdr:cxnSp macro="">
      <xdr:nvCxnSpPr>
        <xdr:cNvPr id="361" name="SCHEMA_T01_COND_0057">
          <a:extLst>
            <a:ext uri="{FF2B5EF4-FFF2-40B4-BE49-F238E27FC236}">
              <a16:creationId xmlns:a16="http://schemas.microsoft.com/office/drawing/2014/main" id="{C5C0873D-85C2-873C-2EA5-9A1561C8A03F}"/>
            </a:ext>
          </a:extLst>
        </xdr:cNvPr>
        <xdr:cNvCxnSpPr/>
      </xdr:nvCxnSpPr>
      <xdr:spPr>
        <a:xfrm>
          <a:off x="4514850" y="4763049"/>
          <a:ext cx="254000" cy="33454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44450</xdr:colOff>
      <xdr:row>14</xdr:row>
      <xdr:rowOff>225742</xdr:rowOff>
    </xdr:from>
    <xdr:to>
      <xdr:col>7</xdr:col>
      <xdr:colOff>298450</xdr:colOff>
      <xdr:row>15</xdr:row>
      <xdr:rowOff>180879</xdr:rowOff>
    </xdr:to>
    <xdr:cxnSp macro="">
      <xdr:nvCxnSpPr>
        <xdr:cNvPr id="368" name="SCHEMA_T01_COND_0058">
          <a:extLst>
            <a:ext uri="{FF2B5EF4-FFF2-40B4-BE49-F238E27FC236}">
              <a16:creationId xmlns:a16="http://schemas.microsoft.com/office/drawing/2014/main" id="{057FF74E-56DA-2D2A-B6DA-9CE1F5B79060}"/>
            </a:ext>
          </a:extLst>
        </xdr:cNvPr>
        <xdr:cNvCxnSpPr/>
      </xdr:nvCxnSpPr>
      <xdr:spPr>
        <a:xfrm>
          <a:off x="4006850" y="4543742"/>
          <a:ext cx="254000" cy="20278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298450</xdr:colOff>
      <xdr:row>15</xdr:row>
      <xdr:rowOff>180879</xdr:rowOff>
    </xdr:from>
    <xdr:to>
      <xdr:col>8</xdr:col>
      <xdr:colOff>171450</xdr:colOff>
      <xdr:row>16</xdr:row>
      <xdr:rowOff>51349</xdr:rowOff>
    </xdr:to>
    <xdr:cxnSp macro="">
      <xdr:nvCxnSpPr>
        <xdr:cNvPr id="369" name="SCHEMA_T01_COND_0059">
          <a:extLst>
            <a:ext uri="{FF2B5EF4-FFF2-40B4-BE49-F238E27FC236}">
              <a16:creationId xmlns:a16="http://schemas.microsoft.com/office/drawing/2014/main" id="{BC636893-BF65-4C3B-56D8-D26ED187261A}"/>
            </a:ext>
          </a:extLst>
        </xdr:cNvPr>
        <xdr:cNvCxnSpPr/>
      </xdr:nvCxnSpPr>
      <xdr:spPr>
        <a:xfrm>
          <a:off x="4260850" y="4746529"/>
          <a:ext cx="254000" cy="11812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171450</xdr:colOff>
      <xdr:row>16</xdr:row>
      <xdr:rowOff>51349</xdr:rowOff>
    </xdr:from>
    <xdr:to>
      <xdr:col>9</xdr:col>
      <xdr:colOff>44450</xdr:colOff>
      <xdr:row>16</xdr:row>
      <xdr:rowOff>84803</xdr:rowOff>
    </xdr:to>
    <xdr:cxnSp macro="">
      <xdr:nvCxnSpPr>
        <xdr:cNvPr id="370" name="SCHEMA_T01_COND_0060">
          <a:extLst>
            <a:ext uri="{FF2B5EF4-FFF2-40B4-BE49-F238E27FC236}">
              <a16:creationId xmlns:a16="http://schemas.microsoft.com/office/drawing/2014/main" id="{B07775C2-546E-164C-122E-B383D867064D}"/>
            </a:ext>
          </a:extLst>
        </xdr:cNvPr>
        <xdr:cNvCxnSpPr/>
      </xdr:nvCxnSpPr>
      <xdr:spPr>
        <a:xfrm>
          <a:off x="4514850" y="4864649"/>
          <a:ext cx="254000" cy="33454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6350</xdr:colOff>
      <xdr:row>25</xdr:row>
      <xdr:rowOff>3175</xdr:rowOff>
    </xdr:from>
    <xdr:to>
      <xdr:col>8</xdr:col>
      <xdr:colOff>82550</xdr:colOff>
      <xdr:row>25</xdr:row>
      <xdr:rowOff>79375</xdr:rowOff>
    </xdr:to>
    <xdr:sp macro="" textlink="">
      <xdr:nvSpPr>
        <xdr:cNvPr id="371" name="SCHEMA_T01_ATTRAV_04">
          <a:extLst>
            <a:ext uri="{FF2B5EF4-FFF2-40B4-BE49-F238E27FC236}">
              <a16:creationId xmlns:a16="http://schemas.microsoft.com/office/drawing/2014/main" id="{746C932C-D8EA-DB8C-8604-57F0AF8DDD34}"/>
            </a:ext>
          </a:extLst>
        </xdr:cNvPr>
        <xdr:cNvSpPr/>
      </xdr:nvSpPr>
      <xdr:spPr>
        <a:xfrm>
          <a:off x="4349750" y="7045325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44450</xdr:colOff>
      <xdr:row>14</xdr:row>
      <xdr:rowOff>59403</xdr:rowOff>
    </xdr:from>
    <xdr:to>
      <xdr:col>9</xdr:col>
      <xdr:colOff>298450</xdr:colOff>
      <xdr:row>14</xdr:row>
      <xdr:rowOff>130945</xdr:rowOff>
    </xdr:to>
    <xdr:cxnSp macro="">
      <xdr:nvCxnSpPr>
        <xdr:cNvPr id="374" name="SCHEMA_T01_COND_0061">
          <a:extLst>
            <a:ext uri="{FF2B5EF4-FFF2-40B4-BE49-F238E27FC236}">
              <a16:creationId xmlns:a16="http://schemas.microsoft.com/office/drawing/2014/main" id="{B1B21573-0EC6-2A4A-0ED3-27A087D92FCB}"/>
            </a:ext>
          </a:extLst>
        </xdr:cNvPr>
        <xdr:cNvCxnSpPr/>
      </xdr:nvCxnSpPr>
      <xdr:spPr>
        <a:xfrm>
          <a:off x="4768850" y="4377403"/>
          <a:ext cx="254000" cy="71542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298450</xdr:colOff>
      <xdr:row>14</xdr:row>
      <xdr:rowOff>117820</xdr:rowOff>
    </xdr:from>
    <xdr:to>
      <xdr:col>10</xdr:col>
      <xdr:colOff>171450</xdr:colOff>
      <xdr:row>14</xdr:row>
      <xdr:rowOff>130945</xdr:rowOff>
    </xdr:to>
    <xdr:cxnSp macro="">
      <xdr:nvCxnSpPr>
        <xdr:cNvPr id="375" name="SCHEMA_T01_COND_0062">
          <a:extLst>
            <a:ext uri="{FF2B5EF4-FFF2-40B4-BE49-F238E27FC236}">
              <a16:creationId xmlns:a16="http://schemas.microsoft.com/office/drawing/2014/main" id="{C29FC61D-0CEE-678E-84E2-6A3B8337AECA}"/>
            </a:ext>
          </a:extLst>
        </xdr:cNvPr>
        <xdr:cNvCxnSpPr/>
      </xdr:nvCxnSpPr>
      <xdr:spPr>
        <a:xfrm flipV="1">
          <a:off x="5022850" y="4435820"/>
          <a:ext cx="254000" cy="13125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171450</xdr:colOff>
      <xdr:row>14</xdr:row>
      <xdr:rowOff>20029</xdr:rowOff>
    </xdr:from>
    <xdr:to>
      <xdr:col>11</xdr:col>
      <xdr:colOff>44450</xdr:colOff>
      <xdr:row>14</xdr:row>
      <xdr:rowOff>117820</xdr:rowOff>
    </xdr:to>
    <xdr:cxnSp macro="">
      <xdr:nvCxnSpPr>
        <xdr:cNvPr id="376" name="SCHEMA_T01_COND_0063">
          <a:extLst>
            <a:ext uri="{FF2B5EF4-FFF2-40B4-BE49-F238E27FC236}">
              <a16:creationId xmlns:a16="http://schemas.microsoft.com/office/drawing/2014/main" id="{A217103E-88CC-0710-718F-802228C5D3D0}"/>
            </a:ext>
          </a:extLst>
        </xdr:cNvPr>
        <xdr:cNvCxnSpPr/>
      </xdr:nvCxnSpPr>
      <xdr:spPr>
        <a:xfrm flipV="1">
          <a:off x="5276850" y="4338029"/>
          <a:ext cx="254000" cy="97791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44450</xdr:colOff>
      <xdr:row>14</xdr:row>
      <xdr:rowOff>224503</xdr:rowOff>
    </xdr:from>
    <xdr:to>
      <xdr:col>9</xdr:col>
      <xdr:colOff>298450</xdr:colOff>
      <xdr:row>15</xdr:row>
      <xdr:rowOff>48395</xdr:rowOff>
    </xdr:to>
    <xdr:cxnSp macro="">
      <xdr:nvCxnSpPr>
        <xdr:cNvPr id="377" name="SCHEMA_T01_COND_0064">
          <a:extLst>
            <a:ext uri="{FF2B5EF4-FFF2-40B4-BE49-F238E27FC236}">
              <a16:creationId xmlns:a16="http://schemas.microsoft.com/office/drawing/2014/main" id="{F7A0575E-7511-DF73-5284-4E5FFF21DFFE}"/>
            </a:ext>
          </a:extLst>
        </xdr:cNvPr>
        <xdr:cNvCxnSpPr/>
      </xdr:nvCxnSpPr>
      <xdr:spPr>
        <a:xfrm>
          <a:off x="4768850" y="4542503"/>
          <a:ext cx="254000" cy="7154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298450</xdr:colOff>
      <xdr:row>15</xdr:row>
      <xdr:rowOff>35270</xdr:rowOff>
    </xdr:from>
    <xdr:to>
      <xdr:col>10</xdr:col>
      <xdr:colOff>171450</xdr:colOff>
      <xdr:row>15</xdr:row>
      <xdr:rowOff>48395</xdr:rowOff>
    </xdr:to>
    <xdr:cxnSp macro="">
      <xdr:nvCxnSpPr>
        <xdr:cNvPr id="380" name="SCHEMA_T01_COND_0065">
          <a:extLst>
            <a:ext uri="{FF2B5EF4-FFF2-40B4-BE49-F238E27FC236}">
              <a16:creationId xmlns:a16="http://schemas.microsoft.com/office/drawing/2014/main" id="{4CCC66BA-B759-2DEC-823E-659A11B9AEA2}"/>
            </a:ext>
          </a:extLst>
        </xdr:cNvPr>
        <xdr:cNvCxnSpPr/>
      </xdr:nvCxnSpPr>
      <xdr:spPr>
        <a:xfrm flipV="1">
          <a:off x="5022850" y="4600920"/>
          <a:ext cx="254000" cy="1312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171450</xdr:colOff>
      <xdr:row>14</xdr:row>
      <xdr:rowOff>185129</xdr:rowOff>
    </xdr:from>
    <xdr:to>
      <xdr:col>11</xdr:col>
      <xdr:colOff>44450</xdr:colOff>
      <xdr:row>15</xdr:row>
      <xdr:rowOff>35270</xdr:rowOff>
    </xdr:to>
    <xdr:cxnSp macro="">
      <xdr:nvCxnSpPr>
        <xdr:cNvPr id="381" name="SCHEMA_T01_COND_0066">
          <a:extLst>
            <a:ext uri="{FF2B5EF4-FFF2-40B4-BE49-F238E27FC236}">
              <a16:creationId xmlns:a16="http://schemas.microsoft.com/office/drawing/2014/main" id="{CBC55548-BA2E-D290-42AE-2C67CCE4DC78}"/>
            </a:ext>
          </a:extLst>
        </xdr:cNvPr>
        <xdr:cNvCxnSpPr/>
      </xdr:nvCxnSpPr>
      <xdr:spPr>
        <a:xfrm flipV="1">
          <a:off x="5276850" y="4503129"/>
          <a:ext cx="254000" cy="9779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44450</xdr:colOff>
      <xdr:row>15</xdr:row>
      <xdr:rowOff>78453</xdr:rowOff>
    </xdr:from>
    <xdr:to>
      <xdr:col>9</xdr:col>
      <xdr:colOff>298450</xdr:colOff>
      <xdr:row>15</xdr:row>
      <xdr:rowOff>149995</xdr:rowOff>
    </xdr:to>
    <xdr:cxnSp macro="">
      <xdr:nvCxnSpPr>
        <xdr:cNvPr id="382" name="SCHEMA_T01_COND_0067">
          <a:extLst>
            <a:ext uri="{FF2B5EF4-FFF2-40B4-BE49-F238E27FC236}">
              <a16:creationId xmlns:a16="http://schemas.microsoft.com/office/drawing/2014/main" id="{B2F91D09-9EA7-0169-D3A1-93E1666B49CF}"/>
            </a:ext>
          </a:extLst>
        </xdr:cNvPr>
        <xdr:cNvCxnSpPr/>
      </xdr:nvCxnSpPr>
      <xdr:spPr>
        <a:xfrm>
          <a:off x="4768850" y="4644103"/>
          <a:ext cx="254000" cy="7154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298450</xdr:colOff>
      <xdr:row>15</xdr:row>
      <xdr:rowOff>136870</xdr:rowOff>
    </xdr:from>
    <xdr:to>
      <xdr:col>10</xdr:col>
      <xdr:colOff>171450</xdr:colOff>
      <xdr:row>15</xdr:row>
      <xdr:rowOff>149995</xdr:rowOff>
    </xdr:to>
    <xdr:cxnSp macro="">
      <xdr:nvCxnSpPr>
        <xdr:cNvPr id="383" name="SCHEMA_T01_COND_0068">
          <a:extLst>
            <a:ext uri="{FF2B5EF4-FFF2-40B4-BE49-F238E27FC236}">
              <a16:creationId xmlns:a16="http://schemas.microsoft.com/office/drawing/2014/main" id="{011A5153-9D9B-D10F-DF13-D6CC51DDC055}"/>
            </a:ext>
          </a:extLst>
        </xdr:cNvPr>
        <xdr:cNvCxnSpPr/>
      </xdr:nvCxnSpPr>
      <xdr:spPr>
        <a:xfrm flipV="1">
          <a:off x="5022850" y="4702520"/>
          <a:ext cx="254000" cy="1312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171450</xdr:colOff>
      <xdr:row>15</xdr:row>
      <xdr:rowOff>39079</xdr:rowOff>
    </xdr:from>
    <xdr:to>
      <xdr:col>11</xdr:col>
      <xdr:colOff>44450</xdr:colOff>
      <xdr:row>15</xdr:row>
      <xdr:rowOff>136870</xdr:rowOff>
    </xdr:to>
    <xdr:cxnSp macro="">
      <xdr:nvCxnSpPr>
        <xdr:cNvPr id="384" name="SCHEMA_T01_COND_0069">
          <a:extLst>
            <a:ext uri="{FF2B5EF4-FFF2-40B4-BE49-F238E27FC236}">
              <a16:creationId xmlns:a16="http://schemas.microsoft.com/office/drawing/2014/main" id="{95FF4501-66FB-7936-877D-FA0ED29A387E}"/>
            </a:ext>
          </a:extLst>
        </xdr:cNvPr>
        <xdr:cNvCxnSpPr/>
      </xdr:nvCxnSpPr>
      <xdr:spPr>
        <a:xfrm flipV="1">
          <a:off x="5276850" y="4604729"/>
          <a:ext cx="254000" cy="9779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44450</xdr:colOff>
      <xdr:row>15</xdr:row>
      <xdr:rowOff>230853</xdr:rowOff>
    </xdr:from>
    <xdr:to>
      <xdr:col>9</xdr:col>
      <xdr:colOff>298450</xdr:colOff>
      <xdr:row>16</xdr:row>
      <xdr:rowOff>54745</xdr:rowOff>
    </xdr:to>
    <xdr:cxnSp macro="">
      <xdr:nvCxnSpPr>
        <xdr:cNvPr id="385" name="SCHEMA_T01_COND_0070">
          <a:extLst>
            <a:ext uri="{FF2B5EF4-FFF2-40B4-BE49-F238E27FC236}">
              <a16:creationId xmlns:a16="http://schemas.microsoft.com/office/drawing/2014/main" id="{3FBFDF08-78BB-7762-C96D-866887B2934B}"/>
            </a:ext>
          </a:extLst>
        </xdr:cNvPr>
        <xdr:cNvCxnSpPr/>
      </xdr:nvCxnSpPr>
      <xdr:spPr>
        <a:xfrm>
          <a:off x="4768850" y="4796503"/>
          <a:ext cx="254000" cy="7154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298450</xdr:colOff>
      <xdr:row>16</xdr:row>
      <xdr:rowOff>41620</xdr:rowOff>
    </xdr:from>
    <xdr:to>
      <xdr:col>10</xdr:col>
      <xdr:colOff>171450</xdr:colOff>
      <xdr:row>16</xdr:row>
      <xdr:rowOff>54745</xdr:rowOff>
    </xdr:to>
    <xdr:cxnSp macro="">
      <xdr:nvCxnSpPr>
        <xdr:cNvPr id="392" name="SCHEMA_T01_COND_0071">
          <a:extLst>
            <a:ext uri="{FF2B5EF4-FFF2-40B4-BE49-F238E27FC236}">
              <a16:creationId xmlns:a16="http://schemas.microsoft.com/office/drawing/2014/main" id="{EECE955C-A8FD-AE03-29FE-32C69EDAB6E4}"/>
            </a:ext>
          </a:extLst>
        </xdr:cNvPr>
        <xdr:cNvCxnSpPr/>
      </xdr:nvCxnSpPr>
      <xdr:spPr>
        <a:xfrm flipV="1">
          <a:off x="5022850" y="4854920"/>
          <a:ext cx="254000" cy="1312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171450</xdr:colOff>
      <xdr:row>15</xdr:row>
      <xdr:rowOff>191479</xdr:rowOff>
    </xdr:from>
    <xdr:to>
      <xdr:col>11</xdr:col>
      <xdr:colOff>44450</xdr:colOff>
      <xdr:row>16</xdr:row>
      <xdr:rowOff>41620</xdr:rowOff>
    </xdr:to>
    <xdr:cxnSp macro="">
      <xdr:nvCxnSpPr>
        <xdr:cNvPr id="393" name="SCHEMA_T01_COND_0072">
          <a:extLst>
            <a:ext uri="{FF2B5EF4-FFF2-40B4-BE49-F238E27FC236}">
              <a16:creationId xmlns:a16="http://schemas.microsoft.com/office/drawing/2014/main" id="{8583508A-695F-DBD2-14AA-8AF681C6CEC2}"/>
            </a:ext>
          </a:extLst>
        </xdr:cNvPr>
        <xdr:cNvCxnSpPr/>
      </xdr:nvCxnSpPr>
      <xdr:spPr>
        <a:xfrm flipV="1">
          <a:off x="5276850" y="4757129"/>
          <a:ext cx="254000" cy="9779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44450</xdr:colOff>
      <xdr:row>16</xdr:row>
      <xdr:rowOff>84803</xdr:rowOff>
    </xdr:from>
    <xdr:to>
      <xdr:col>9</xdr:col>
      <xdr:colOff>298450</xdr:colOff>
      <xdr:row>16</xdr:row>
      <xdr:rowOff>156345</xdr:rowOff>
    </xdr:to>
    <xdr:cxnSp macro="">
      <xdr:nvCxnSpPr>
        <xdr:cNvPr id="394" name="SCHEMA_T01_COND_0073">
          <a:extLst>
            <a:ext uri="{FF2B5EF4-FFF2-40B4-BE49-F238E27FC236}">
              <a16:creationId xmlns:a16="http://schemas.microsoft.com/office/drawing/2014/main" id="{1C51D5DB-E86E-E996-BEAF-145C6941C147}"/>
            </a:ext>
          </a:extLst>
        </xdr:cNvPr>
        <xdr:cNvCxnSpPr/>
      </xdr:nvCxnSpPr>
      <xdr:spPr>
        <a:xfrm>
          <a:off x="4768850" y="4898103"/>
          <a:ext cx="254000" cy="7154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298450</xdr:colOff>
      <xdr:row>16</xdr:row>
      <xdr:rowOff>143220</xdr:rowOff>
    </xdr:from>
    <xdr:to>
      <xdr:col>10</xdr:col>
      <xdr:colOff>171450</xdr:colOff>
      <xdr:row>16</xdr:row>
      <xdr:rowOff>156345</xdr:rowOff>
    </xdr:to>
    <xdr:cxnSp macro="">
      <xdr:nvCxnSpPr>
        <xdr:cNvPr id="395" name="SCHEMA_T01_COND_0074">
          <a:extLst>
            <a:ext uri="{FF2B5EF4-FFF2-40B4-BE49-F238E27FC236}">
              <a16:creationId xmlns:a16="http://schemas.microsoft.com/office/drawing/2014/main" id="{3F115EC6-59FE-FC2F-3A04-0CDF9F70BCE1}"/>
            </a:ext>
          </a:extLst>
        </xdr:cNvPr>
        <xdr:cNvCxnSpPr/>
      </xdr:nvCxnSpPr>
      <xdr:spPr>
        <a:xfrm flipV="1">
          <a:off x="5022850" y="4956520"/>
          <a:ext cx="254000" cy="1312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171450</xdr:colOff>
      <xdr:row>16</xdr:row>
      <xdr:rowOff>45429</xdr:rowOff>
    </xdr:from>
    <xdr:to>
      <xdr:col>11</xdr:col>
      <xdr:colOff>44450</xdr:colOff>
      <xdr:row>16</xdr:row>
      <xdr:rowOff>143220</xdr:rowOff>
    </xdr:to>
    <xdr:cxnSp macro="">
      <xdr:nvCxnSpPr>
        <xdr:cNvPr id="396" name="SCHEMA_T01_COND_0075">
          <a:extLst>
            <a:ext uri="{FF2B5EF4-FFF2-40B4-BE49-F238E27FC236}">
              <a16:creationId xmlns:a16="http://schemas.microsoft.com/office/drawing/2014/main" id="{C7973DEB-DB35-AD77-CBF4-84237D669B42}"/>
            </a:ext>
          </a:extLst>
        </xdr:cNvPr>
        <xdr:cNvCxnSpPr/>
      </xdr:nvCxnSpPr>
      <xdr:spPr>
        <a:xfrm flipV="1">
          <a:off x="5276850" y="4858729"/>
          <a:ext cx="254000" cy="9779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44450</xdr:colOff>
      <xdr:row>14</xdr:row>
      <xdr:rowOff>20029</xdr:rowOff>
    </xdr:from>
    <xdr:to>
      <xdr:col>11</xdr:col>
      <xdr:colOff>298450</xdr:colOff>
      <xdr:row>14</xdr:row>
      <xdr:rowOff>109946</xdr:rowOff>
    </xdr:to>
    <xdr:cxnSp macro="">
      <xdr:nvCxnSpPr>
        <xdr:cNvPr id="397" name="SCHEMA_T01_COND_0076">
          <a:extLst>
            <a:ext uri="{FF2B5EF4-FFF2-40B4-BE49-F238E27FC236}">
              <a16:creationId xmlns:a16="http://schemas.microsoft.com/office/drawing/2014/main" id="{35436A0E-46EF-229A-941A-213CF7C399B2}"/>
            </a:ext>
          </a:extLst>
        </xdr:cNvPr>
        <xdr:cNvCxnSpPr/>
      </xdr:nvCxnSpPr>
      <xdr:spPr>
        <a:xfrm>
          <a:off x="5530850" y="4338029"/>
          <a:ext cx="254000" cy="89917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298450</xdr:colOff>
      <xdr:row>14</xdr:row>
      <xdr:rowOff>109946</xdr:rowOff>
    </xdr:from>
    <xdr:to>
      <xdr:col>12</xdr:col>
      <xdr:colOff>171450</xdr:colOff>
      <xdr:row>14</xdr:row>
      <xdr:rowOff>115195</xdr:rowOff>
    </xdr:to>
    <xdr:cxnSp macro="">
      <xdr:nvCxnSpPr>
        <xdr:cNvPr id="398" name="SCHEMA_T01_COND_0077">
          <a:extLst>
            <a:ext uri="{FF2B5EF4-FFF2-40B4-BE49-F238E27FC236}">
              <a16:creationId xmlns:a16="http://schemas.microsoft.com/office/drawing/2014/main" id="{745FADB6-8F20-E18F-FAC9-916F1AC09EA0}"/>
            </a:ext>
          </a:extLst>
        </xdr:cNvPr>
        <xdr:cNvCxnSpPr/>
      </xdr:nvCxnSpPr>
      <xdr:spPr>
        <a:xfrm>
          <a:off x="5784850" y="4427946"/>
          <a:ext cx="254000" cy="5249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171450</xdr:colOff>
      <xdr:row>14</xdr:row>
      <xdr:rowOff>35778</xdr:rowOff>
    </xdr:from>
    <xdr:to>
      <xdr:col>13</xdr:col>
      <xdr:colOff>44450</xdr:colOff>
      <xdr:row>14</xdr:row>
      <xdr:rowOff>115195</xdr:rowOff>
    </xdr:to>
    <xdr:cxnSp macro="">
      <xdr:nvCxnSpPr>
        <xdr:cNvPr id="399" name="SCHEMA_T01_COND_0078">
          <a:extLst>
            <a:ext uri="{FF2B5EF4-FFF2-40B4-BE49-F238E27FC236}">
              <a16:creationId xmlns:a16="http://schemas.microsoft.com/office/drawing/2014/main" id="{2E7CB9E1-CD98-E729-33BB-4129ECD40A54}"/>
            </a:ext>
          </a:extLst>
        </xdr:cNvPr>
        <xdr:cNvCxnSpPr/>
      </xdr:nvCxnSpPr>
      <xdr:spPr>
        <a:xfrm flipV="1">
          <a:off x="6038850" y="4353778"/>
          <a:ext cx="254000" cy="79417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44450</xdr:colOff>
      <xdr:row>14</xdr:row>
      <xdr:rowOff>185129</xdr:rowOff>
    </xdr:from>
    <xdr:to>
      <xdr:col>11</xdr:col>
      <xdr:colOff>298450</xdr:colOff>
      <xdr:row>15</xdr:row>
      <xdr:rowOff>27396</xdr:rowOff>
    </xdr:to>
    <xdr:cxnSp macro="">
      <xdr:nvCxnSpPr>
        <xdr:cNvPr id="400" name="SCHEMA_T01_COND_0079">
          <a:extLst>
            <a:ext uri="{FF2B5EF4-FFF2-40B4-BE49-F238E27FC236}">
              <a16:creationId xmlns:a16="http://schemas.microsoft.com/office/drawing/2014/main" id="{3D9EE45C-0FF1-C346-B12C-30A894A18C74}"/>
            </a:ext>
          </a:extLst>
        </xdr:cNvPr>
        <xdr:cNvCxnSpPr/>
      </xdr:nvCxnSpPr>
      <xdr:spPr>
        <a:xfrm>
          <a:off x="5530850" y="4503129"/>
          <a:ext cx="254000" cy="8991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298450</xdr:colOff>
      <xdr:row>15</xdr:row>
      <xdr:rowOff>27396</xdr:rowOff>
    </xdr:from>
    <xdr:to>
      <xdr:col>12</xdr:col>
      <xdr:colOff>171450</xdr:colOff>
      <xdr:row>15</xdr:row>
      <xdr:rowOff>32645</xdr:rowOff>
    </xdr:to>
    <xdr:cxnSp macro="">
      <xdr:nvCxnSpPr>
        <xdr:cNvPr id="401" name="SCHEMA_T01_COND_0080">
          <a:extLst>
            <a:ext uri="{FF2B5EF4-FFF2-40B4-BE49-F238E27FC236}">
              <a16:creationId xmlns:a16="http://schemas.microsoft.com/office/drawing/2014/main" id="{6C7C7544-75DC-97FE-1845-6274F0C9726B}"/>
            </a:ext>
          </a:extLst>
        </xdr:cNvPr>
        <xdr:cNvCxnSpPr/>
      </xdr:nvCxnSpPr>
      <xdr:spPr>
        <a:xfrm>
          <a:off x="5784850" y="4593046"/>
          <a:ext cx="254000" cy="524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171450</xdr:colOff>
      <xdr:row>14</xdr:row>
      <xdr:rowOff>200878</xdr:rowOff>
    </xdr:from>
    <xdr:to>
      <xdr:col>13</xdr:col>
      <xdr:colOff>44450</xdr:colOff>
      <xdr:row>15</xdr:row>
      <xdr:rowOff>32645</xdr:rowOff>
    </xdr:to>
    <xdr:cxnSp macro="">
      <xdr:nvCxnSpPr>
        <xdr:cNvPr id="402" name="SCHEMA_T01_COND_0081">
          <a:extLst>
            <a:ext uri="{FF2B5EF4-FFF2-40B4-BE49-F238E27FC236}">
              <a16:creationId xmlns:a16="http://schemas.microsoft.com/office/drawing/2014/main" id="{66B46A2E-4A85-D086-1B51-2BBBDCB5CEEA}"/>
            </a:ext>
          </a:extLst>
        </xdr:cNvPr>
        <xdr:cNvCxnSpPr/>
      </xdr:nvCxnSpPr>
      <xdr:spPr>
        <a:xfrm flipV="1">
          <a:off x="6038850" y="4518878"/>
          <a:ext cx="254000" cy="7941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44450</xdr:colOff>
      <xdr:row>15</xdr:row>
      <xdr:rowOff>39079</xdr:rowOff>
    </xdr:from>
    <xdr:to>
      <xdr:col>11</xdr:col>
      <xdr:colOff>298450</xdr:colOff>
      <xdr:row>15</xdr:row>
      <xdr:rowOff>128996</xdr:rowOff>
    </xdr:to>
    <xdr:cxnSp macro="">
      <xdr:nvCxnSpPr>
        <xdr:cNvPr id="403" name="SCHEMA_T01_COND_0082">
          <a:extLst>
            <a:ext uri="{FF2B5EF4-FFF2-40B4-BE49-F238E27FC236}">
              <a16:creationId xmlns:a16="http://schemas.microsoft.com/office/drawing/2014/main" id="{137D9E04-9D66-D8DF-948D-8AFE94E0247F}"/>
            </a:ext>
          </a:extLst>
        </xdr:cNvPr>
        <xdr:cNvCxnSpPr/>
      </xdr:nvCxnSpPr>
      <xdr:spPr>
        <a:xfrm>
          <a:off x="5530850" y="4604729"/>
          <a:ext cx="254000" cy="8991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298450</xdr:colOff>
      <xdr:row>15</xdr:row>
      <xdr:rowOff>128996</xdr:rowOff>
    </xdr:from>
    <xdr:to>
      <xdr:col>12</xdr:col>
      <xdr:colOff>171450</xdr:colOff>
      <xdr:row>15</xdr:row>
      <xdr:rowOff>134245</xdr:rowOff>
    </xdr:to>
    <xdr:cxnSp macro="">
      <xdr:nvCxnSpPr>
        <xdr:cNvPr id="404" name="SCHEMA_T01_COND_0083">
          <a:extLst>
            <a:ext uri="{FF2B5EF4-FFF2-40B4-BE49-F238E27FC236}">
              <a16:creationId xmlns:a16="http://schemas.microsoft.com/office/drawing/2014/main" id="{5DF5BA49-16C2-979A-8CEC-CC322A2A9196}"/>
            </a:ext>
          </a:extLst>
        </xdr:cNvPr>
        <xdr:cNvCxnSpPr/>
      </xdr:nvCxnSpPr>
      <xdr:spPr>
        <a:xfrm>
          <a:off x="5784850" y="4694646"/>
          <a:ext cx="254000" cy="524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171450</xdr:colOff>
      <xdr:row>15</xdr:row>
      <xdr:rowOff>54828</xdr:rowOff>
    </xdr:from>
    <xdr:to>
      <xdr:col>13</xdr:col>
      <xdr:colOff>44450</xdr:colOff>
      <xdr:row>15</xdr:row>
      <xdr:rowOff>134245</xdr:rowOff>
    </xdr:to>
    <xdr:cxnSp macro="">
      <xdr:nvCxnSpPr>
        <xdr:cNvPr id="411" name="SCHEMA_T01_COND_0084">
          <a:extLst>
            <a:ext uri="{FF2B5EF4-FFF2-40B4-BE49-F238E27FC236}">
              <a16:creationId xmlns:a16="http://schemas.microsoft.com/office/drawing/2014/main" id="{2DBC88BC-808C-3296-3E48-40555B6C5D15}"/>
            </a:ext>
          </a:extLst>
        </xdr:cNvPr>
        <xdr:cNvCxnSpPr/>
      </xdr:nvCxnSpPr>
      <xdr:spPr>
        <a:xfrm flipV="1">
          <a:off x="6038850" y="4620478"/>
          <a:ext cx="254000" cy="7941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44450</xdr:colOff>
      <xdr:row>15</xdr:row>
      <xdr:rowOff>191479</xdr:rowOff>
    </xdr:from>
    <xdr:to>
      <xdr:col>11</xdr:col>
      <xdr:colOff>298450</xdr:colOff>
      <xdr:row>16</xdr:row>
      <xdr:rowOff>33746</xdr:rowOff>
    </xdr:to>
    <xdr:cxnSp macro="">
      <xdr:nvCxnSpPr>
        <xdr:cNvPr id="849" name="SCHEMA_T01_COND_0085">
          <a:extLst>
            <a:ext uri="{FF2B5EF4-FFF2-40B4-BE49-F238E27FC236}">
              <a16:creationId xmlns:a16="http://schemas.microsoft.com/office/drawing/2014/main" id="{551A1C11-E9B0-559F-B9B7-BA34D31CF1DC}"/>
            </a:ext>
          </a:extLst>
        </xdr:cNvPr>
        <xdr:cNvCxnSpPr/>
      </xdr:nvCxnSpPr>
      <xdr:spPr>
        <a:xfrm>
          <a:off x="5530850" y="4757129"/>
          <a:ext cx="254000" cy="8991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298450</xdr:colOff>
      <xdr:row>16</xdr:row>
      <xdr:rowOff>33746</xdr:rowOff>
    </xdr:from>
    <xdr:to>
      <xdr:col>12</xdr:col>
      <xdr:colOff>171450</xdr:colOff>
      <xdr:row>16</xdr:row>
      <xdr:rowOff>38995</xdr:rowOff>
    </xdr:to>
    <xdr:cxnSp macro="">
      <xdr:nvCxnSpPr>
        <xdr:cNvPr id="850" name="SCHEMA_T01_COND_0086">
          <a:extLst>
            <a:ext uri="{FF2B5EF4-FFF2-40B4-BE49-F238E27FC236}">
              <a16:creationId xmlns:a16="http://schemas.microsoft.com/office/drawing/2014/main" id="{E9070534-92A5-B911-53D1-1D1F613BFBB8}"/>
            </a:ext>
          </a:extLst>
        </xdr:cNvPr>
        <xdr:cNvCxnSpPr/>
      </xdr:nvCxnSpPr>
      <xdr:spPr>
        <a:xfrm>
          <a:off x="5784850" y="4847046"/>
          <a:ext cx="254000" cy="524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171450</xdr:colOff>
      <xdr:row>15</xdr:row>
      <xdr:rowOff>207228</xdr:rowOff>
    </xdr:from>
    <xdr:to>
      <xdr:col>13</xdr:col>
      <xdr:colOff>44450</xdr:colOff>
      <xdr:row>16</xdr:row>
      <xdr:rowOff>38995</xdr:rowOff>
    </xdr:to>
    <xdr:cxnSp macro="">
      <xdr:nvCxnSpPr>
        <xdr:cNvPr id="851" name="SCHEMA_T01_COND_0087">
          <a:extLst>
            <a:ext uri="{FF2B5EF4-FFF2-40B4-BE49-F238E27FC236}">
              <a16:creationId xmlns:a16="http://schemas.microsoft.com/office/drawing/2014/main" id="{74DED423-A56C-0799-52A9-483FA32E5702}"/>
            </a:ext>
          </a:extLst>
        </xdr:cNvPr>
        <xdr:cNvCxnSpPr/>
      </xdr:nvCxnSpPr>
      <xdr:spPr>
        <a:xfrm flipV="1">
          <a:off x="6038850" y="4772878"/>
          <a:ext cx="254000" cy="7941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44450</xdr:colOff>
      <xdr:row>16</xdr:row>
      <xdr:rowOff>45429</xdr:rowOff>
    </xdr:from>
    <xdr:to>
      <xdr:col>11</xdr:col>
      <xdr:colOff>298450</xdr:colOff>
      <xdr:row>16</xdr:row>
      <xdr:rowOff>135346</xdr:rowOff>
    </xdr:to>
    <xdr:cxnSp macro="">
      <xdr:nvCxnSpPr>
        <xdr:cNvPr id="852" name="SCHEMA_T01_COND_0088">
          <a:extLst>
            <a:ext uri="{FF2B5EF4-FFF2-40B4-BE49-F238E27FC236}">
              <a16:creationId xmlns:a16="http://schemas.microsoft.com/office/drawing/2014/main" id="{892DD5D5-5831-AC55-1A09-7EED76C6F45D}"/>
            </a:ext>
          </a:extLst>
        </xdr:cNvPr>
        <xdr:cNvCxnSpPr/>
      </xdr:nvCxnSpPr>
      <xdr:spPr>
        <a:xfrm>
          <a:off x="5530850" y="4858729"/>
          <a:ext cx="254000" cy="8991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298450</xdr:colOff>
      <xdr:row>16</xdr:row>
      <xdr:rowOff>135346</xdr:rowOff>
    </xdr:from>
    <xdr:to>
      <xdr:col>12</xdr:col>
      <xdr:colOff>171450</xdr:colOff>
      <xdr:row>16</xdr:row>
      <xdr:rowOff>140595</xdr:rowOff>
    </xdr:to>
    <xdr:cxnSp macro="">
      <xdr:nvCxnSpPr>
        <xdr:cNvPr id="853" name="SCHEMA_T01_COND_0089">
          <a:extLst>
            <a:ext uri="{FF2B5EF4-FFF2-40B4-BE49-F238E27FC236}">
              <a16:creationId xmlns:a16="http://schemas.microsoft.com/office/drawing/2014/main" id="{7937F877-39DD-2A88-74B8-AD14BA7B3F25}"/>
            </a:ext>
          </a:extLst>
        </xdr:cNvPr>
        <xdr:cNvCxnSpPr/>
      </xdr:nvCxnSpPr>
      <xdr:spPr>
        <a:xfrm>
          <a:off x="5784850" y="4948646"/>
          <a:ext cx="254000" cy="524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171450</xdr:colOff>
      <xdr:row>16</xdr:row>
      <xdr:rowOff>61178</xdr:rowOff>
    </xdr:from>
    <xdr:to>
      <xdr:col>13</xdr:col>
      <xdr:colOff>44450</xdr:colOff>
      <xdr:row>16</xdr:row>
      <xdr:rowOff>140595</xdr:rowOff>
    </xdr:to>
    <xdr:cxnSp macro="">
      <xdr:nvCxnSpPr>
        <xdr:cNvPr id="854" name="SCHEMA_T01_COND_0090">
          <a:extLst>
            <a:ext uri="{FF2B5EF4-FFF2-40B4-BE49-F238E27FC236}">
              <a16:creationId xmlns:a16="http://schemas.microsoft.com/office/drawing/2014/main" id="{8B86AF39-BB9F-30B9-B388-6F888D5301AB}"/>
            </a:ext>
          </a:extLst>
        </xdr:cNvPr>
        <xdr:cNvCxnSpPr/>
      </xdr:nvCxnSpPr>
      <xdr:spPr>
        <a:xfrm flipV="1">
          <a:off x="6038850" y="4874478"/>
          <a:ext cx="254000" cy="7941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6350</xdr:colOff>
      <xdr:row>25</xdr:row>
      <xdr:rowOff>3175</xdr:rowOff>
    </xdr:from>
    <xdr:to>
      <xdr:col>12</xdr:col>
      <xdr:colOff>82550</xdr:colOff>
      <xdr:row>25</xdr:row>
      <xdr:rowOff>79375</xdr:rowOff>
    </xdr:to>
    <xdr:sp macro="" textlink="">
      <xdr:nvSpPr>
        <xdr:cNvPr id="855" name="SCHEMA_T01_ATTRAV_06">
          <a:extLst>
            <a:ext uri="{FF2B5EF4-FFF2-40B4-BE49-F238E27FC236}">
              <a16:creationId xmlns:a16="http://schemas.microsoft.com/office/drawing/2014/main" id="{0EEFE304-AB11-CFF7-EEE1-424347528BEA}"/>
            </a:ext>
          </a:extLst>
        </xdr:cNvPr>
        <xdr:cNvSpPr/>
      </xdr:nvSpPr>
      <xdr:spPr>
        <a:xfrm>
          <a:off x="5873750" y="7045325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13</xdr:col>
      <xdr:colOff>44450</xdr:colOff>
      <xdr:row>14</xdr:row>
      <xdr:rowOff>35778</xdr:rowOff>
    </xdr:from>
    <xdr:to>
      <xdr:col>13</xdr:col>
      <xdr:colOff>298450</xdr:colOff>
      <xdr:row>14</xdr:row>
      <xdr:rowOff>199192</xdr:rowOff>
    </xdr:to>
    <xdr:cxnSp macro="">
      <xdr:nvCxnSpPr>
        <xdr:cNvPr id="856" name="SCHEMA_T01_COND_0091">
          <a:extLst>
            <a:ext uri="{FF2B5EF4-FFF2-40B4-BE49-F238E27FC236}">
              <a16:creationId xmlns:a16="http://schemas.microsoft.com/office/drawing/2014/main" id="{7D1EF0CD-D937-BCB4-70F9-243278A058F9}"/>
            </a:ext>
          </a:extLst>
        </xdr:cNvPr>
        <xdr:cNvCxnSpPr/>
      </xdr:nvCxnSpPr>
      <xdr:spPr>
        <a:xfrm>
          <a:off x="6292850" y="4353778"/>
          <a:ext cx="254000" cy="163414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298450</xdr:colOff>
      <xdr:row>14</xdr:row>
      <xdr:rowOff>199192</xdr:rowOff>
    </xdr:from>
    <xdr:to>
      <xdr:col>14</xdr:col>
      <xdr:colOff>171450</xdr:colOff>
      <xdr:row>15</xdr:row>
      <xdr:rowOff>30288</xdr:rowOff>
    </xdr:to>
    <xdr:cxnSp macro="">
      <xdr:nvCxnSpPr>
        <xdr:cNvPr id="857" name="SCHEMA_T01_COND_0092">
          <a:extLst>
            <a:ext uri="{FF2B5EF4-FFF2-40B4-BE49-F238E27FC236}">
              <a16:creationId xmlns:a16="http://schemas.microsoft.com/office/drawing/2014/main" id="{150F9E75-F253-DF25-B07C-46B10EC7DECB}"/>
            </a:ext>
          </a:extLst>
        </xdr:cNvPr>
        <xdr:cNvCxnSpPr/>
      </xdr:nvCxnSpPr>
      <xdr:spPr>
        <a:xfrm>
          <a:off x="6546850" y="4517192"/>
          <a:ext cx="254000" cy="78746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171450</xdr:colOff>
      <xdr:row>15</xdr:row>
      <xdr:rowOff>24369</xdr:rowOff>
    </xdr:from>
    <xdr:to>
      <xdr:col>15</xdr:col>
      <xdr:colOff>44450</xdr:colOff>
      <xdr:row>15</xdr:row>
      <xdr:rowOff>30288</xdr:rowOff>
    </xdr:to>
    <xdr:cxnSp macro="">
      <xdr:nvCxnSpPr>
        <xdr:cNvPr id="858" name="SCHEMA_T01_COND_0093">
          <a:extLst>
            <a:ext uri="{FF2B5EF4-FFF2-40B4-BE49-F238E27FC236}">
              <a16:creationId xmlns:a16="http://schemas.microsoft.com/office/drawing/2014/main" id="{37871891-F0A3-21A8-0282-404531BFF96E}"/>
            </a:ext>
          </a:extLst>
        </xdr:cNvPr>
        <xdr:cNvCxnSpPr/>
      </xdr:nvCxnSpPr>
      <xdr:spPr>
        <a:xfrm flipV="1">
          <a:off x="6800850" y="4590019"/>
          <a:ext cx="254000" cy="5919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44450</xdr:colOff>
      <xdr:row>14</xdr:row>
      <xdr:rowOff>200878</xdr:rowOff>
    </xdr:from>
    <xdr:to>
      <xdr:col>13</xdr:col>
      <xdr:colOff>298450</xdr:colOff>
      <xdr:row>15</xdr:row>
      <xdr:rowOff>116642</xdr:rowOff>
    </xdr:to>
    <xdr:cxnSp macro="">
      <xdr:nvCxnSpPr>
        <xdr:cNvPr id="859" name="SCHEMA_T01_COND_0094">
          <a:extLst>
            <a:ext uri="{FF2B5EF4-FFF2-40B4-BE49-F238E27FC236}">
              <a16:creationId xmlns:a16="http://schemas.microsoft.com/office/drawing/2014/main" id="{29742D62-D062-D72D-5B4A-41D7B9C33276}"/>
            </a:ext>
          </a:extLst>
        </xdr:cNvPr>
        <xdr:cNvCxnSpPr/>
      </xdr:nvCxnSpPr>
      <xdr:spPr>
        <a:xfrm>
          <a:off x="6292850" y="4518878"/>
          <a:ext cx="254000" cy="163414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298450</xdr:colOff>
      <xdr:row>15</xdr:row>
      <xdr:rowOff>116642</xdr:rowOff>
    </xdr:from>
    <xdr:to>
      <xdr:col>14</xdr:col>
      <xdr:colOff>171450</xdr:colOff>
      <xdr:row>15</xdr:row>
      <xdr:rowOff>195388</xdr:rowOff>
    </xdr:to>
    <xdr:cxnSp macro="">
      <xdr:nvCxnSpPr>
        <xdr:cNvPr id="860" name="SCHEMA_T01_COND_0095">
          <a:extLst>
            <a:ext uri="{FF2B5EF4-FFF2-40B4-BE49-F238E27FC236}">
              <a16:creationId xmlns:a16="http://schemas.microsoft.com/office/drawing/2014/main" id="{A717A2DA-CFB6-93B9-9D70-F0B2D990C147}"/>
            </a:ext>
          </a:extLst>
        </xdr:cNvPr>
        <xdr:cNvCxnSpPr/>
      </xdr:nvCxnSpPr>
      <xdr:spPr>
        <a:xfrm>
          <a:off x="6546850" y="4682292"/>
          <a:ext cx="254000" cy="7874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171450</xdr:colOff>
      <xdr:row>15</xdr:row>
      <xdr:rowOff>189469</xdr:rowOff>
    </xdr:from>
    <xdr:to>
      <xdr:col>15</xdr:col>
      <xdr:colOff>44450</xdr:colOff>
      <xdr:row>15</xdr:row>
      <xdr:rowOff>195388</xdr:rowOff>
    </xdr:to>
    <xdr:cxnSp macro="">
      <xdr:nvCxnSpPr>
        <xdr:cNvPr id="861" name="SCHEMA_T01_COND_0096">
          <a:extLst>
            <a:ext uri="{FF2B5EF4-FFF2-40B4-BE49-F238E27FC236}">
              <a16:creationId xmlns:a16="http://schemas.microsoft.com/office/drawing/2014/main" id="{BADFF3E2-3457-C9DB-6168-EDE968913D9C}"/>
            </a:ext>
          </a:extLst>
        </xdr:cNvPr>
        <xdr:cNvCxnSpPr/>
      </xdr:nvCxnSpPr>
      <xdr:spPr>
        <a:xfrm flipV="1">
          <a:off x="6800850" y="4755119"/>
          <a:ext cx="254000" cy="591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44450</xdr:colOff>
      <xdr:row>15</xdr:row>
      <xdr:rowOff>54828</xdr:rowOff>
    </xdr:from>
    <xdr:to>
      <xdr:col>13</xdr:col>
      <xdr:colOff>298450</xdr:colOff>
      <xdr:row>15</xdr:row>
      <xdr:rowOff>218242</xdr:rowOff>
    </xdr:to>
    <xdr:cxnSp macro="">
      <xdr:nvCxnSpPr>
        <xdr:cNvPr id="862" name="SCHEMA_T01_COND_0097">
          <a:extLst>
            <a:ext uri="{FF2B5EF4-FFF2-40B4-BE49-F238E27FC236}">
              <a16:creationId xmlns:a16="http://schemas.microsoft.com/office/drawing/2014/main" id="{9AD0203B-6C6A-0DDA-95C2-66D5642370B7}"/>
            </a:ext>
          </a:extLst>
        </xdr:cNvPr>
        <xdr:cNvCxnSpPr/>
      </xdr:nvCxnSpPr>
      <xdr:spPr>
        <a:xfrm>
          <a:off x="6292850" y="4620478"/>
          <a:ext cx="254000" cy="163414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298450</xdr:colOff>
      <xdr:row>15</xdr:row>
      <xdr:rowOff>218242</xdr:rowOff>
    </xdr:from>
    <xdr:to>
      <xdr:col>14</xdr:col>
      <xdr:colOff>171450</xdr:colOff>
      <xdr:row>16</xdr:row>
      <xdr:rowOff>49338</xdr:rowOff>
    </xdr:to>
    <xdr:cxnSp macro="">
      <xdr:nvCxnSpPr>
        <xdr:cNvPr id="863" name="SCHEMA_T01_COND_0098">
          <a:extLst>
            <a:ext uri="{FF2B5EF4-FFF2-40B4-BE49-F238E27FC236}">
              <a16:creationId xmlns:a16="http://schemas.microsoft.com/office/drawing/2014/main" id="{8E671339-0F71-02D7-F5B1-771E73866613}"/>
            </a:ext>
          </a:extLst>
        </xdr:cNvPr>
        <xdr:cNvCxnSpPr/>
      </xdr:nvCxnSpPr>
      <xdr:spPr>
        <a:xfrm>
          <a:off x="6546850" y="4783892"/>
          <a:ext cx="254000" cy="7874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171450</xdr:colOff>
      <xdr:row>16</xdr:row>
      <xdr:rowOff>43419</xdr:rowOff>
    </xdr:from>
    <xdr:to>
      <xdr:col>15</xdr:col>
      <xdr:colOff>44450</xdr:colOff>
      <xdr:row>16</xdr:row>
      <xdr:rowOff>49338</xdr:rowOff>
    </xdr:to>
    <xdr:cxnSp macro="">
      <xdr:nvCxnSpPr>
        <xdr:cNvPr id="864" name="SCHEMA_T01_COND_0099">
          <a:extLst>
            <a:ext uri="{FF2B5EF4-FFF2-40B4-BE49-F238E27FC236}">
              <a16:creationId xmlns:a16="http://schemas.microsoft.com/office/drawing/2014/main" id="{1968E4B7-1E64-6C65-A889-4BA567982C2E}"/>
            </a:ext>
          </a:extLst>
        </xdr:cNvPr>
        <xdr:cNvCxnSpPr/>
      </xdr:nvCxnSpPr>
      <xdr:spPr>
        <a:xfrm flipV="1">
          <a:off x="6800850" y="4856719"/>
          <a:ext cx="254000" cy="591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44450</xdr:colOff>
      <xdr:row>15</xdr:row>
      <xdr:rowOff>207228</xdr:rowOff>
    </xdr:from>
    <xdr:to>
      <xdr:col>13</xdr:col>
      <xdr:colOff>298450</xdr:colOff>
      <xdr:row>16</xdr:row>
      <xdr:rowOff>122992</xdr:rowOff>
    </xdr:to>
    <xdr:cxnSp macro="">
      <xdr:nvCxnSpPr>
        <xdr:cNvPr id="865" name="SCHEMA_T01_COND_0100">
          <a:extLst>
            <a:ext uri="{FF2B5EF4-FFF2-40B4-BE49-F238E27FC236}">
              <a16:creationId xmlns:a16="http://schemas.microsoft.com/office/drawing/2014/main" id="{B475DA8D-E850-0461-7821-E0F4704A0966}"/>
            </a:ext>
          </a:extLst>
        </xdr:cNvPr>
        <xdr:cNvCxnSpPr/>
      </xdr:nvCxnSpPr>
      <xdr:spPr>
        <a:xfrm>
          <a:off x="6292850" y="4772878"/>
          <a:ext cx="254000" cy="163414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298450</xdr:colOff>
      <xdr:row>16</xdr:row>
      <xdr:rowOff>122992</xdr:rowOff>
    </xdr:from>
    <xdr:to>
      <xdr:col>14</xdr:col>
      <xdr:colOff>171450</xdr:colOff>
      <xdr:row>16</xdr:row>
      <xdr:rowOff>201738</xdr:rowOff>
    </xdr:to>
    <xdr:cxnSp macro="">
      <xdr:nvCxnSpPr>
        <xdr:cNvPr id="866" name="SCHEMA_T01_COND_0101">
          <a:extLst>
            <a:ext uri="{FF2B5EF4-FFF2-40B4-BE49-F238E27FC236}">
              <a16:creationId xmlns:a16="http://schemas.microsoft.com/office/drawing/2014/main" id="{F62749BE-C07F-63AE-2435-888431801FAD}"/>
            </a:ext>
          </a:extLst>
        </xdr:cNvPr>
        <xdr:cNvCxnSpPr/>
      </xdr:nvCxnSpPr>
      <xdr:spPr>
        <a:xfrm>
          <a:off x="6546850" y="4936292"/>
          <a:ext cx="254000" cy="7874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171450</xdr:colOff>
      <xdr:row>16</xdr:row>
      <xdr:rowOff>195819</xdr:rowOff>
    </xdr:from>
    <xdr:to>
      <xdr:col>15</xdr:col>
      <xdr:colOff>44450</xdr:colOff>
      <xdr:row>16</xdr:row>
      <xdr:rowOff>201738</xdr:rowOff>
    </xdr:to>
    <xdr:cxnSp macro="">
      <xdr:nvCxnSpPr>
        <xdr:cNvPr id="867" name="SCHEMA_T01_COND_0102">
          <a:extLst>
            <a:ext uri="{FF2B5EF4-FFF2-40B4-BE49-F238E27FC236}">
              <a16:creationId xmlns:a16="http://schemas.microsoft.com/office/drawing/2014/main" id="{C1697383-4FF8-FBE1-5AF4-87DB2874EC68}"/>
            </a:ext>
          </a:extLst>
        </xdr:cNvPr>
        <xdr:cNvCxnSpPr/>
      </xdr:nvCxnSpPr>
      <xdr:spPr>
        <a:xfrm flipV="1">
          <a:off x="6800850" y="5009119"/>
          <a:ext cx="254000" cy="591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44450</xdr:colOff>
      <xdr:row>16</xdr:row>
      <xdr:rowOff>61178</xdr:rowOff>
    </xdr:from>
    <xdr:to>
      <xdr:col>13</xdr:col>
      <xdr:colOff>298450</xdr:colOff>
      <xdr:row>16</xdr:row>
      <xdr:rowOff>224592</xdr:rowOff>
    </xdr:to>
    <xdr:cxnSp macro="">
      <xdr:nvCxnSpPr>
        <xdr:cNvPr id="868" name="SCHEMA_T01_COND_0103">
          <a:extLst>
            <a:ext uri="{FF2B5EF4-FFF2-40B4-BE49-F238E27FC236}">
              <a16:creationId xmlns:a16="http://schemas.microsoft.com/office/drawing/2014/main" id="{7A550BFA-BB5A-3D44-C8EF-372BCA0AC9D0}"/>
            </a:ext>
          </a:extLst>
        </xdr:cNvPr>
        <xdr:cNvCxnSpPr/>
      </xdr:nvCxnSpPr>
      <xdr:spPr>
        <a:xfrm>
          <a:off x="6292850" y="4874478"/>
          <a:ext cx="254000" cy="163414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298450</xdr:colOff>
      <xdr:row>16</xdr:row>
      <xdr:rowOff>224592</xdr:rowOff>
    </xdr:from>
    <xdr:to>
      <xdr:col>14</xdr:col>
      <xdr:colOff>171450</xdr:colOff>
      <xdr:row>17</xdr:row>
      <xdr:rowOff>55688</xdr:rowOff>
    </xdr:to>
    <xdr:cxnSp macro="">
      <xdr:nvCxnSpPr>
        <xdr:cNvPr id="869" name="SCHEMA_T01_COND_0104">
          <a:extLst>
            <a:ext uri="{FF2B5EF4-FFF2-40B4-BE49-F238E27FC236}">
              <a16:creationId xmlns:a16="http://schemas.microsoft.com/office/drawing/2014/main" id="{23C14DD7-6B8C-4E8C-5FCE-CD15C0E8202E}"/>
            </a:ext>
          </a:extLst>
        </xdr:cNvPr>
        <xdr:cNvCxnSpPr/>
      </xdr:nvCxnSpPr>
      <xdr:spPr>
        <a:xfrm>
          <a:off x="6546850" y="5037892"/>
          <a:ext cx="254000" cy="7874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171450</xdr:colOff>
      <xdr:row>17</xdr:row>
      <xdr:rowOff>49769</xdr:rowOff>
    </xdr:from>
    <xdr:to>
      <xdr:col>15</xdr:col>
      <xdr:colOff>44450</xdr:colOff>
      <xdr:row>17</xdr:row>
      <xdr:rowOff>55688</xdr:rowOff>
    </xdr:to>
    <xdr:cxnSp macro="">
      <xdr:nvCxnSpPr>
        <xdr:cNvPr id="870" name="SCHEMA_T01_COND_0105">
          <a:extLst>
            <a:ext uri="{FF2B5EF4-FFF2-40B4-BE49-F238E27FC236}">
              <a16:creationId xmlns:a16="http://schemas.microsoft.com/office/drawing/2014/main" id="{2820CE7D-D3AC-AFC7-A6D6-2E53C2546D69}"/>
            </a:ext>
          </a:extLst>
        </xdr:cNvPr>
        <xdr:cNvCxnSpPr/>
      </xdr:nvCxnSpPr>
      <xdr:spPr>
        <a:xfrm flipV="1">
          <a:off x="6800850" y="5110719"/>
          <a:ext cx="254000" cy="591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6350</xdr:colOff>
      <xdr:row>25</xdr:row>
      <xdr:rowOff>3175</xdr:rowOff>
    </xdr:from>
    <xdr:to>
      <xdr:col>14</xdr:col>
      <xdr:colOff>82550</xdr:colOff>
      <xdr:row>25</xdr:row>
      <xdr:rowOff>79375</xdr:rowOff>
    </xdr:to>
    <xdr:sp macro="" textlink="">
      <xdr:nvSpPr>
        <xdr:cNvPr id="871" name="SCHEMA_T01_ATTRAV_07">
          <a:extLst>
            <a:ext uri="{FF2B5EF4-FFF2-40B4-BE49-F238E27FC236}">
              <a16:creationId xmlns:a16="http://schemas.microsoft.com/office/drawing/2014/main" id="{6B0357AB-B8F6-0897-CE71-9405128B8261}"/>
            </a:ext>
          </a:extLst>
        </xdr:cNvPr>
        <xdr:cNvSpPr/>
      </xdr:nvSpPr>
      <xdr:spPr>
        <a:xfrm>
          <a:off x="6635750" y="7045325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15</xdr:col>
      <xdr:colOff>44450</xdr:colOff>
      <xdr:row>15</xdr:row>
      <xdr:rowOff>24369</xdr:rowOff>
    </xdr:from>
    <xdr:to>
      <xdr:col>15</xdr:col>
      <xdr:colOff>298450</xdr:colOff>
      <xdr:row>15</xdr:row>
      <xdr:rowOff>111660</xdr:rowOff>
    </xdr:to>
    <xdr:cxnSp macro="">
      <xdr:nvCxnSpPr>
        <xdr:cNvPr id="872" name="SCHEMA_T01_COND_0106">
          <a:extLst>
            <a:ext uri="{FF2B5EF4-FFF2-40B4-BE49-F238E27FC236}">
              <a16:creationId xmlns:a16="http://schemas.microsoft.com/office/drawing/2014/main" id="{527E78E9-7E61-BCEA-3F7F-7978B0A44485}"/>
            </a:ext>
          </a:extLst>
        </xdr:cNvPr>
        <xdr:cNvCxnSpPr/>
      </xdr:nvCxnSpPr>
      <xdr:spPr>
        <a:xfrm>
          <a:off x="7054850" y="4590019"/>
          <a:ext cx="254000" cy="87291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298450</xdr:colOff>
      <xdr:row>15</xdr:row>
      <xdr:rowOff>111660</xdr:rowOff>
    </xdr:from>
    <xdr:to>
      <xdr:col>16</xdr:col>
      <xdr:colOff>171450</xdr:colOff>
      <xdr:row>15</xdr:row>
      <xdr:rowOff>114285</xdr:rowOff>
    </xdr:to>
    <xdr:cxnSp macro="">
      <xdr:nvCxnSpPr>
        <xdr:cNvPr id="873" name="SCHEMA_T01_COND_0107">
          <a:extLst>
            <a:ext uri="{FF2B5EF4-FFF2-40B4-BE49-F238E27FC236}">
              <a16:creationId xmlns:a16="http://schemas.microsoft.com/office/drawing/2014/main" id="{3B023B93-B968-9D1D-2C0D-D55B2DBA3CE0}"/>
            </a:ext>
          </a:extLst>
        </xdr:cNvPr>
        <xdr:cNvCxnSpPr/>
      </xdr:nvCxnSpPr>
      <xdr:spPr>
        <a:xfrm>
          <a:off x="7308850" y="4677310"/>
          <a:ext cx="254000" cy="2625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171450</xdr:colOff>
      <xdr:row>15</xdr:row>
      <xdr:rowOff>32243</xdr:rowOff>
    </xdr:from>
    <xdr:to>
      <xdr:col>17</xdr:col>
      <xdr:colOff>44450</xdr:colOff>
      <xdr:row>15</xdr:row>
      <xdr:rowOff>114285</xdr:rowOff>
    </xdr:to>
    <xdr:cxnSp macro="">
      <xdr:nvCxnSpPr>
        <xdr:cNvPr id="874" name="SCHEMA_T01_COND_0108">
          <a:extLst>
            <a:ext uri="{FF2B5EF4-FFF2-40B4-BE49-F238E27FC236}">
              <a16:creationId xmlns:a16="http://schemas.microsoft.com/office/drawing/2014/main" id="{1DA9C3D0-60DA-7260-7413-0E148BB1B0A0}"/>
            </a:ext>
          </a:extLst>
        </xdr:cNvPr>
        <xdr:cNvCxnSpPr/>
      </xdr:nvCxnSpPr>
      <xdr:spPr>
        <a:xfrm flipV="1">
          <a:off x="7562850" y="4597893"/>
          <a:ext cx="254000" cy="82042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44450</xdr:colOff>
      <xdr:row>15</xdr:row>
      <xdr:rowOff>189469</xdr:rowOff>
    </xdr:from>
    <xdr:to>
      <xdr:col>15</xdr:col>
      <xdr:colOff>298450</xdr:colOff>
      <xdr:row>16</xdr:row>
      <xdr:rowOff>29110</xdr:rowOff>
    </xdr:to>
    <xdr:cxnSp macro="">
      <xdr:nvCxnSpPr>
        <xdr:cNvPr id="875" name="SCHEMA_T01_COND_0109">
          <a:extLst>
            <a:ext uri="{FF2B5EF4-FFF2-40B4-BE49-F238E27FC236}">
              <a16:creationId xmlns:a16="http://schemas.microsoft.com/office/drawing/2014/main" id="{85F1252A-1043-E283-4878-A14ABD4A5719}"/>
            </a:ext>
          </a:extLst>
        </xdr:cNvPr>
        <xdr:cNvCxnSpPr/>
      </xdr:nvCxnSpPr>
      <xdr:spPr>
        <a:xfrm>
          <a:off x="7054850" y="4755119"/>
          <a:ext cx="254000" cy="8729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298450</xdr:colOff>
      <xdr:row>16</xdr:row>
      <xdr:rowOff>29110</xdr:rowOff>
    </xdr:from>
    <xdr:to>
      <xdr:col>16</xdr:col>
      <xdr:colOff>171450</xdr:colOff>
      <xdr:row>16</xdr:row>
      <xdr:rowOff>31735</xdr:rowOff>
    </xdr:to>
    <xdr:cxnSp macro="">
      <xdr:nvCxnSpPr>
        <xdr:cNvPr id="876" name="SCHEMA_T01_COND_0110">
          <a:extLst>
            <a:ext uri="{FF2B5EF4-FFF2-40B4-BE49-F238E27FC236}">
              <a16:creationId xmlns:a16="http://schemas.microsoft.com/office/drawing/2014/main" id="{DE19578C-8E27-E439-4FC6-66F70A694BFC}"/>
            </a:ext>
          </a:extLst>
        </xdr:cNvPr>
        <xdr:cNvCxnSpPr/>
      </xdr:nvCxnSpPr>
      <xdr:spPr>
        <a:xfrm>
          <a:off x="7308850" y="4842410"/>
          <a:ext cx="254000" cy="262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171450</xdr:colOff>
      <xdr:row>15</xdr:row>
      <xdr:rowOff>197343</xdr:rowOff>
    </xdr:from>
    <xdr:to>
      <xdr:col>17</xdr:col>
      <xdr:colOff>44450</xdr:colOff>
      <xdr:row>16</xdr:row>
      <xdr:rowOff>31735</xdr:rowOff>
    </xdr:to>
    <xdr:cxnSp macro="">
      <xdr:nvCxnSpPr>
        <xdr:cNvPr id="877" name="SCHEMA_T01_COND_0111">
          <a:extLst>
            <a:ext uri="{FF2B5EF4-FFF2-40B4-BE49-F238E27FC236}">
              <a16:creationId xmlns:a16="http://schemas.microsoft.com/office/drawing/2014/main" id="{8D3D3219-E5B1-DB04-5ADB-92549AFDC10F}"/>
            </a:ext>
          </a:extLst>
        </xdr:cNvPr>
        <xdr:cNvCxnSpPr/>
      </xdr:nvCxnSpPr>
      <xdr:spPr>
        <a:xfrm flipV="1">
          <a:off x="7562850" y="4762993"/>
          <a:ext cx="254000" cy="8204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44450</xdr:colOff>
      <xdr:row>16</xdr:row>
      <xdr:rowOff>43419</xdr:rowOff>
    </xdr:from>
    <xdr:to>
      <xdr:col>15</xdr:col>
      <xdr:colOff>298450</xdr:colOff>
      <xdr:row>16</xdr:row>
      <xdr:rowOff>130710</xdr:rowOff>
    </xdr:to>
    <xdr:cxnSp macro="">
      <xdr:nvCxnSpPr>
        <xdr:cNvPr id="878" name="SCHEMA_T01_COND_0112">
          <a:extLst>
            <a:ext uri="{FF2B5EF4-FFF2-40B4-BE49-F238E27FC236}">
              <a16:creationId xmlns:a16="http://schemas.microsoft.com/office/drawing/2014/main" id="{78646AFA-FE91-5E59-B112-2395AD6F08C6}"/>
            </a:ext>
          </a:extLst>
        </xdr:cNvPr>
        <xdr:cNvCxnSpPr/>
      </xdr:nvCxnSpPr>
      <xdr:spPr>
        <a:xfrm>
          <a:off x="7054850" y="4856719"/>
          <a:ext cx="254000" cy="8729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298450</xdr:colOff>
      <xdr:row>16</xdr:row>
      <xdr:rowOff>130710</xdr:rowOff>
    </xdr:from>
    <xdr:to>
      <xdr:col>16</xdr:col>
      <xdr:colOff>171450</xdr:colOff>
      <xdr:row>16</xdr:row>
      <xdr:rowOff>133335</xdr:rowOff>
    </xdr:to>
    <xdr:cxnSp macro="">
      <xdr:nvCxnSpPr>
        <xdr:cNvPr id="879" name="SCHEMA_T01_COND_0113">
          <a:extLst>
            <a:ext uri="{FF2B5EF4-FFF2-40B4-BE49-F238E27FC236}">
              <a16:creationId xmlns:a16="http://schemas.microsoft.com/office/drawing/2014/main" id="{1853CCC3-CD98-9288-9E29-76F5C8CD2A49}"/>
            </a:ext>
          </a:extLst>
        </xdr:cNvPr>
        <xdr:cNvCxnSpPr/>
      </xdr:nvCxnSpPr>
      <xdr:spPr>
        <a:xfrm>
          <a:off x="7308850" y="4944010"/>
          <a:ext cx="254000" cy="262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171450</xdr:colOff>
      <xdr:row>16</xdr:row>
      <xdr:rowOff>51293</xdr:rowOff>
    </xdr:from>
    <xdr:to>
      <xdr:col>17</xdr:col>
      <xdr:colOff>44450</xdr:colOff>
      <xdr:row>16</xdr:row>
      <xdr:rowOff>133335</xdr:rowOff>
    </xdr:to>
    <xdr:cxnSp macro="">
      <xdr:nvCxnSpPr>
        <xdr:cNvPr id="880" name="SCHEMA_T01_COND_0114">
          <a:extLst>
            <a:ext uri="{FF2B5EF4-FFF2-40B4-BE49-F238E27FC236}">
              <a16:creationId xmlns:a16="http://schemas.microsoft.com/office/drawing/2014/main" id="{0C9EB3BE-CDFE-72DA-3D7E-77E4EE3B30C1}"/>
            </a:ext>
          </a:extLst>
        </xdr:cNvPr>
        <xdr:cNvCxnSpPr/>
      </xdr:nvCxnSpPr>
      <xdr:spPr>
        <a:xfrm flipV="1">
          <a:off x="7562850" y="4864593"/>
          <a:ext cx="254000" cy="8204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44450</xdr:colOff>
      <xdr:row>16</xdr:row>
      <xdr:rowOff>195819</xdr:rowOff>
    </xdr:from>
    <xdr:to>
      <xdr:col>15</xdr:col>
      <xdr:colOff>298450</xdr:colOff>
      <xdr:row>17</xdr:row>
      <xdr:rowOff>35460</xdr:rowOff>
    </xdr:to>
    <xdr:cxnSp macro="">
      <xdr:nvCxnSpPr>
        <xdr:cNvPr id="881" name="SCHEMA_T01_COND_0115">
          <a:extLst>
            <a:ext uri="{FF2B5EF4-FFF2-40B4-BE49-F238E27FC236}">
              <a16:creationId xmlns:a16="http://schemas.microsoft.com/office/drawing/2014/main" id="{C5F58467-0856-55D3-B05A-80A8AFEEF1B6}"/>
            </a:ext>
          </a:extLst>
        </xdr:cNvPr>
        <xdr:cNvCxnSpPr/>
      </xdr:nvCxnSpPr>
      <xdr:spPr>
        <a:xfrm>
          <a:off x="7054850" y="5009119"/>
          <a:ext cx="254000" cy="8729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298450</xdr:colOff>
      <xdr:row>17</xdr:row>
      <xdr:rowOff>35460</xdr:rowOff>
    </xdr:from>
    <xdr:to>
      <xdr:col>16</xdr:col>
      <xdr:colOff>171450</xdr:colOff>
      <xdr:row>17</xdr:row>
      <xdr:rowOff>38085</xdr:rowOff>
    </xdr:to>
    <xdr:cxnSp macro="">
      <xdr:nvCxnSpPr>
        <xdr:cNvPr id="882" name="SCHEMA_T01_COND_0116">
          <a:extLst>
            <a:ext uri="{FF2B5EF4-FFF2-40B4-BE49-F238E27FC236}">
              <a16:creationId xmlns:a16="http://schemas.microsoft.com/office/drawing/2014/main" id="{9B2CC305-58AC-46FE-2448-ADFEE5C9D322}"/>
            </a:ext>
          </a:extLst>
        </xdr:cNvPr>
        <xdr:cNvCxnSpPr/>
      </xdr:nvCxnSpPr>
      <xdr:spPr>
        <a:xfrm>
          <a:off x="7308850" y="5096410"/>
          <a:ext cx="254000" cy="262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171450</xdr:colOff>
      <xdr:row>16</xdr:row>
      <xdr:rowOff>203693</xdr:rowOff>
    </xdr:from>
    <xdr:to>
      <xdr:col>17</xdr:col>
      <xdr:colOff>44450</xdr:colOff>
      <xdr:row>17</xdr:row>
      <xdr:rowOff>38085</xdr:rowOff>
    </xdr:to>
    <xdr:cxnSp macro="">
      <xdr:nvCxnSpPr>
        <xdr:cNvPr id="883" name="SCHEMA_T01_COND_0117">
          <a:extLst>
            <a:ext uri="{FF2B5EF4-FFF2-40B4-BE49-F238E27FC236}">
              <a16:creationId xmlns:a16="http://schemas.microsoft.com/office/drawing/2014/main" id="{BAB79D8D-E04A-D7CB-3DC3-DE80C874E5F4}"/>
            </a:ext>
          </a:extLst>
        </xdr:cNvPr>
        <xdr:cNvCxnSpPr/>
      </xdr:nvCxnSpPr>
      <xdr:spPr>
        <a:xfrm flipV="1">
          <a:off x="7562850" y="5016993"/>
          <a:ext cx="254000" cy="8204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44450</xdr:colOff>
      <xdr:row>17</xdr:row>
      <xdr:rowOff>49769</xdr:rowOff>
    </xdr:from>
    <xdr:to>
      <xdr:col>15</xdr:col>
      <xdr:colOff>298450</xdr:colOff>
      <xdr:row>17</xdr:row>
      <xdr:rowOff>137060</xdr:rowOff>
    </xdr:to>
    <xdr:cxnSp macro="">
      <xdr:nvCxnSpPr>
        <xdr:cNvPr id="884" name="SCHEMA_T01_COND_0118">
          <a:extLst>
            <a:ext uri="{FF2B5EF4-FFF2-40B4-BE49-F238E27FC236}">
              <a16:creationId xmlns:a16="http://schemas.microsoft.com/office/drawing/2014/main" id="{6F3259F7-63E2-CBCE-BDFA-02860976D384}"/>
            </a:ext>
          </a:extLst>
        </xdr:cNvPr>
        <xdr:cNvCxnSpPr/>
      </xdr:nvCxnSpPr>
      <xdr:spPr>
        <a:xfrm>
          <a:off x="7054850" y="5110719"/>
          <a:ext cx="254000" cy="8729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298450</xdr:colOff>
      <xdr:row>17</xdr:row>
      <xdr:rowOff>137060</xdr:rowOff>
    </xdr:from>
    <xdr:to>
      <xdr:col>16</xdr:col>
      <xdr:colOff>171450</xdr:colOff>
      <xdr:row>17</xdr:row>
      <xdr:rowOff>139685</xdr:rowOff>
    </xdr:to>
    <xdr:cxnSp macro="">
      <xdr:nvCxnSpPr>
        <xdr:cNvPr id="885" name="SCHEMA_T01_COND_0119">
          <a:extLst>
            <a:ext uri="{FF2B5EF4-FFF2-40B4-BE49-F238E27FC236}">
              <a16:creationId xmlns:a16="http://schemas.microsoft.com/office/drawing/2014/main" id="{A81FA86D-372C-6084-0753-C1AA82A63BCE}"/>
            </a:ext>
          </a:extLst>
        </xdr:cNvPr>
        <xdr:cNvCxnSpPr/>
      </xdr:nvCxnSpPr>
      <xdr:spPr>
        <a:xfrm>
          <a:off x="7308850" y="5198010"/>
          <a:ext cx="254000" cy="262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171450</xdr:colOff>
      <xdr:row>17</xdr:row>
      <xdr:rowOff>57643</xdr:rowOff>
    </xdr:from>
    <xdr:to>
      <xdr:col>17</xdr:col>
      <xdr:colOff>44450</xdr:colOff>
      <xdr:row>17</xdr:row>
      <xdr:rowOff>139685</xdr:rowOff>
    </xdr:to>
    <xdr:cxnSp macro="">
      <xdr:nvCxnSpPr>
        <xdr:cNvPr id="886" name="SCHEMA_T01_COND_0120">
          <a:extLst>
            <a:ext uri="{FF2B5EF4-FFF2-40B4-BE49-F238E27FC236}">
              <a16:creationId xmlns:a16="http://schemas.microsoft.com/office/drawing/2014/main" id="{82ECB23F-7C1A-294F-67F7-0D76B9AD3FA2}"/>
            </a:ext>
          </a:extLst>
        </xdr:cNvPr>
        <xdr:cNvCxnSpPr/>
      </xdr:nvCxnSpPr>
      <xdr:spPr>
        <a:xfrm flipV="1">
          <a:off x="7562850" y="5118593"/>
          <a:ext cx="254000" cy="8204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6350</xdr:colOff>
      <xdr:row>25</xdr:row>
      <xdr:rowOff>3175</xdr:rowOff>
    </xdr:from>
    <xdr:to>
      <xdr:col>16</xdr:col>
      <xdr:colOff>82550</xdr:colOff>
      <xdr:row>25</xdr:row>
      <xdr:rowOff>79375</xdr:rowOff>
    </xdr:to>
    <xdr:sp macro="" textlink="">
      <xdr:nvSpPr>
        <xdr:cNvPr id="887" name="SCHEMA_T01_ATTRAV_08">
          <a:extLst>
            <a:ext uri="{FF2B5EF4-FFF2-40B4-BE49-F238E27FC236}">
              <a16:creationId xmlns:a16="http://schemas.microsoft.com/office/drawing/2014/main" id="{1322E3A6-7541-E849-E419-DDD69E7C1BB7}"/>
            </a:ext>
          </a:extLst>
        </xdr:cNvPr>
        <xdr:cNvSpPr/>
      </xdr:nvSpPr>
      <xdr:spPr>
        <a:xfrm>
          <a:off x="7397750" y="7045325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17</xdr:col>
      <xdr:colOff>44450</xdr:colOff>
      <xdr:row>15</xdr:row>
      <xdr:rowOff>32243</xdr:rowOff>
    </xdr:from>
    <xdr:to>
      <xdr:col>17</xdr:col>
      <xdr:colOff>298450</xdr:colOff>
      <xdr:row>15</xdr:row>
      <xdr:rowOff>51288</xdr:rowOff>
    </xdr:to>
    <xdr:cxnSp macro="">
      <xdr:nvCxnSpPr>
        <xdr:cNvPr id="888" name="SCHEMA_T01_COND_0121">
          <a:extLst>
            <a:ext uri="{FF2B5EF4-FFF2-40B4-BE49-F238E27FC236}">
              <a16:creationId xmlns:a16="http://schemas.microsoft.com/office/drawing/2014/main" id="{0FE41DE5-11E2-7F99-50B2-D4DB7FA4911F}"/>
            </a:ext>
          </a:extLst>
        </xdr:cNvPr>
        <xdr:cNvCxnSpPr/>
      </xdr:nvCxnSpPr>
      <xdr:spPr>
        <a:xfrm>
          <a:off x="7816850" y="4597893"/>
          <a:ext cx="254000" cy="19045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298450</xdr:colOff>
      <xdr:row>14</xdr:row>
      <xdr:rowOff>233316</xdr:rowOff>
    </xdr:from>
    <xdr:to>
      <xdr:col>18</xdr:col>
      <xdr:colOff>171450</xdr:colOff>
      <xdr:row>15</xdr:row>
      <xdr:rowOff>51288</xdr:rowOff>
    </xdr:to>
    <xdr:cxnSp macro="">
      <xdr:nvCxnSpPr>
        <xdr:cNvPr id="889" name="SCHEMA_T01_COND_0122">
          <a:extLst>
            <a:ext uri="{FF2B5EF4-FFF2-40B4-BE49-F238E27FC236}">
              <a16:creationId xmlns:a16="http://schemas.microsoft.com/office/drawing/2014/main" id="{64E25412-0F2E-87C2-85BC-31D0B543ACEC}"/>
            </a:ext>
          </a:extLst>
        </xdr:cNvPr>
        <xdr:cNvCxnSpPr/>
      </xdr:nvCxnSpPr>
      <xdr:spPr>
        <a:xfrm flipV="1">
          <a:off x="8070850" y="4551316"/>
          <a:ext cx="254000" cy="65622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171450</xdr:colOff>
      <xdr:row>14</xdr:row>
      <xdr:rowOff>83027</xdr:rowOff>
    </xdr:from>
    <xdr:to>
      <xdr:col>19</xdr:col>
      <xdr:colOff>44450</xdr:colOff>
      <xdr:row>14</xdr:row>
      <xdr:rowOff>233316</xdr:rowOff>
    </xdr:to>
    <xdr:cxnSp macro="">
      <xdr:nvCxnSpPr>
        <xdr:cNvPr id="890" name="SCHEMA_T01_COND_0123">
          <a:extLst>
            <a:ext uri="{FF2B5EF4-FFF2-40B4-BE49-F238E27FC236}">
              <a16:creationId xmlns:a16="http://schemas.microsoft.com/office/drawing/2014/main" id="{37FF58CB-6B55-7F47-6B29-47683C14D188}"/>
            </a:ext>
          </a:extLst>
        </xdr:cNvPr>
        <xdr:cNvCxnSpPr/>
      </xdr:nvCxnSpPr>
      <xdr:spPr>
        <a:xfrm flipV="1">
          <a:off x="8324850" y="4401027"/>
          <a:ext cx="254000" cy="150289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44450</xdr:colOff>
      <xdr:row>15</xdr:row>
      <xdr:rowOff>197343</xdr:rowOff>
    </xdr:from>
    <xdr:to>
      <xdr:col>17</xdr:col>
      <xdr:colOff>298450</xdr:colOff>
      <xdr:row>15</xdr:row>
      <xdr:rowOff>216388</xdr:rowOff>
    </xdr:to>
    <xdr:cxnSp macro="">
      <xdr:nvCxnSpPr>
        <xdr:cNvPr id="891" name="SCHEMA_T01_COND_0124">
          <a:extLst>
            <a:ext uri="{FF2B5EF4-FFF2-40B4-BE49-F238E27FC236}">
              <a16:creationId xmlns:a16="http://schemas.microsoft.com/office/drawing/2014/main" id="{D1FEB7DE-6103-6C2B-7364-676F87B9E4B0}"/>
            </a:ext>
          </a:extLst>
        </xdr:cNvPr>
        <xdr:cNvCxnSpPr/>
      </xdr:nvCxnSpPr>
      <xdr:spPr>
        <a:xfrm>
          <a:off x="7816850" y="4762993"/>
          <a:ext cx="254000" cy="1904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298450</xdr:colOff>
      <xdr:row>15</xdr:row>
      <xdr:rowOff>150766</xdr:rowOff>
    </xdr:from>
    <xdr:to>
      <xdr:col>18</xdr:col>
      <xdr:colOff>171450</xdr:colOff>
      <xdr:row>15</xdr:row>
      <xdr:rowOff>216388</xdr:rowOff>
    </xdr:to>
    <xdr:cxnSp macro="">
      <xdr:nvCxnSpPr>
        <xdr:cNvPr id="892" name="SCHEMA_T01_COND_0125">
          <a:extLst>
            <a:ext uri="{FF2B5EF4-FFF2-40B4-BE49-F238E27FC236}">
              <a16:creationId xmlns:a16="http://schemas.microsoft.com/office/drawing/2014/main" id="{7094BF5A-2C44-8098-F778-BD834F0FBCDC}"/>
            </a:ext>
          </a:extLst>
        </xdr:cNvPr>
        <xdr:cNvCxnSpPr/>
      </xdr:nvCxnSpPr>
      <xdr:spPr>
        <a:xfrm flipV="1">
          <a:off x="8070850" y="4716416"/>
          <a:ext cx="254000" cy="6562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171450</xdr:colOff>
      <xdr:row>15</xdr:row>
      <xdr:rowOff>477</xdr:rowOff>
    </xdr:from>
    <xdr:to>
      <xdr:col>19</xdr:col>
      <xdr:colOff>44450</xdr:colOff>
      <xdr:row>15</xdr:row>
      <xdr:rowOff>150766</xdr:rowOff>
    </xdr:to>
    <xdr:cxnSp macro="">
      <xdr:nvCxnSpPr>
        <xdr:cNvPr id="893" name="SCHEMA_T01_COND_0126">
          <a:extLst>
            <a:ext uri="{FF2B5EF4-FFF2-40B4-BE49-F238E27FC236}">
              <a16:creationId xmlns:a16="http://schemas.microsoft.com/office/drawing/2014/main" id="{04CF4992-14B4-6345-88BC-130D10C26EC3}"/>
            </a:ext>
          </a:extLst>
        </xdr:cNvPr>
        <xdr:cNvCxnSpPr/>
      </xdr:nvCxnSpPr>
      <xdr:spPr>
        <a:xfrm flipV="1">
          <a:off x="8324850" y="4566127"/>
          <a:ext cx="254000" cy="15028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44450</xdr:colOff>
      <xdr:row>16</xdr:row>
      <xdr:rowOff>51293</xdr:rowOff>
    </xdr:from>
    <xdr:to>
      <xdr:col>17</xdr:col>
      <xdr:colOff>298450</xdr:colOff>
      <xdr:row>16</xdr:row>
      <xdr:rowOff>70338</xdr:rowOff>
    </xdr:to>
    <xdr:cxnSp macro="">
      <xdr:nvCxnSpPr>
        <xdr:cNvPr id="894" name="SCHEMA_T01_COND_0127">
          <a:extLst>
            <a:ext uri="{FF2B5EF4-FFF2-40B4-BE49-F238E27FC236}">
              <a16:creationId xmlns:a16="http://schemas.microsoft.com/office/drawing/2014/main" id="{FCAC3E7E-4F7A-C2C1-6FDC-0FE46418B28A}"/>
            </a:ext>
          </a:extLst>
        </xdr:cNvPr>
        <xdr:cNvCxnSpPr/>
      </xdr:nvCxnSpPr>
      <xdr:spPr>
        <a:xfrm>
          <a:off x="7816850" y="4864593"/>
          <a:ext cx="254000" cy="1904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298450</xdr:colOff>
      <xdr:row>16</xdr:row>
      <xdr:rowOff>4716</xdr:rowOff>
    </xdr:from>
    <xdr:to>
      <xdr:col>18</xdr:col>
      <xdr:colOff>171450</xdr:colOff>
      <xdr:row>16</xdr:row>
      <xdr:rowOff>70338</xdr:rowOff>
    </xdr:to>
    <xdr:cxnSp macro="">
      <xdr:nvCxnSpPr>
        <xdr:cNvPr id="895" name="SCHEMA_T01_COND_0128">
          <a:extLst>
            <a:ext uri="{FF2B5EF4-FFF2-40B4-BE49-F238E27FC236}">
              <a16:creationId xmlns:a16="http://schemas.microsoft.com/office/drawing/2014/main" id="{D94C1B72-E34F-6D87-9E6A-F47DD0FCD056}"/>
            </a:ext>
          </a:extLst>
        </xdr:cNvPr>
        <xdr:cNvCxnSpPr/>
      </xdr:nvCxnSpPr>
      <xdr:spPr>
        <a:xfrm flipV="1">
          <a:off x="8070850" y="4818016"/>
          <a:ext cx="254000" cy="6562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171450</xdr:colOff>
      <xdr:row>15</xdr:row>
      <xdr:rowOff>102077</xdr:rowOff>
    </xdr:from>
    <xdr:to>
      <xdr:col>19</xdr:col>
      <xdr:colOff>44450</xdr:colOff>
      <xdr:row>16</xdr:row>
      <xdr:rowOff>4716</xdr:rowOff>
    </xdr:to>
    <xdr:cxnSp macro="">
      <xdr:nvCxnSpPr>
        <xdr:cNvPr id="1600" name="SCHEMA_T01_COND_0129">
          <a:extLst>
            <a:ext uri="{FF2B5EF4-FFF2-40B4-BE49-F238E27FC236}">
              <a16:creationId xmlns:a16="http://schemas.microsoft.com/office/drawing/2014/main" id="{DE660CA4-372F-3B72-6DC8-0E494B081FC4}"/>
            </a:ext>
          </a:extLst>
        </xdr:cNvPr>
        <xdr:cNvCxnSpPr/>
      </xdr:nvCxnSpPr>
      <xdr:spPr>
        <a:xfrm flipV="1">
          <a:off x="8324850" y="4667727"/>
          <a:ext cx="254000" cy="15028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44450</xdr:colOff>
      <xdr:row>16</xdr:row>
      <xdr:rowOff>203693</xdr:rowOff>
    </xdr:from>
    <xdr:to>
      <xdr:col>17</xdr:col>
      <xdr:colOff>298450</xdr:colOff>
      <xdr:row>16</xdr:row>
      <xdr:rowOff>222738</xdr:rowOff>
    </xdr:to>
    <xdr:cxnSp macro="">
      <xdr:nvCxnSpPr>
        <xdr:cNvPr id="1601" name="SCHEMA_T01_COND_0130">
          <a:extLst>
            <a:ext uri="{FF2B5EF4-FFF2-40B4-BE49-F238E27FC236}">
              <a16:creationId xmlns:a16="http://schemas.microsoft.com/office/drawing/2014/main" id="{6ACDB44E-4322-247B-134F-4E6E5FDE6793}"/>
            </a:ext>
          </a:extLst>
        </xdr:cNvPr>
        <xdr:cNvCxnSpPr/>
      </xdr:nvCxnSpPr>
      <xdr:spPr>
        <a:xfrm>
          <a:off x="7816850" y="5016993"/>
          <a:ext cx="254000" cy="1904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298450</xdr:colOff>
      <xdr:row>16</xdr:row>
      <xdr:rowOff>157116</xdr:rowOff>
    </xdr:from>
    <xdr:to>
      <xdr:col>18</xdr:col>
      <xdr:colOff>171450</xdr:colOff>
      <xdr:row>16</xdr:row>
      <xdr:rowOff>222738</xdr:rowOff>
    </xdr:to>
    <xdr:cxnSp macro="">
      <xdr:nvCxnSpPr>
        <xdr:cNvPr id="1602" name="SCHEMA_T01_COND_0131">
          <a:extLst>
            <a:ext uri="{FF2B5EF4-FFF2-40B4-BE49-F238E27FC236}">
              <a16:creationId xmlns:a16="http://schemas.microsoft.com/office/drawing/2014/main" id="{5919D3F5-561E-ACE1-B0A9-7064697092DE}"/>
            </a:ext>
          </a:extLst>
        </xdr:cNvPr>
        <xdr:cNvCxnSpPr/>
      </xdr:nvCxnSpPr>
      <xdr:spPr>
        <a:xfrm flipV="1">
          <a:off x="8070850" y="4970416"/>
          <a:ext cx="254000" cy="6562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171450</xdr:colOff>
      <xdr:row>16</xdr:row>
      <xdr:rowOff>6827</xdr:rowOff>
    </xdr:from>
    <xdr:to>
      <xdr:col>19</xdr:col>
      <xdr:colOff>44450</xdr:colOff>
      <xdr:row>16</xdr:row>
      <xdr:rowOff>157116</xdr:rowOff>
    </xdr:to>
    <xdr:cxnSp macro="">
      <xdr:nvCxnSpPr>
        <xdr:cNvPr id="1603" name="SCHEMA_T01_COND_0132">
          <a:extLst>
            <a:ext uri="{FF2B5EF4-FFF2-40B4-BE49-F238E27FC236}">
              <a16:creationId xmlns:a16="http://schemas.microsoft.com/office/drawing/2014/main" id="{819E1089-32F7-B24E-6D31-5428D12B42FD}"/>
            </a:ext>
          </a:extLst>
        </xdr:cNvPr>
        <xdr:cNvCxnSpPr/>
      </xdr:nvCxnSpPr>
      <xdr:spPr>
        <a:xfrm flipV="1">
          <a:off x="8324850" y="4820127"/>
          <a:ext cx="254000" cy="15028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44450</xdr:colOff>
      <xdr:row>17</xdr:row>
      <xdr:rowOff>57643</xdr:rowOff>
    </xdr:from>
    <xdr:to>
      <xdr:col>17</xdr:col>
      <xdr:colOff>298450</xdr:colOff>
      <xdr:row>17</xdr:row>
      <xdr:rowOff>76688</xdr:rowOff>
    </xdr:to>
    <xdr:cxnSp macro="">
      <xdr:nvCxnSpPr>
        <xdr:cNvPr id="1604" name="SCHEMA_T01_COND_0133">
          <a:extLst>
            <a:ext uri="{FF2B5EF4-FFF2-40B4-BE49-F238E27FC236}">
              <a16:creationId xmlns:a16="http://schemas.microsoft.com/office/drawing/2014/main" id="{8B845076-7890-7EB6-C63E-F6590C41E611}"/>
            </a:ext>
          </a:extLst>
        </xdr:cNvPr>
        <xdr:cNvCxnSpPr/>
      </xdr:nvCxnSpPr>
      <xdr:spPr>
        <a:xfrm>
          <a:off x="7816850" y="5118593"/>
          <a:ext cx="254000" cy="1904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298450</xdr:colOff>
      <xdr:row>17</xdr:row>
      <xdr:rowOff>11066</xdr:rowOff>
    </xdr:from>
    <xdr:to>
      <xdr:col>18</xdr:col>
      <xdr:colOff>171450</xdr:colOff>
      <xdr:row>17</xdr:row>
      <xdr:rowOff>76688</xdr:rowOff>
    </xdr:to>
    <xdr:cxnSp macro="">
      <xdr:nvCxnSpPr>
        <xdr:cNvPr id="1605" name="SCHEMA_T01_COND_0134">
          <a:extLst>
            <a:ext uri="{FF2B5EF4-FFF2-40B4-BE49-F238E27FC236}">
              <a16:creationId xmlns:a16="http://schemas.microsoft.com/office/drawing/2014/main" id="{6E64489B-62F4-FDCF-DC97-E37582150718}"/>
            </a:ext>
          </a:extLst>
        </xdr:cNvPr>
        <xdr:cNvCxnSpPr/>
      </xdr:nvCxnSpPr>
      <xdr:spPr>
        <a:xfrm flipV="1">
          <a:off x="8070850" y="5072016"/>
          <a:ext cx="254000" cy="6562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171450</xdr:colOff>
      <xdr:row>16</xdr:row>
      <xdr:rowOff>108427</xdr:rowOff>
    </xdr:from>
    <xdr:to>
      <xdr:col>19</xdr:col>
      <xdr:colOff>44450</xdr:colOff>
      <xdr:row>17</xdr:row>
      <xdr:rowOff>11066</xdr:rowOff>
    </xdr:to>
    <xdr:cxnSp macro="">
      <xdr:nvCxnSpPr>
        <xdr:cNvPr id="1606" name="SCHEMA_T01_COND_0135">
          <a:extLst>
            <a:ext uri="{FF2B5EF4-FFF2-40B4-BE49-F238E27FC236}">
              <a16:creationId xmlns:a16="http://schemas.microsoft.com/office/drawing/2014/main" id="{F6DF765B-6472-9A97-2E55-5102FF9A9623}"/>
            </a:ext>
          </a:extLst>
        </xdr:cNvPr>
        <xdr:cNvCxnSpPr/>
      </xdr:nvCxnSpPr>
      <xdr:spPr>
        <a:xfrm flipV="1">
          <a:off x="8324850" y="4921727"/>
          <a:ext cx="254000" cy="15028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6350</xdr:colOff>
      <xdr:row>25</xdr:row>
      <xdr:rowOff>3175</xdr:rowOff>
    </xdr:from>
    <xdr:to>
      <xdr:col>18</xdr:col>
      <xdr:colOff>82550</xdr:colOff>
      <xdr:row>25</xdr:row>
      <xdr:rowOff>79375</xdr:rowOff>
    </xdr:to>
    <xdr:sp macro="" textlink="">
      <xdr:nvSpPr>
        <xdr:cNvPr id="1607" name="SCHEMA_T01_ATTRAV_09">
          <a:extLst>
            <a:ext uri="{FF2B5EF4-FFF2-40B4-BE49-F238E27FC236}">
              <a16:creationId xmlns:a16="http://schemas.microsoft.com/office/drawing/2014/main" id="{F1D080DF-A65B-EB01-7E98-14E356B42713}"/>
            </a:ext>
          </a:extLst>
        </xdr:cNvPr>
        <xdr:cNvSpPr/>
      </xdr:nvSpPr>
      <xdr:spPr>
        <a:xfrm>
          <a:off x="8159750" y="7045325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44450</xdr:colOff>
      <xdr:row>14</xdr:row>
      <xdr:rowOff>83027</xdr:rowOff>
    </xdr:from>
    <xdr:to>
      <xdr:col>19</xdr:col>
      <xdr:colOff>298450</xdr:colOff>
      <xdr:row>14</xdr:row>
      <xdr:rowOff>149319</xdr:rowOff>
    </xdr:to>
    <xdr:cxnSp macro="">
      <xdr:nvCxnSpPr>
        <xdr:cNvPr id="1608" name="SCHEMA_T01_COND_0136">
          <a:extLst>
            <a:ext uri="{FF2B5EF4-FFF2-40B4-BE49-F238E27FC236}">
              <a16:creationId xmlns:a16="http://schemas.microsoft.com/office/drawing/2014/main" id="{ADC81A32-CDE7-9980-3A9F-E2BFCFFAE727}"/>
            </a:ext>
          </a:extLst>
        </xdr:cNvPr>
        <xdr:cNvCxnSpPr/>
      </xdr:nvCxnSpPr>
      <xdr:spPr>
        <a:xfrm>
          <a:off x="8578850" y="4401027"/>
          <a:ext cx="254000" cy="66292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298450</xdr:colOff>
      <xdr:row>14</xdr:row>
      <xdr:rowOff>130945</xdr:rowOff>
    </xdr:from>
    <xdr:to>
      <xdr:col>20</xdr:col>
      <xdr:colOff>171450</xdr:colOff>
      <xdr:row>14</xdr:row>
      <xdr:rowOff>149319</xdr:rowOff>
    </xdr:to>
    <xdr:cxnSp macro="">
      <xdr:nvCxnSpPr>
        <xdr:cNvPr id="1609" name="SCHEMA_T01_COND_0137">
          <a:extLst>
            <a:ext uri="{FF2B5EF4-FFF2-40B4-BE49-F238E27FC236}">
              <a16:creationId xmlns:a16="http://schemas.microsoft.com/office/drawing/2014/main" id="{F5E6C7BE-563A-5494-712F-9BF65FA978E6}"/>
            </a:ext>
          </a:extLst>
        </xdr:cNvPr>
        <xdr:cNvCxnSpPr/>
      </xdr:nvCxnSpPr>
      <xdr:spPr>
        <a:xfrm flipV="1">
          <a:off x="8832850" y="4448945"/>
          <a:ext cx="254000" cy="18374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171450</xdr:colOff>
      <xdr:row>14</xdr:row>
      <xdr:rowOff>27904</xdr:rowOff>
    </xdr:from>
    <xdr:to>
      <xdr:col>21</xdr:col>
      <xdr:colOff>44450</xdr:colOff>
      <xdr:row>14</xdr:row>
      <xdr:rowOff>130945</xdr:rowOff>
    </xdr:to>
    <xdr:cxnSp macro="">
      <xdr:nvCxnSpPr>
        <xdr:cNvPr id="1610" name="SCHEMA_T01_COND_0138">
          <a:extLst>
            <a:ext uri="{FF2B5EF4-FFF2-40B4-BE49-F238E27FC236}">
              <a16:creationId xmlns:a16="http://schemas.microsoft.com/office/drawing/2014/main" id="{EBFC891F-ADE1-5C4B-59CC-296CE633BE2D}"/>
            </a:ext>
          </a:extLst>
        </xdr:cNvPr>
        <xdr:cNvCxnSpPr/>
      </xdr:nvCxnSpPr>
      <xdr:spPr>
        <a:xfrm flipV="1">
          <a:off x="9086850" y="4345904"/>
          <a:ext cx="254000" cy="103041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44450</xdr:colOff>
      <xdr:row>15</xdr:row>
      <xdr:rowOff>477</xdr:rowOff>
    </xdr:from>
    <xdr:to>
      <xdr:col>19</xdr:col>
      <xdr:colOff>298450</xdr:colOff>
      <xdr:row>15</xdr:row>
      <xdr:rowOff>66769</xdr:rowOff>
    </xdr:to>
    <xdr:cxnSp macro="">
      <xdr:nvCxnSpPr>
        <xdr:cNvPr id="1611" name="SCHEMA_T01_COND_0139">
          <a:extLst>
            <a:ext uri="{FF2B5EF4-FFF2-40B4-BE49-F238E27FC236}">
              <a16:creationId xmlns:a16="http://schemas.microsoft.com/office/drawing/2014/main" id="{8AFA37C4-499D-D642-D275-3A372EBC9063}"/>
            </a:ext>
          </a:extLst>
        </xdr:cNvPr>
        <xdr:cNvCxnSpPr/>
      </xdr:nvCxnSpPr>
      <xdr:spPr>
        <a:xfrm>
          <a:off x="8578850" y="4566127"/>
          <a:ext cx="254000" cy="6629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298450</xdr:colOff>
      <xdr:row>15</xdr:row>
      <xdr:rowOff>48395</xdr:rowOff>
    </xdr:from>
    <xdr:to>
      <xdr:col>20</xdr:col>
      <xdr:colOff>171450</xdr:colOff>
      <xdr:row>15</xdr:row>
      <xdr:rowOff>66769</xdr:rowOff>
    </xdr:to>
    <xdr:cxnSp macro="">
      <xdr:nvCxnSpPr>
        <xdr:cNvPr id="1612" name="SCHEMA_T01_COND_0140">
          <a:extLst>
            <a:ext uri="{FF2B5EF4-FFF2-40B4-BE49-F238E27FC236}">
              <a16:creationId xmlns:a16="http://schemas.microsoft.com/office/drawing/2014/main" id="{F34D1255-4716-6C15-5D7A-372BE81C80A6}"/>
            </a:ext>
          </a:extLst>
        </xdr:cNvPr>
        <xdr:cNvCxnSpPr/>
      </xdr:nvCxnSpPr>
      <xdr:spPr>
        <a:xfrm flipV="1">
          <a:off x="8832850" y="4614045"/>
          <a:ext cx="254000" cy="18374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171450</xdr:colOff>
      <xdr:row>14</xdr:row>
      <xdr:rowOff>193004</xdr:rowOff>
    </xdr:from>
    <xdr:to>
      <xdr:col>21</xdr:col>
      <xdr:colOff>44450</xdr:colOff>
      <xdr:row>15</xdr:row>
      <xdr:rowOff>48395</xdr:rowOff>
    </xdr:to>
    <xdr:cxnSp macro="">
      <xdr:nvCxnSpPr>
        <xdr:cNvPr id="1613" name="SCHEMA_T01_COND_0141">
          <a:extLst>
            <a:ext uri="{FF2B5EF4-FFF2-40B4-BE49-F238E27FC236}">
              <a16:creationId xmlns:a16="http://schemas.microsoft.com/office/drawing/2014/main" id="{108BB07D-401E-57B0-F2D0-84654907AD3C}"/>
            </a:ext>
          </a:extLst>
        </xdr:cNvPr>
        <xdr:cNvCxnSpPr/>
      </xdr:nvCxnSpPr>
      <xdr:spPr>
        <a:xfrm flipV="1">
          <a:off x="9086850" y="4511004"/>
          <a:ext cx="254000" cy="10304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44450</xdr:colOff>
      <xdr:row>15</xdr:row>
      <xdr:rowOff>102077</xdr:rowOff>
    </xdr:from>
    <xdr:to>
      <xdr:col>19</xdr:col>
      <xdr:colOff>298450</xdr:colOff>
      <xdr:row>15</xdr:row>
      <xdr:rowOff>168369</xdr:rowOff>
    </xdr:to>
    <xdr:cxnSp macro="">
      <xdr:nvCxnSpPr>
        <xdr:cNvPr id="1614" name="SCHEMA_T01_COND_0142">
          <a:extLst>
            <a:ext uri="{FF2B5EF4-FFF2-40B4-BE49-F238E27FC236}">
              <a16:creationId xmlns:a16="http://schemas.microsoft.com/office/drawing/2014/main" id="{F38861AC-1BE2-208F-194F-A88747644C0E}"/>
            </a:ext>
          </a:extLst>
        </xdr:cNvPr>
        <xdr:cNvCxnSpPr/>
      </xdr:nvCxnSpPr>
      <xdr:spPr>
        <a:xfrm>
          <a:off x="8578850" y="4667727"/>
          <a:ext cx="254000" cy="6629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298450</xdr:colOff>
      <xdr:row>15</xdr:row>
      <xdr:rowOff>149995</xdr:rowOff>
    </xdr:from>
    <xdr:to>
      <xdr:col>20</xdr:col>
      <xdr:colOff>171450</xdr:colOff>
      <xdr:row>15</xdr:row>
      <xdr:rowOff>168369</xdr:rowOff>
    </xdr:to>
    <xdr:cxnSp macro="">
      <xdr:nvCxnSpPr>
        <xdr:cNvPr id="1615" name="SCHEMA_T01_COND_0143">
          <a:extLst>
            <a:ext uri="{FF2B5EF4-FFF2-40B4-BE49-F238E27FC236}">
              <a16:creationId xmlns:a16="http://schemas.microsoft.com/office/drawing/2014/main" id="{3D590652-C77D-EEC2-E0E0-469FA9C5A7F9}"/>
            </a:ext>
          </a:extLst>
        </xdr:cNvPr>
        <xdr:cNvCxnSpPr/>
      </xdr:nvCxnSpPr>
      <xdr:spPr>
        <a:xfrm flipV="1">
          <a:off x="8832850" y="4715645"/>
          <a:ext cx="254000" cy="18374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171450</xdr:colOff>
      <xdr:row>15</xdr:row>
      <xdr:rowOff>46954</xdr:rowOff>
    </xdr:from>
    <xdr:to>
      <xdr:col>21</xdr:col>
      <xdr:colOff>44450</xdr:colOff>
      <xdr:row>15</xdr:row>
      <xdr:rowOff>149995</xdr:rowOff>
    </xdr:to>
    <xdr:cxnSp macro="">
      <xdr:nvCxnSpPr>
        <xdr:cNvPr id="1616" name="SCHEMA_T01_COND_0144">
          <a:extLst>
            <a:ext uri="{FF2B5EF4-FFF2-40B4-BE49-F238E27FC236}">
              <a16:creationId xmlns:a16="http://schemas.microsoft.com/office/drawing/2014/main" id="{B7149865-A293-7B82-C387-236E152BB18B}"/>
            </a:ext>
          </a:extLst>
        </xdr:cNvPr>
        <xdr:cNvCxnSpPr/>
      </xdr:nvCxnSpPr>
      <xdr:spPr>
        <a:xfrm flipV="1">
          <a:off x="9086850" y="4612604"/>
          <a:ext cx="254000" cy="10304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44450</xdr:colOff>
      <xdr:row>16</xdr:row>
      <xdr:rowOff>6827</xdr:rowOff>
    </xdr:from>
    <xdr:to>
      <xdr:col>19</xdr:col>
      <xdr:colOff>298450</xdr:colOff>
      <xdr:row>16</xdr:row>
      <xdr:rowOff>73119</xdr:rowOff>
    </xdr:to>
    <xdr:cxnSp macro="">
      <xdr:nvCxnSpPr>
        <xdr:cNvPr id="1617" name="SCHEMA_T01_COND_0145">
          <a:extLst>
            <a:ext uri="{FF2B5EF4-FFF2-40B4-BE49-F238E27FC236}">
              <a16:creationId xmlns:a16="http://schemas.microsoft.com/office/drawing/2014/main" id="{C8A4BD88-2A95-01CF-3B78-B498E560BAEE}"/>
            </a:ext>
          </a:extLst>
        </xdr:cNvPr>
        <xdr:cNvCxnSpPr/>
      </xdr:nvCxnSpPr>
      <xdr:spPr>
        <a:xfrm>
          <a:off x="8578850" y="4820127"/>
          <a:ext cx="254000" cy="6629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298450</xdr:colOff>
      <xdr:row>16</xdr:row>
      <xdr:rowOff>54745</xdr:rowOff>
    </xdr:from>
    <xdr:to>
      <xdr:col>20</xdr:col>
      <xdr:colOff>171450</xdr:colOff>
      <xdr:row>16</xdr:row>
      <xdr:rowOff>73119</xdr:rowOff>
    </xdr:to>
    <xdr:cxnSp macro="">
      <xdr:nvCxnSpPr>
        <xdr:cNvPr id="1618" name="SCHEMA_T01_COND_0146">
          <a:extLst>
            <a:ext uri="{FF2B5EF4-FFF2-40B4-BE49-F238E27FC236}">
              <a16:creationId xmlns:a16="http://schemas.microsoft.com/office/drawing/2014/main" id="{8369CB34-8648-D5BB-41C1-DD25A715C62B}"/>
            </a:ext>
          </a:extLst>
        </xdr:cNvPr>
        <xdr:cNvCxnSpPr/>
      </xdr:nvCxnSpPr>
      <xdr:spPr>
        <a:xfrm flipV="1">
          <a:off x="8832850" y="4868045"/>
          <a:ext cx="254000" cy="18374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171450</xdr:colOff>
      <xdr:row>15</xdr:row>
      <xdr:rowOff>199354</xdr:rowOff>
    </xdr:from>
    <xdr:to>
      <xdr:col>21</xdr:col>
      <xdr:colOff>44450</xdr:colOff>
      <xdr:row>16</xdr:row>
      <xdr:rowOff>54745</xdr:rowOff>
    </xdr:to>
    <xdr:cxnSp macro="">
      <xdr:nvCxnSpPr>
        <xdr:cNvPr id="1619" name="SCHEMA_T01_COND_0147">
          <a:extLst>
            <a:ext uri="{FF2B5EF4-FFF2-40B4-BE49-F238E27FC236}">
              <a16:creationId xmlns:a16="http://schemas.microsoft.com/office/drawing/2014/main" id="{D34EB6F9-E04E-4D08-298D-6FCEFB9706BD}"/>
            </a:ext>
          </a:extLst>
        </xdr:cNvPr>
        <xdr:cNvCxnSpPr/>
      </xdr:nvCxnSpPr>
      <xdr:spPr>
        <a:xfrm flipV="1">
          <a:off x="9086850" y="4765004"/>
          <a:ext cx="254000" cy="10304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44450</xdr:colOff>
      <xdr:row>16</xdr:row>
      <xdr:rowOff>108427</xdr:rowOff>
    </xdr:from>
    <xdr:to>
      <xdr:col>19</xdr:col>
      <xdr:colOff>298450</xdr:colOff>
      <xdr:row>16</xdr:row>
      <xdr:rowOff>174719</xdr:rowOff>
    </xdr:to>
    <xdr:cxnSp macro="">
      <xdr:nvCxnSpPr>
        <xdr:cNvPr id="1620" name="SCHEMA_T01_COND_0148">
          <a:extLst>
            <a:ext uri="{FF2B5EF4-FFF2-40B4-BE49-F238E27FC236}">
              <a16:creationId xmlns:a16="http://schemas.microsoft.com/office/drawing/2014/main" id="{DB211661-AA6B-0C64-E0E7-3382C1802A0A}"/>
            </a:ext>
          </a:extLst>
        </xdr:cNvPr>
        <xdr:cNvCxnSpPr/>
      </xdr:nvCxnSpPr>
      <xdr:spPr>
        <a:xfrm>
          <a:off x="8578850" y="4921727"/>
          <a:ext cx="254000" cy="6629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298450</xdr:colOff>
      <xdr:row>16</xdr:row>
      <xdr:rowOff>156345</xdr:rowOff>
    </xdr:from>
    <xdr:to>
      <xdr:col>20</xdr:col>
      <xdr:colOff>171450</xdr:colOff>
      <xdr:row>16</xdr:row>
      <xdr:rowOff>174719</xdr:rowOff>
    </xdr:to>
    <xdr:cxnSp macro="">
      <xdr:nvCxnSpPr>
        <xdr:cNvPr id="1621" name="SCHEMA_T01_COND_0149">
          <a:extLst>
            <a:ext uri="{FF2B5EF4-FFF2-40B4-BE49-F238E27FC236}">
              <a16:creationId xmlns:a16="http://schemas.microsoft.com/office/drawing/2014/main" id="{E8E3C5CD-9377-E551-3CF1-381718652C0D}"/>
            </a:ext>
          </a:extLst>
        </xdr:cNvPr>
        <xdr:cNvCxnSpPr/>
      </xdr:nvCxnSpPr>
      <xdr:spPr>
        <a:xfrm flipV="1">
          <a:off x="8832850" y="4969645"/>
          <a:ext cx="254000" cy="18374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171450</xdr:colOff>
      <xdr:row>16</xdr:row>
      <xdr:rowOff>53304</xdr:rowOff>
    </xdr:from>
    <xdr:to>
      <xdr:col>21</xdr:col>
      <xdr:colOff>44450</xdr:colOff>
      <xdr:row>16</xdr:row>
      <xdr:rowOff>156345</xdr:rowOff>
    </xdr:to>
    <xdr:cxnSp macro="">
      <xdr:nvCxnSpPr>
        <xdr:cNvPr id="1622" name="SCHEMA_T01_COND_0150">
          <a:extLst>
            <a:ext uri="{FF2B5EF4-FFF2-40B4-BE49-F238E27FC236}">
              <a16:creationId xmlns:a16="http://schemas.microsoft.com/office/drawing/2014/main" id="{28187D4A-2484-44D7-1B41-623837157670}"/>
            </a:ext>
          </a:extLst>
        </xdr:cNvPr>
        <xdr:cNvCxnSpPr/>
      </xdr:nvCxnSpPr>
      <xdr:spPr>
        <a:xfrm flipV="1">
          <a:off x="9086850" y="4866604"/>
          <a:ext cx="254000" cy="10304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44450</xdr:colOff>
      <xdr:row>14</xdr:row>
      <xdr:rowOff>27904</xdr:rowOff>
    </xdr:from>
    <xdr:to>
      <xdr:col>21</xdr:col>
      <xdr:colOff>298450</xdr:colOff>
      <xdr:row>14</xdr:row>
      <xdr:rowOff>193942</xdr:rowOff>
    </xdr:to>
    <xdr:cxnSp macro="">
      <xdr:nvCxnSpPr>
        <xdr:cNvPr id="1623" name="SCHEMA_T01_COND_0151">
          <a:extLst>
            <a:ext uri="{FF2B5EF4-FFF2-40B4-BE49-F238E27FC236}">
              <a16:creationId xmlns:a16="http://schemas.microsoft.com/office/drawing/2014/main" id="{E0956647-790E-0213-4FEA-6973D58AED5D}"/>
            </a:ext>
          </a:extLst>
        </xdr:cNvPr>
        <xdr:cNvCxnSpPr/>
      </xdr:nvCxnSpPr>
      <xdr:spPr>
        <a:xfrm>
          <a:off x="9340850" y="4345904"/>
          <a:ext cx="254000" cy="166038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298450</xdr:colOff>
      <xdr:row>14</xdr:row>
      <xdr:rowOff>193942</xdr:rowOff>
    </xdr:from>
    <xdr:to>
      <xdr:col>22</xdr:col>
      <xdr:colOff>171450</xdr:colOff>
      <xdr:row>15</xdr:row>
      <xdr:rowOff>27664</xdr:rowOff>
    </xdr:to>
    <xdr:cxnSp macro="">
      <xdr:nvCxnSpPr>
        <xdr:cNvPr id="1624" name="SCHEMA_T01_COND_0152">
          <a:extLst>
            <a:ext uri="{FF2B5EF4-FFF2-40B4-BE49-F238E27FC236}">
              <a16:creationId xmlns:a16="http://schemas.microsoft.com/office/drawing/2014/main" id="{36565176-E019-5E59-D037-7266C77A3B63}"/>
            </a:ext>
          </a:extLst>
        </xdr:cNvPr>
        <xdr:cNvCxnSpPr/>
      </xdr:nvCxnSpPr>
      <xdr:spPr>
        <a:xfrm>
          <a:off x="9594850" y="4511942"/>
          <a:ext cx="254000" cy="81372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171450</xdr:colOff>
      <xdr:row>15</xdr:row>
      <xdr:rowOff>24369</xdr:rowOff>
    </xdr:from>
    <xdr:to>
      <xdr:col>23</xdr:col>
      <xdr:colOff>44450</xdr:colOff>
      <xdr:row>15</xdr:row>
      <xdr:rowOff>27664</xdr:rowOff>
    </xdr:to>
    <xdr:cxnSp macro="">
      <xdr:nvCxnSpPr>
        <xdr:cNvPr id="1625" name="SCHEMA_T01_COND_0153">
          <a:extLst>
            <a:ext uri="{FF2B5EF4-FFF2-40B4-BE49-F238E27FC236}">
              <a16:creationId xmlns:a16="http://schemas.microsoft.com/office/drawing/2014/main" id="{3E144D08-6263-95B3-BB8A-6B1D49E402F4}"/>
            </a:ext>
          </a:extLst>
        </xdr:cNvPr>
        <xdr:cNvCxnSpPr/>
      </xdr:nvCxnSpPr>
      <xdr:spPr>
        <a:xfrm flipV="1">
          <a:off x="9848850" y="4590019"/>
          <a:ext cx="254000" cy="3295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44450</xdr:colOff>
      <xdr:row>14</xdr:row>
      <xdr:rowOff>193004</xdr:rowOff>
    </xdr:from>
    <xdr:to>
      <xdr:col>21</xdr:col>
      <xdr:colOff>298450</xdr:colOff>
      <xdr:row>15</xdr:row>
      <xdr:rowOff>111392</xdr:rowOff>
    </xdr:to>
    <xdr:cxnSp macro="">
      <xdr:nvCxnSpPr>
        <xdr:cNvPr id="1626" name="SCHEMA_T01_COND_0154">
          <a:extLst>
            <a:ext uri="{FF2B5EF4-FFF2-40B4-BE49-F238E27FC236}">
              <a16:creationId xmlns:a16="http://schemas.microsoft.com/office/drawing/2014/main" id="{267A94B3-4A71-E652-651A-0C850F992FC0}"/>
            </a:ext>
          </a:extLst>
        </xdr:cNvPr>
        <xdr:cNvCxnSpPr/>
      </xdr:nvCxnSpPr>
      <xdr:spPr>
        <a:xfrm>
          <a:off x="9340850" y="4511004"/>
          <a:ext cx="254000" cy="16603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298450</xdr:colOff>
      <xdr:row>15</xdr:row>
      <xdr:rowOff>111392</xdr:rowOff>
    </xdr:from>
    <xdr:to>
      <xdr:col>22</xdr:col>
      <xdr:colOff>171450</xdr:colOff>
      <xdr:row>15</xdr:row>
      <xdr:rowOff>192764</xdr:rowOff>
    </xdr:to>
    <xdr:cxnSp macro="">
      <xdr:nvCxnSpPr>
        <xdr:cNvPr id="1627" name="SCHEMA_T01_COND_0155">
          <a:extLst>
            <a:ext uri="{FF2B5EF4-FFF2-40B4-BE49-F238E27FC236}">
              <a16:creationId xmlns:a16="http://schemas.microsoft.com/office/drawing/2014/main" id="{386A9FB1-F4A0-49F9-69C0-EA5A7F540A02}"/>
            </a:ext>
          </a:extLst>
        </xdr:cNvPr>
        <xdr:cNvCxnSpPr/>
      </xdr:nvCxnSpPr>
      <xdr:spPr>
        <a:xfrm>
          <a:off x="9594850" y="4677042"/>
          <a:ext cx="254000" cy="8137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171450</xdr:colOff>
      <xdr:row>15</xdr:row>
      <xdr:rowOff>189469</xdr:rowOff>
    </xdr:from>
    <xdr:to>
      <xdr:col>23</xdr:col>
      <xdr:colOff>44450</xdr:colOff>
      <xdr:row>15</xdr:row>
      <xdr:rowOff>192764</xdr:rowOff>
    </xdr:to>
    <xdr:cxnSp macro="">
      <xdr:nvCxnSpPr>
        <xdr:cNvPr id="1628" name="SCHEMA_T01_COND_0156">
          <a:extLst>
            <a:ext uri="{FF2B5EF4-FFF2-40B4-BE49-F238E27FC236}">
              <a16:creationId xmlns:a16="http://schemas.microsoft.com/office/drawing/2014/main" id="{73A801B0-049B-4C1E-45A6-3D7856DF37CE}"/>
            </a:ext>
          </a:extLst>
        </xdr:cNvPr>
        <xdr:cNvCxnSpPr/>
      </xdr:nvCxnSpPr>
      <xdr:spPr>
        <a:xfrm flipV="1">
          <a:off x="9848850" y="4755119"/>
          <a:ext cx="254000" cy="329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44450</xdr:colOff>
      <xdr:row>15</xdr:row>
      <xdr:rowOff>46954</xdr:rowOff>
    </xdr:from>
    <xdr:to>
      <xdr:col>21</xdr:col>
      <xdr:colOff>298450</xdr:colOff>
      <xdr:row>15</xdr:row>
      <xdr:rowOff>212992</xdr:rowOff>
    </xdr:to>
    <xdr:cxnSp macro="">
      <xdr:nvCxnSpPr>
        <xdr:cNvPr id="1629" name="SCHEMA_T01_COND_0157">
          <a:extLst>
            <a:ext uri="{FF2B5EF4-FFF2-40B4-BE49-F238E27FC236}">
              <a16:creationId xmlns:a16="http://schemas.microsoft.com/office/drawing/2014/main" id="{93931CF1-B7EC-9F5F-769C-E9985E50E655}"/>
            </a:ext>
          </a:extLst>
        </xdr:cNvPr>
        <xdr:cNvCxnSpPr/>
      </xdr:nvCxnSpPr>
      <xdr:spPr>
        <a:xfrm>
          <a:off x="9340850" y="4612604"/>
          <a:ext cx="254000" cy="16603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298450</xdr:colOff>
      <xdr:row>15</xdr:row>
      <xdr:rowOff>212992</xdr:rowOff>
    </xdr:from>
    <xdr:to>
      <xdr:col>22</xdr:col>
      <xdr:colOff>171450</xdr:colOff>
      <xdr:row>16</xdr:row>
      <xdr:rowOff>46714</xdr:rowOff>
    </xdr:to>
    <xdr:cxnSp macro="">
      <xdr:nvCxnSpPr>
        <xdr:cNvPr id="1630" name="SCHEMA_T01_COND_0158">
          <a:extLst>
            <a:ext uri="{FF2B5EF4-FFF2-40B4-BE49-F238E27FC236}">
              <a16:creationId xmlns:a16="http://schemas.microsoft.com/office/drawing/2014/main" id="{4E66EC3A-7A88-C81B-1353-992873C8D1A9}"/>
            </a:ext>
          </a:extLst>
        </xdr:cNvPr>
        <xdr:cNvCxnSpPr/>
      </xdr:nvCxnSpPr>
      <xdr:spPr>
        <a:xfrm>
          <a:off x="9594850" y="4778642"/>
          <a:ext cx="254000" cy="8137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171450</xdr:colOff>
      <xdr:row>16</xdr:row>
      <xdr:rowOff>43419</xdr:rowOff>
    </xdr:from>
    <xdr:to>
      <xdr:col>23</xdr:col>
      <xdr:colOff>44450</xdr:colOff>
      <xdr:row>16</xdr:row>
      <xdr:rowOff>46714</xdr:rowOff>
    </xdr:to>
    <xdr:cxnSp macro="">
      <xdr:nvCxnSpPr>
        <xdr:cNvPr id="1631" name="SCHEMA_T01_COND_0159">
          <a:extLst>
            <a:ext uri="{FF2B5EF4-FFF2-40B4-BE49-F238E27FC236}">
              <a16:creationId xmlns:a16="http://schemas.microsoft.com/office/drawing/2014/main" id="{3F475E73-EA8C-A1EC-EE0D-42DFD362E82D}"/>
            </a:ext>
          </a:extLst>
        </xdr:cNvPr>
        <xdr:cNvCxnSpPr/>
      </xdr:nvCxnSpPr>
      <xdr:spPr>
        <a:xfrm flipV="1">
          <a:off x="9848850" y="4856719"/>
          <a:ext cx="254000" cy="329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44450</xdr:colOff>
      <xdr:row>15</xdr:row>
      <xdr:rowOff>199354</xdr:rowOff>
    </xdr:from>
    <xdr:to>
      <xdr:col>21</xdr:col>
      <xdr:colOff>298450</xdr:colOff>
      <xdr:row>16</xdr:row>
      <xdr:rowOff>117742</xdr:rowOff>
    </xdr:to>
    <xdr:cxnSp macro="">
      <xdr:nvCxnSpPr>
        <xdr:cNvPr id="1632" name="SCHEMA_T01_COND_0160">
          <a:extLst>
            <a:ext uri="{FF2B5EF4-FFF2-40B4-BE49-F238E27FC236}">
              <a16:creationId xmlns:a16="http://schemas.microsoft.com/office/drawing/2014/main" id="{F2351426-DCDB-6E3E-4F4E-B2383AEC4D4A}"/>
            </a:ext>
          </a:extLst>
        </xdr:cNvPr>
        <xdr:cNvCxnSpPr/>
      </xdr:nvCxnSpPr>
      <xdr:spPr>
        <a:xfrm>
          <a:off x="9340850" y="4765004"/>
          <a:ext cx="254000" cy="16603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298450</xdr:colOff>
      <xdr:row>16</xdr:row>
      <xdr:rowOff>117742</xdr:rowOff>
    </xdr:from>
    <xdr:to>
      <xdr:col>22</xdr:col>
      <xdr:colOff>171450</xdr:colOff>
      <xdr:row>16</xdr:row>
      <xdr:rowOff>199114</xdr:rowOff>
    </xdr:to>
    <xdr:cxnSp macro="">
      <xdr:nvCxnSpPr>
        <xdr:cNvPr id="1633" name="SCHEMA_T01_COND_0161">
          <a:extLst>
            <a:ext uri="{FF2B5EF4-FFF2-40B4-BE49-F238E27FC236}">
              <a16:creationId xmlns:a16="http://schemas.microsoft.com/office/drawing/2014/main" id="{85D210E8-9735-7F96-D502-40A273EC8D0D}"/>
            </a:ext>
          </a:extLst>
        </xdr:cNvPr>
        <xdr:cNvCxnSpPr/>
      </xdr:nvCxnSpPr>
      <xdr:spPr>
        <a:xfrm>
          <a:off x="9594850" y="4931042"/>
          <a:ext cx="254000" cy="8137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171450</xdr:colOff>
      <xdr:row>16</xdr:row>
      <xdr:rowOff>195819</xdr:rowOff>
    </xdr:from>
    <xdr:to>
      <xdr:col>23</xdr:col>
      <xdr:colOff>44450</xdr:colOff>
      <xdr:row>16</xdr:row>
      <xdr:rowOff>199114</xdr:rowOff>
    </xdr:to>
    <xdr:cxnSp macro="">
      <xdr:nvCxnSpPr>
        <xdr:cNvPr id="1634" name="SCHEMA_T01_COND_0162">
          <a:extLst>
            <a:ext uri="{FF2B5EF4-FFF2-40B4-BE49-F238E27FC236}">
              <a16:creationId xmlns:a16="http://schemas.microsoft.com/office/drawing/2014/main" id="{88386C27-69B4-333D-FEEC-429691138F64}"/>
            </a:ext>
          </a:extLst>
        </xdr:cNvPr>
        <xdr:cNvCxnSpPr/>
      </xdr:nvCxnSpPr>
      <xdr:spPr>
        <a:xfrm flipV="1">
          <a:off x="9848850" y="5009119"/>
          <a:ext cx="254000" cy="329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44450</xdr:colOff>
      <xdr:row>16</xdr:row>
      <xdr:rowOff>53304</xdr:rowOff>
    </xdr:from>
    <xdr:to>
      <xdr:col>21</xdr:col>
      <xdr:colOff>298450</xdr:colOff>
      <xdr:row>16</xdr:row>
      <xdr:rowOff>219342</xdr:rowOff>
    </xdr:to>
    <xdr:cxnSp macro="">
      <xdr:nvCxnSpPr>
        <xdr:cNvPr id="1635" name="SCHEMA_T01_COND_0163">
          <a:extLst>
            <a:ext uri="{FF2B5EF4-FFF2-40B4-BE49-F238E27FC236}">
              <a16:creationId xmlns:a16="http://schemas.microsoft.com/office/drawing/2014/main" id="{5271F290-5F6B-7568-9E90-D3A32BDD2CD9}"/>
            </a:ext>
          </a:extLst>
        </xdr:cNvPr>
        <xdr:cNvCxnSpPr/>
      </xdr:nvCxnSpPr>
      <xdr:spPr>
        <a:xfrm>
          <a:off x="9340850" y="4866604"/>
          <a:ext cx="254000" cy="16603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298450</xdr:colOff>
      <xdr:row>16</xdr:row>
      <xdr:rowOff>219342</xdr:rowOff>
    </xdr:from>
    <xdr:to>
      <xdr:col>22</xdr:col>
      <xdr:colOff>171450</xdr:colOff>
      <xdr:row>17</xdr:row>
      <xdr:rowOff>53064</xdr:rowOff>
    </xdr:to>
    <xdr:cxnSp macro="">
      <xdr:nvCxnSpPr>
        <xdr:cNvPr id="1636" name="SCHEMA_T01_COND_0164">
          <a:extLst>
            <a:ext uri="{FF2B5EF4-FFF2-40B4-BE49-F238E27FC236}">
              <a16:creationId xmlns:a16="http://schemas.microsoft.com/office/drawing/2014/main" id="{E8FF6516-2F06-1C8D-C76F-8A5B0B5D498A}"/>
            </a:ext>
          </a:extLst>
        </xdr:cNvPr>
        <xdr:cNvCxnSpPr/>
      </xdr:nvCxnSpPr>
      <xdr:spPr>
        <a:xfrm>
          <a:off x="9594850" y="5032642"/>
          <a:ext cx="254000" cy="8137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171450</xdr:colOff>
      <xdr:row>17</xdr:row>
      <xdr:rowOff>49769</xdr:rowOff>
    </xdr:from>
    <xdr:to>
      <xdr:col>23</xdr:col>
      <xdr:colOff>44450</xdr:colOff>
      <xdr:row>17</xdr:row>
      <xdr:rowOff>53064</xdr:rowOff>
    </xdr:to>
    <xdr:cxnSp macro="">
      <xdr:nvCxnSpPr>
        <xdr:cNvPr id="1637" name="SCHEMA_T01_COND_0165">
          <a:extLst>
            <a:ext uri="{FF2B5EF4-FFF2-40B4-BE49-F238E27FC236}">
              <a16:creationId xmlns:a16="http://schemas.microsoft.com/office/drawing/2014/main" id="{0F7FBE96-1F08-CBC7-1FD2-2FAFDB633779}"/>
            </a:ext>
          </a:extLst>
        </xdr:cNvPr>
        <xdr:cNvCxnSpPr/>
      </xdr:nvCxnSpPr>
      <xdr:spPr>
        <a:xfrm flipV="1">
          <a:off x="9848850" y="5110719"/>
          <a:ext cx="254000" cy="329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6350</xdr:colOff>
      <xdr:row>25</xdr:row>
      <xdr:rowOff>3175</xdr:rowOff>
    </xdr:from>
    <xdr:to>
      <xdr:col>22</xdr:col>
      <xdr:colOff>82550</xdr:colOff>
      <xdr:row>25</xdr:row>
      <xdr:rowOff>79375</xdr:rowOff>
    </xdr:to>
    <xdr:sp macro="" textlink="">
      <xdr:nvSpPr>
        <xdr:cNvPr id="1638" name="SCHEMA_T01_ATTRAV_11">
          <a:extLst>
            <a:ext uri="{FF2B5EF4-FFF2-40B4-BE49-F238E27FC236}">
              <a16:creationId xmlns:a16="http://schemas.microsoft.com/office/drawing/2014/main" id="{21E979DB-9687-5313-E457-58F9F149BEB7}"/>
            </a:ext>
          </a:extLst>
        </xdr:cNvPr>
        <xdr:cNvSpPr/>
      </xdr:nvSpPr>
      <xdr:spPr>
        <a:xfrm>
          <a:off x="9683750" y="7045325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23</xdr:col>
      <xdr:colOff>44450</xdr:colOff>
      <xdr:row>15</xdr:row>
      <xdr:rowOff>24369</xdr:rowOff>
    </xdr:from>
    <xdr:to>
      <xdr:col>23</xdr:col>
      <xdr:colOff>298450</xdr:colOff>
      <xdr:row>15</xdr:row>
      <xdr:rowOff>122160</xdr:rowOff>
    </xdr:to>
    <xdr:cxnSp macro="">
      <xdr:nvCxnSpPr>
        <xdr:cNvPr id="1639" name="SCHEMA_T01_COND_0166">
          <a:extLst>
            <a:ext uri="{FF2B5EF4-FFF2-40B4-BE49-F238E27FC236}">
              <a16:creationId xmlns:a16="http://schemas.microsoft.com/office/drawing/2014/main" id="{AB9A0BD9-E0EB-BFE0-A689-33F4D2E1A093}"/>
            </a:ext>
          </a:extLst>
        </xdr:cNvPr>
        <xdr:cNvCxnSpPr/>
      </xdr:nvCxnSpPr>
      <xdr:spPr>
        <a:xfrm>
          <a:off x="10102850" y="4590019"/>
          <a:ext cx="254000" cy="97791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298450</xdr:colOff>
      <xdr:row>15</xdr:row>
      <xdr:rowOff>122160</xdr:rowOff>
    </xdr:from>
    <xdr:to>
      <xdr:col>24</xdr:col>
      <xdr:colOff>171450</xdr:colOff>
      <xdr:row>15</xdr:row>
      <xdr:rowOff>135284</xdr:rowOff>
    </xdr:to>
    <xdr:cxnSp macro="">
      <xdr:nvCxnSpPr>
        <xdr:cNvPr id="1640" name="SCHEMA_T01_COND_0167">
          <a:extLst>
            <a:ext uri="{FF2B5EF4-FFF2-40B4-BE49-F238E27FC236}">
              <a16:creationId xmlns:a16="http://schemas.microsoft.com/office/drawing/2014/main" id="{146353EA-6825-E5FF-ADE3-52196E382ACB}"/>
            </a:ext>
          </a:extLst>
        </xdr:cNvPr>
        <xdr:cNvCxnSpPr/>
      </xdr:nvCxnSpPr>
      <xdr:spPr>
        <a:xfrm>
          <a:off x="10356850" y="4687810"/>
          <a:ext cx="254000" cy="13124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171450</xdr:colOff>
      <xdr:row>15</xdr:row>
      <xdr:rowOff>63742</xdr:rowOff>
    </xdr:from>
    <xdr:to>
      <xdr:col>25</xdr:col>
      <xdr:colOff>44450</xdr:colOff>
      <xdr:row>15</xdr:row>
      <xdr:rowOff>135284</xdr:rowOff>
    </xdr:to>
    <xdr:cxnSp macro="">
      <xdr:nvCxnSpPr>
        <xdr:cNvPr id="1641" name="SCHEMA_T01_COND_0168">
          <a:extLst>
            <a:ext uri="{FF2B5EF4-FFF2-40B4-BE49-F238E27FC236}">
              <a16:creationId xmlns:a16="http://schemas.microsoft.com/office/drawing/2014/main" id="{38C19E1B-B80B-DF40-3CBA-D0D707FA5F05}"/>
            </a:ext>
          </a:extLst>
        </xdr:cNvPr>
        <xdr:cNvCxnSpPr/>
      </xdr:nvCxnSpPr>
      <xdr:spPr>
        <a:xfrm flipV="1">
          <a:off x="10610850" y="4629392"/>
          <a:ext cx="254000" cy="71542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44450</xdr:colOff>
      <xdr:row>15</xdr:row>
      <xdr:rowOff>189469</xdr:rowOff>
    </xdr:from>
    <xdr:to>
      <xdr:col>23</xdr:col>
      <xdr:colOff>298450</xdr:colOff>
      <xdr:row>16</xdr:row>
      <xdr:rowOff>39610</xdr:rowOff>
    </xdr:to>
    <xdr:cxnSp macro="">
      <xdr:nvCxnSpPr>
        <xdr:cNvPr id="1642" name="SCHEMA_T01_COND_0169">
          <a:extLst>
            <a:ext uri="{FF2B5EF4-FFF2-40B4-BE49-F238E27FC236}">
              <a16:creationId xmlns:a16="http://schemas.microsoft.com/office/drawing/2014/main" id="{7D91D940-FC27-B81A-46F3-755C19A407E9}"/>
            </a:ext>
          </a:extLst>
        </xdr:cNvPr>
        <xdr:cNvCxnSpPr/>
      </xdr:nvCxnSpPr>
      <xdr:spPr>
        <a:xfrm>
          <a:off x="10102850" y="4755119"/>
          <a:ext cx="254000" cy="9779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298450</xdr:colOff>
      <xdr:row>16</xdr:row>
      <xdr:rowOff>39610</xdr:rowOff>
    </xdr:from>
    <xdr:to>
      <xdr:col>24</xdr:col>
      <xdr:colOff>171450</xdr:colOff>
      <xdr:row>16</xdr:row>
      <xdr:rowOff>52734</xdr:rowOff>
    </xdr:to>
    <xdr:cxnSp macro="">
      <xdr:nvCxnSpPr>
        <xdr:cNvPr id="1643" name="SCHEMA_T01_COND_0170">
          <a:extLst>
            <a:ext uri="{FF2B5EF4-FFF2-40B4-BE49-F238E27FC236}">
              <a16:creationId xmlns:a16="http://schemas.microsoft.com/office/drawing/2014/main" id="{3858C5FD-EC91-6F1D-CBCC-B650A04128CA}"/>
            </a:ext>
          </a:extLst>
        </xdr:cNvPr>
        <xdr:cNvCxnSpPr/>
      </xdr:nvCxnSpPr>
      <xdr:spPr>
        <a:xfrm>
          <a:off x="10356850" y="4852910"/>
          <a:ext cx="254000" cy="13124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171450</xdr:colOff>
      <xdr:row>15</xdr:row>
      <xdr:rowOff>228842</xdr:rowOff>
    </xdr:from>
    <xdr:to>
      <xdr:col>25</xdr:col>
      <xdr:colOff>44450</xdr:colOff>
      <xdr:row>16</xdr:row>
      <xdr:rowOff>52734</xdr:rowOff>
    </xdr:to>
    <xdr:cxnSp macro="">
      <xdr:nvCxnSpPr>
        <xdr:cNvPr id="1644" name="SCHEMA_T01_COND_0171">
          <a:extLst>
            <a:ext uri="{FF2B5EF4-FFF2-40B4-BE49-F238E27FC236}">
              <a16:creationId xmlns:a16="http://schemas.microsoft.com/office/drawing/2014/main" id="{4CA8FC0C-DFB0-D013-F523-0EAD0F43F56F}"/>
            </a:ext>
          </a:extLst>
        </xdr:cNvPr>
        <xdr:cNvCxnSpPr/>
      </xdr:nvCxnSpPr>
      <xdr:spPr>
        <a:xfrm flipV="1">
          <a:off x="10610850" y="4794492"/>
          <a:ext cx="254000" cy="7154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44450</xdr:colOff>
      <xdr:row>16</xdr:row>
      <xdr:rowOff>43419</xdr:rowOff>
    </xdr:from>
    <xdr:to>
      <xdr:col>23</xdr:col>
      <xdr:colOff>298450</xdr:colOff>
      <xdr:row>16</xdr:row>
      <xdr:rowOff>141210</xdr:rowOff>
    </xdr:to>
    <xdr:cxnSp macro="">
      <xdr:nvCxnSpPr>
        <xdr:cNvPr id="1645" name="SCHEMA_T01_COND_0172">
          <a:extLst>
            <a:ext uri="{FF2B5EF4-FFF2-40B4-BE49-F238E27FC236}">
              <a16:creationId xmlns:a16="http://schemas.microsoft.com/office/drawing/2014/main" id="{97846F17-1672-1B18-DDC9-F240F74A1D35}"/>
            </a:ext>
          </a:extLst>
        </xdr:cNvPr>
        <xdr:cNvCxnSpPr/>
      </xdr:nvCxnSpPr>
      <xdr:spPr>
        <a:xfrm>
          <a:off x="10102850" y="4856719"/>
          <a:ext cx="254000" cy="9779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298450</xdr:colOff>
      <xdr:row>16</xdr:row>
      <xdr:rowOff>141210</xdr:rowOff>
    </xdr:from>
    <xdr:to>
      <xdr:col>24</xdr:col>
      <xdr:colOff>171450</xdr:colOff>
      <xdr:row>16</xdr:row>
      <xdr:rowOff>154334</xdr:rowOff>
    </xdr:to>
    <xdr:cxnSp macro="">
      <xdr:nvCxnSpPr>
        <xdr:cNvPr id="1646" name="SCHEMA_T01_COND_0173">
          <a:extLst>
            <a:ext uri="{FF2B5EF4-FFF2-40B4-BE49-F238E27FC236}">
              <a16:creationId xmlns:a16="http://schemas.microsoft.com/office/drawing/2014/main" id="{44F20D56-9CCC-8BA7-72B5-5234CD90F001}"/>
            </a:ext>
          </a:extLst>
        </xdr:cNvPr>
        <xdr:cNvCxnSpPr/>
      </xdr:nvCxnSpPr>
      <xdr:spPr>
        <a:xfrm>
          <a:off x="10356850" y="4954510"/>
          <a:ext cx="254000" cy="13124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171450</xdr:colOff>
      <xdr:row>16</xdr:row>
      <xdr:rowOff>82792</xdr:rowOff>
    </xdr:from>
    <xdr:to>
      <xdr:col>25</xdr:col>
      <xdr:colOff>44450</xdr:colOff>
      <xdr:row>16</xdr:row>
      <xdr:rowOff>154334</xdr:rowOff>
    </xdr:to>
    <xdr:cxnSp macro="">
      <xdr:nvCxnSpPr>
        <xdr:cNvPr id="1647" name="SCHEMA_T01_COND_0174">
          <a:extLst>
            <a:ext uri="{FF2B5EF4-FFF2-40B4-BE49-F238E27FC236}">
              <a16:creationId xmlns:a16="http://schemas.microsoft.com/office/drawing/2014/main" id="{EAAB6EDD-09CC-4CFB-16E9-D6B154D7C4C2}"/>
            </a:ext>
          </a:extLst>
        </xdr:cNvPr>
        <xdr:cNvCxnSpPr/>
      </xdr:nvCxnSpPr>
      <xdr:spPr>
        <a:xfrm flipV="1">
          <a:off x="10610850" y="4896092"/>
          <a:ext cx="254000" cy="7154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44450</xdr:colOff>
      <xdr:row>16</xdr:row>
      <xdr:rowOff>195819</xdr:rowOff>
    </xdr:from>
    <xdr:to>
      <xdr:col>23</xdr:col>
      <xdr:colOff>298450</xdr:colOff>
      <xdr:row>17</xdr:row>
      <xdr:rowOff>45960</xdr:rowOff>
    </xdr:to>
    <xdr:cxnSp macro="">
      <xdr:nvCxnSpPr>
        <xdr:cNvPr id="1648" name="SCHEMA_T01_COND_0175">
          <a:extLst>
            <a:ext uri="{FF2B5EF4-FFF2-40B4-BE49-F238E27FC236}">
              <a16:creationId xmlns:a16="http://schemas.microsoft.com/office/drawing/2014/main" id="{5F382E68-4000-11F1-7D29-E0CBE2E8B34F}"/>
            </a:ext>
          </a:extLst>
        </xdr:cNvPr>
        <xdr:cNvCxnSpPr/>
      </xdr:nvCxnSpPr>
      <xdr:spPr>
        <a:xfrm>
          <a:off x="10102850" y="5009119"/>
          <a:ext cx="254000" cy="9779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298450</xdr:colOff>
      <xdr:row>17</xdr:row>
      <xdr:rowOff>45960</xdr:rowOff>
    </xdr:from>
    <xdr:to>
      <xdr:col>24</xdr:col>
      <xdr:colOff>171450</xdr:colOff>
      <xdr:row>17</xdr:row>
      <xdr:rowOff>59084</xdr:rowOff>
    </xdr:to>
    <xdr:cxnSp macro="">
      <xdr:nvCxnSpPr>
        <xdr:cNvPr id="1649" name="SCHEMA_T01_COND_0176">
          <a:extLst>
            <a:ext uri="{FF2B5EF4-FFF2-40B4-BE49-F238E27FC236}">
              <a16:creationId xmlns:a16="http://schemas.microsoft.com/office/drawing/2014/main" id="{D3049AD2-A6FD-EB13-BCCE-59B20CCBCE00}"/>
            </a:ext>
          </a:extLst>
        </xdr:cNvPr>
        <xdr:cNvCxnSpPr/>
      </xdr:nvCxnSpPr>
      <xdr:spPr>
        <a:xfrm>
          <a:off x="10356850" y="5106910"/>
          <a:ext cx="254000" cy="13124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171450</xdr:colOff>
      <xdr:row>16</xdr:row>
      <xdr:rowOff>235192</xdr:rowOff>
    </xdr:from>
    <xdr:to>
      <xdr:col>25</xdr:col>
      <xdr:colOff>44450</xdr:colOff>
      <xdr:row>17</xdr:row>
      <xdr:rowOff>59084</xdr:rowOff>
    </xdr:to>
    <xdr:cxnSp macro="">
      <xdr:nvCxnSpPr>
        <xdr:cNvPr id="1650" name="SCHEMA_T01_COND_0177">
          <a:extLst>
            <a:ext uri="{FF2B5EF4-FFF2-40B4-BE49-F238E27FC236}">
              <a16:creationId xmlns:a16="http://schemas.microsoft.com/office/drawing/2014/main" id="{1E3546A6-066E-95F2-F29D-B0234B985897}"/>
            </a:ext>
          </a:extLst>
        </xdr:cNvPr>
        <xdr:cNvCxnSpPr/>
      </xdr:nvCxnSpPr>
      <xdr:spPr>
        <a:xfrm flipV="1">
          <a:off x="10610850" y="5048492"/>
          <a:ext cx="254000" cy="7154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44450</xdr:colOff>
      <xdr:row>17</xdr:row>
      <xdr:rowOff>49769</xdr:rowOff>
    </xdr:from>
    <xdr:to>
      <xdr:col>23</xdr:col>
      <xdr:colOff>298450</xdr:colOff>
      <xdr:row>17</xdr:row>
      <xdr:rowOff>147560</xdr:rowOff>
    </xdr:to>
    <xdr:cxnSp macro="">
      <xdr:nvCxnSpPr>
        <xdr:cNvPr id="1651" name="SCHEMA_T01_COND_0178">
          <a:extLst>
            <a:ext uri="{FF2B5EF4-FFF2-40B4-BE49-F238E27FC236}">
              <a16:creationId xmlns:a16="http://schemas.microsoft.com/office/drawing/2014/main" id="{5253D744-FA34-9FC2-2761-DD90D087894A}"/>
            </a:ext>
          </a:extLst>
        </xdr:cNvPr>
        <xdr:cNvCxnSpPr/>
      </xdr:nvCxnSpPr>
      <xdr:spPr>
        <a:xfrm>
          <a:off x="10102850" y="5110719"/>
          <a:ext cx="254000" cy="9779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298450</xdr:colOff>
      <xdr:row>17</xdr:row>
      <xdr:rowOff>147560</xdr:rowOff>
    </xdr:from>
    <xdr:to>
      <xdr:col>24</xdr:col>
      <xdr:colOff>171450</xdr:colOff>
      <xdr:row>17</xdr:row>
      <xdr:rowOff>160684</xdr:rowOff>
    </xdr:to>
    <xdr:cxnSp macro="">
      <xdr:nvCxnSpPr>
        <xdr:cNvPr id="1652" name="SCHEMA_T01_COND_0179">
          <a:extLst>
            <a:ext uri="{FF2B5EF4-FFF2-40B4-BE49-F238E27FC236}">
              <a16:creationId xmlns:a16="http://schemas.microsoft.com/office/drawing/2014/main" id="{3634A12E-0C1F-C1D8-6DD7-C65E5AEC5F80}"/>
            </a:ext>
          </a:extLst>
        </xdr:cNvPr>
        <xdr:cNvCxnSpPr/>
      </xdr:nvCxnSpPr>
      <xdr:spPr>
        <a:xfrm>
          <a:off x="10356850" y="5208510"/>
          <a:ext cx="254000" cy="13124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171450</xdr:colOff>
      <xdr:row>17</xdr:row>
      <xdr:rowOff>89142</xdr:rowOff>
    </xdr:from>
    <xdr:to>
      <xdr:col>25</xdr:col>
      <xdr:colOff>44450</xdr:colOff>
      <xdr:row>17</xdr:row>
      <xdr:rowOff>160684</xdr:rowOff>
    </xdr:to>
    <xdr:cxnSp macro="">
      <xdr:nvCxnSpPr>
        <xdr:cNvPr id="1653" name="SCHEMA_T01_COND_0180">
          <a:extLst>
            <a:ext uri="{FF2B5EF4-FFF2-40B4-BE49-F238E27FC236}">
              <a16:creationId xmlns:a16="http://schemas.microsoft.com/office/drawing/2014/main" id="{993D65F8-6221-01E9-7B15-DD67A0F4BA6E}"/>
            </a:ext>
          </a:extLst>
        </xdr:cNvPr>
        <xdr:cNvCxnSpPr/>
      </xdr:nvCxnSpPr>
      <xdr:spPr>
        <a:xfrm flipV="1">
          <a:off x="10610850" y="5150092"/>
          <a:ext cx="254000" cy="7154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44450</xdr:colOff>
      <xdr:row>15</xdr:row>
      <xdr:rowOff>63742</xdr:rowOff>
    </xdr:from>
    <xdr:to>
      <xdr:col>25</xdr:col>
      <xdr:colOff>298450</xdr:colOff>
      <xdr:row>15</xdr:row>
      <xdr:rowOff>140534</xdr:rowOff>
    </xdr:to>
    <xdr:cxnSp macro="">
      <xdr:nvCxnSpPr>
        <xdr:cNvPr id="1654" name="SCHEMA_T01_COND_0181">
          <a:extLst>
            <a:ext uri="{FF2B5EF4-FFF2-40B4-BE49-F238E27FC236}">
              <a16:creationId xmlns:a16="http://schemas.microsoft.com/office/drawing/2014/main" id="{507E9D1C-62F8-B880-B52E-561C14EEA6C0}"/>
            </a:ext>
          </a:extLst>
        </xdr:cNvPr>
        <xdr:cNvCxnSpPr/>
      </xdr:nvCxnSpPr>
      <xdr:spPr>
        <a:xfrm>
          <a:off x="10864850" y="4629392"/>
          <a:ext cx="254000" cy="76792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298450</xdr:colOff>
      <xdr:row>15</xdr:row>
      <xdr:rowOff>132659</xdr:rowOff>
    </xdr:from>
    <xdr:to>
      <xdr:col>26</xdr:col>
      <xdr:colOff>171450</xdr:colOff>
      <xdr:row>15</xdr:row>
      <xdr:rowOff>140534</xdr:rowOff>
    </xdr:to>
    <xdr:cxnSp macro="">
      <xdr:nvCxnSpPr>
        <xdr:cNvPr id="1655" name="SCHEMA_T01_COND_0182">
          <a:extLst>
            <a:ext uri="{FF2B5EF4-FFF2-40B4-BE49-F238E27FC236}">
              <a16:creationId xmlns:a16="http://schemas.microsoft.com/office/drawing/2014/main" id="{759E8EF7-E90D-B467-59D8-C68693AA9ECB}"/>
            </a:ext>
          </a:extLst>
        </xdr:cNvPr>
        <xdr:cNvCxnSpPr/>
      </xdr:nvCxnSpPr>
      <xdr:spPr>
        <a:xfrm flipV="1">
          <a:off x="11118850" y="4698309"/>
          <a:ext cx="254000" cy="7875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171450</xdr:colOff>
      <xdr:row>15</xdr:row>
      <xdr:rowOff>40118</xdr:rowOff>
    </xdr:from>
    <xdr:to>
      <xdr:col>27</xdr:col>
      <xdr:colOff>44450</xdr:colOff>
      <xdr:row>15</xdr:row>
      <xdr:rowOff>132659</xdr:rowOff>
    </xdr:to>
    <xdr:cxnSp macro="">
      <xdr:nvCxnSpPr>
        <xdr:cNvPr id="1656" name="SCHEMA_T01_COND_0183">
          <a:extLst>
            <a:ext uri="{FF2B5EF4-FFF2-40B4-BE49-F238E27FC236}">
              <a16:creationId xmlns:a16="http://schemas.microsoft.com/office/drawing/2014/main" id="{577A1F20-CEF2-F13D-8CF6-8CECF28713BE}"/>
            </a:ext>
          </a:extLst>
        </xdr:cNvPr>
        <xdr:cNvCxnSpPr/>
      </xdr:nvCxnSpPr>
      <xdr:spPr>
        <a:xfrm flipV="1">
          <a:off x="11372850" y="4605768"/>
          <a:ext cx="254000" cy="92541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44450</xdr:colOff>
      <xdr:row>15</xdr:row>
      <xdr:rowOff>228842</xdr:rowOff>
    </xdr:from>
    <xdr:to>
      <xdr:col>25</xdr:col>
      <xdr:colOff>298450</xdr:colOff>
      <xdr:row>16</xdr:row>
      <xdr:rowOff>57984</xdr:rowOff>
    </xdr:to>
    <xdr:cxnSp macro="">
      <xdr:nvCxnSpPr>
        <xdr:cNvPr id="1657" name="SCHEMA_T01_COND_0184">
          <a:extLst>
            <a:ext uri="{FF2B5EF4-FFF2-40B4-BE49-F238E27FC236}">
              <a16:creationId xmlns:a16="http://schemas.microsoft.com/office/drawing/2014/main" id="{FC36CD44-586F-D651-9E12-577E44BE5EC1}"/>
            </a:ext>
          </a:extLst>
        </xdr:cNvPr>
        <xdr:cNvCxnSpPr/>
      </xdr:nvCxnSpPr>
      <xdr:spPr>
        <a:xfrm>
          <a:off x="10864850" y="4794492"/>
          <a:ext cx="254000" cy="7679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298450</xdr:colOff>
      <xdr:row>16</xdr:row>
      <xdr:rowOff>50109</xdr:rowOff>
    </xdr:from>
    <xdr:to>
      <xdr:col>26</xdr:col>
      <xdr:colOff>171450</xdr:colOff>
      <xdr:row>16</xdr:row>
      <xdr:rowOff>57984</xdr:rowOff>
    </xdr:to>
    <xdr:cxnSp macro="">
      <xdr:nvCxnSpPr>
        <xdr:cNvPr id="1658" name="SCHEMA_T01_COND_0185">
          <a:extLst>
            <a:ext uri="{FF2B5EF4-FFF2-40B4-BE49-F238E27FC236}">
              <a16:creationId xmlns:a16="http://schemas.microsoft.com/office/drawing/2014/main" id="{1B48AEC8-8C85-EA15-EC6C-847CDF0E1254}"/>
            </a:ext>
          </a:extLst>
        </xdr:cNvPr>
        <xdr:cNvCxnSpPr/>
      </xdr:nvCxnSpPr>
      <xdr:spPr>
        <a:xfrm flipV="1">
          <a:off x="11118850" y="4863409"/>
          <a:ext cx="254000" cy="787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171450</xdr:colOff>
      <xdr:row>15</xdr:row>
      <xdr:rowOff>205218</xdr:rowOff>
    </xdr:from>
    <xdr:to>
      <xdr:col>27</xdr:col>
      <xdr:colOff>44450</xdr:colOff>
      <xdr:row>16</xdr:row>
      <xdr:rowOff>50109</xdr:rowOff>
    </xdr:to>
    <xdr:cxnSp macro="">
      <xdr:nvCxnSpPr>
        <xdr:cNvPr id="1659" name="SCHEMA_T01_COND_0186">
          <a:extLst>
            <a:ext uri="{FF2B5EF4-FFF2-40B4-BE49-F238E27FC236}">
              <a16:creationId xmlns:a16="http://schemas.microsoft.com/office/drawing/2014/main" id="{CF1B410B-17D6-B6E6-D22E-39CE348CC5C6}"/>
            </a:ext>
          </a:extLst>
        </xdr:cNvPr>
        <xdr:cNvCxnSpPr/>
      </xdr:nvCxnSpPr>
      <xdr:spPr>
        <a:xfrm flipV="1">
          <a:off x="11372850" y="4770868"/>
          <a:ext cx="254000" cy="9254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44450</xdr:colOff>
      <xdr:row>16</xdr:row>
      <xdr:rowOff>82792</xdr:rowOff>
    </xdr:from>
    <xdr:to>
      <xdr:col>25</xdr:col>
      <xdr:colOff>298450</xdr:colOff>
      <xdr:row>16</xdr:row>
      <xdr:rowOff>159584</xdr:rowOff>
    </xdr:to>
    <xdr:cxnSp macro="">
      <xdr:nvCxnSpPr>
        <xdr:cNvPr id="1660" name="SCHEMA_T01_COND_0187">
          <a:extLst>
            <a:ext uri="{FF2B5EF4-FFF2-40B4-BE49-F238E27FC236}">
              <a16:creationId xmlns:a16="http://schemas.microsoft.com/office/drawing/2014/main" id="{01FCB180-DC17-9B50-E26F-5777CF46DB60}"/>
            </a:ext>
          </a:extLst>
        </xdr:cNvPr>
        <xdr:cNvCxnSpPr/>
      </xdr:nvCxnSpPr>
      <xdr:spPr>
        <a:xfrm>
          <a:off x="10864850" y="4896092"/>
          <a:ext cx="254000" cy="7679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298450</xdr:colOff>
      <xdr:row>16</xdr:row>
      <xdr:rowOff>151709</xdr:rowOff>
    </xdr:from>
    <xdr:to>
      <xdr:col>26</xdr:col>
      <xdr:colOff>171450</xdr:colOff>
      <xdr:row>16</xdr:row>
      <xdr:rowOff>159584</xdr:rowOff>
    </xdr:to>
    <xdr:cxnSp macro="">
      <xdr:nvCxnSpPr>
        <xdr:cNvPr id="1661" name="SCHEMA_T01_COND_0188">
          <a:extLst>
            <a:ext uri="{FF2B5EF4-FFF2-40B4-BE49-F238E27FC236}">
              <a16:creationId xmlns:a16="http://schemas.microsoft.com/office/drawing/2014/main" id="{49BFDB6B-4083-B984-ECC5-C14FBFB4703C}"/>
            </a:ext>
          </a:extLst>
        </xdr:cNvPr>
        <xdr:cNvCxnSpPr/>
      </xdr:nvCxnSpPr>
      <xdr:spPr>
        <a:xfrm flipV="1">
          <a:off x="11118850" y="4965009"/>
          <a:ext cx="254000" cy="787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171450</xdr:colOff>
      <xdr:row>16</xdr:row>
      <xdr:rowOff>59168</xdr:rowOff>
    </xdr:from>
    <xdr:to>
      <xdr:col>27</xdr:col>
      <xdr:colOff>44450</xdr:colOff>
      <xdr:row>16</xdr:row>
      <xdr:rowOff>151709</xdr:rowOff>
    </xdr:to>
    <xdr:cxnSp macro="">
      <xdr:nvCxnSpPr>
        <xdr:cNvPr id="1662" name="SCHEMA_T01_COND_0189">
          <a:extLst>
            <a:ext uri="{FF2B5EF4-FFF2-40B4-BE49-F238E27FC236}">
              <a16:creationId xmlns:a16="http://schemas.microsoft.com/office/drawing/2014/main" id="{F0D79A06-2776-0853-8ACC-8A907BA7F401}"/>
            </a:ext>
          </a:extLst>
        </xdr:cNvPr>
        <xdr:cNvCxnSpPr/>
      </xdr:nvCxnSpPr>
      <xdr:spPr>
        <a:xfrm flipV="1">
          <a:off x="11372850" y="4872468"/>
          <a:ext cx="254000" cy="9254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44450</xdr:colOff>
      <xdr:row>16</xdr:row>
      <xdr:rowOff>235192</xdr:rowOff>
    </xdr:from>
    <xdr:to>
      <xdr:col>25</xdr:col>
      <xdr:colOff>298450</xdr:colOff>
      <xdr:row>17</xdr:row>
      <xdr:rowOff>64334</xdr:rowOff>
    </xdr:to>
    <xdr:cxnSp macro="">
      <xdr:nvCxnSpPr>
        <xdr:cNvPr id="1663" name="SCHEMA_T01_COND_0190">
          <a:extLst>
            <a:ext uri="{FF2B5EF4-FFF2-40B4-BE49-F238E27FC236}">
              <a16:creationId xmlns:a16="http://schemas.microsoft.com/office/drawing/2014/main" id="{427F8A25-69D4-2F5B-D816-3D9E883685B0}"/>
            </a:ext>
          </a:extLst>
        </xdr:cNvPr>
        <xdr:cNvCxnSpPr/>
      </xdr:nvCxnSpPr>
      <xdr:spPr>
        <a:xfrm>
          <a:off x="10864850" y="5048492"/>
          <a:ext cx="254000" cy="7679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298450</xdr:colOff>
      <xdr:row>17</xdr:row>
      <xdr:rowOff>56459</xdr:rowOff>
    </xdr:from>
    <xdr:to>
      <xdr:col>26</xdr:col>
      <xdr:colOff>171450</xdr:colOff>
      <xdr:row>17</xdr:row>
      <xdr:rowOff>64334</xdr:rowOff>
    </xdr:to>
    <xdr:cxnSp macro="">
      <xdr:nvCxnSpPr>
        <xdr:cNvPr id="1664" name="SCHEMA_T01_COND_0191">
          <a:extLst>
            <a:ext uri="{FF2B5EF4-FFF2-40B4-BE49-F238E27FC236}">
              <a16:creationId xmlns:a16="http://schemas.microsoft.com/office/drawing/2014/main" id="{385C0414-9316-C811-0951-43C96EDEC172}"/>
            </a:ext>
          </a:extLst>
        </xdr:cNvPr>
        <xdr:cNvCxnSpPr/>
      </xdr:nvCxnSpPr>
      <xdr:spPr>
        <a:xfrm flipV="1">
          <a:off x="11118850" y="5117409"/>
          <a:ext cx="254000" cy="787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171450</xdr:colOff>
      <xdr:row>16</xdr:row>
      <xdr:rowOff>211568</xdr:rowOff>
    </xdr:from>
    <xdr:to>
      <xdr:col>27</xdr:col>
      <xdr:colOff>44450</xdr:colOff>
      <xdr:row>17</xdr:row>
      <xdr:rowOff>56459</xdr:rowOff>
    </xdr:to>
    <xdr:cxnSp macro="">
      <xdr:nvCxnSpPr>
        <xdr:cNvPr id="1665" name="SCHEMA_T01_COND_0192">
          <a:extLst>
            <a:ext uri="{FF2B5EF4-FFF2-40B4-BE49-F238E27FC236}">
              <a16:creationId xmlns:a16="http://schemas.microsoft.com/office/drawing/2014/main" id="{D7B4A8E7-4E18-F986-FAA4-0A64BAED6AF0}"/>
            </a:ext>
          </a:extLst>
        </xdr:cNvPr>
        <xdr:cNvCxnSpPr/>
      </xdr:nvCxnSpPr>
      <xdr:spPr>
        <a:xfrm flipV="1">
          <a:off x="11372850" y="5024868"/>
          <a:ext cx="254000" cy="9254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44450</xdr:colOff>
      <xdr:row>17</xdr:row>
      <xdr:rowOff>89142</xdr:rowOff>
    </xdr:from>
    <xdr:to>
      <xdr:col>25</xdr:col>
      <xdr:colOff>298450</xdr:colOff>
      <xdr:row>17</xdr:row>
      <xdr:rowOff>165934</xdr:rowOff>
    </xdr:to>
    <xdr:cxnSp macro="">
      <xdr:nvCxnSpPr>
        <xdr:cNvPr id="1666" name="SCHEMA_T01_COND_0193">
          <a:extLst>
            <a:ext uri="{FF2B5EF4-FFF2-40B4-BE49-F238E27FC236}">
              <a16:creationId xmlns:a16="http://schemas.microsoft.com/office/drawing/2014/main" id="{729A754D-2D7C-F27E-532C-B63FEBF46E27}"/>
            </a:ext>
          </a:extLst>
        </xdr:cNvPr>
        <xdr:cNvCxnSpPr/>
      </xdr:nvCxnSpPr>
      <xdr:spPr>
        <a:xfrm>
          <a:off x="10864850" y="5150092"/>
          <a:ext cx="254000" cy="7679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298450</xdr:colOff>
      <xdr:row>17</xdr:row>
      <xdr:rowOff>158059</xdr:rowOff>
    </xdr:from>
    <xdr:to>
      <xdr:col>26</xdr:col>
      <xdr:colOff>171450</xdr:colOff>
      <xdr:row>17</xdr:row>
      <xdr:rowOff>165934</xdr:rowOff>
    </xdr:to>
    <xdr:cxnSp macro="">
      <xdr:nvCxnSpPr>
        <xdr:cNvPr id="1667" name="SCHEMA_T01_COND_0194">
          <a:extLst>
            <a:ext uri="{FF2B5EF4-FFF2-40B4-BE49-F238E27FC236}">
              <a16:creationId xmlns:a16="http://schemas.microsoft.com/office/drawing/2014/main" id="{A9C9BED3-0312-2185-6DE8-E0C7A71EC07F}"/>
            </a:ext>
          </a:extLst>
        </xdr:cNvPr>
        <xdr:cNvCxnSpPr/>
      </xdr:nvCxnSpPr>
      <xdr:spPr>
        <a:xfrm flipV="1">
          <a:off x="11118850" y="5219009"/>
          <a:ext cx="254000" cy="787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171450</xdr:colOff>
      <xdr:row>17</xdr:row>
      <xdr:rowOff>65518</xdr:rowOff>
    </xdr:from>
    <xdr:to>
      <xdr:col>27</xdr:col>
      <xdr:colOff>44450</xdr:colOff>
      <xdr:row>17</xdr:row>
      <xdr:rowOff>158059</xdr:rowOff>
    </xdr:to>
    <xdr:cxnSp macro="">
      <xdr:nvCxnSpPr>
        <xdr:cNvPr id="1668" name="SCHEMA_T01_COND_0195">
          <a:extLst>
            <a:ext uri="{FF2B5EF4-FFF2-40B4-BE49-F238E27FC236}">
              <a16:creationId xmlns:a16="http://schemas.microsoft.com/office/drawing/2014/main" id="{32FA678E-28F5-AC5A-C33B-F75C2F3FCA91}"/>
            </a:ext>
          </a:extLst>
        </xdr:cNvPr>
        <xdr:cNvCxnSpPr/>
      </xdr:nvCxnSpPr>
      <xdr:spPr>
        <a:xfrm flipV="1">
          <a:off x="11372850" y="5126468"/>
          <a:ext cx="254000" cy="9254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6350</xdr:colOff>
      <xdr:row>25</xdr:row>
      <xdr:rowOff>3175</xdr:rowOff>
    </xdr:from>
    <xdr:to>
      <xdr:col>26</xdr:col>
      <xdr:colOff>82550</xdr:colOff>
      <xdr:row>25</xdr:row>
      <xdr:rowOff>79375</xdr:rowOff>
    </xdr:to>
    <xdr:sp macro="" textlink="">
      <xdr:nvSpPr>
        <xdr:cNvPr id="1669" name="SCHEMA_T01_ATTRAV_13">
          <a:extLst>
            <a:ext uri="{FF2B5EF4-FFF2-40B4-BE49-F238E27FC236}">
              <a16:creationId xmlns:a16="http://schemas.microsoft.com/office/drawing/2014/main" id="{85ED96A2-8B5E-4250-E128-D990C0D1C00B}"/>
            </a:ext>
          </a:extLst>
        </xdr:cNvPr>
        <xdr:cNvSpPr/>
      </xdr:nvSpPr>
      <xdr:spPr>
        <a:xfrm>
          <a:off x="11207750" y="7045325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27</xdr:col>
      <xdr:colOff>44450</xdr:colOff>
      <xdr:row>15</xdr:row>
      <xdr:rowOff>40118</xdr:rowOff>
    </xdr:from>
    <xdr:to>
      <xdr:col>27</xdr:col>
      <xdr:colOff>298450</xdr:colOff>
      <xdr:row>15</xdr:row>
      <xdr:rowOff>179907</xdr:rowOff>
    </xdr:to>
    <xdr:cxnSp macro="">
      <xdr:nvCxnSpPr>
        <xdr:cNvPr id="1670" name="SCHEMA_T01_COND_0196">
          <a:extLst>
            <a:ext uri="{FF2B5EF4-FFF2-40B4-BE49-F238E27FC236}">
              <a16:creationId xmlns:a16="http://schemas.microsoft.com/office/drawing/2014/main" id="{24567D9F-4EED-40A7-F916-0B0D75731F58}"/>
            </a:ext>
          </a:extLst>
        </xdr:cNvPr>
        <xdr:cNvCxnSpPr/>
      </xdr:nvCxnSpPr>
      <xdr:spPr>
        <a:xfrm>
          <a:off x="11626850" y="4605768"/>
          <a:ext cx="254000" cy="139789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298450</xdr:colOff>
      <xdr:row>15</xdr:row>
      <xdr:rowOff>179907</xdr:rowOff>
    </xdr:from>
    <xdr:to>
      <xdr:col>28</xdr:col>
      <xdr:colOff>171450</xdr:colOff>
      <xdr:row>15</xdr:row>
      <xdr:rowOff>235030</xdr:rowOff>
    </xdr:to>
    <xdr:cxnSp macro="">
      <xdr:nvCxnSpPr>
        <xdr:cNvPr id="1671" name="SCHEMA_T01_COND_0197">
          <a:extLst>
            <a:ext uri="{FF2B5EF4-FFF2-40B4-BE49-F238E27FC236}">
              <a16:creationId xmlns:a16="http://schemas.microsoft.com/office/drawing/2014/main" id="{1F070693-04C0-5438-0D11-53D4A847934E}"/>
            </a:ext>
          </a:extLst>
        </xdr:cNvPr>
        <xdr:cNvCxnSpPr/>
      </xdr:nvCxnSpPr>
      <xdr:spPr>
        <a:xfrm>
          <a:off x="11880850" y="4745557"/>
          <a:ext cx="254000" cy="55123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171450</xdr:colOff>
      <xdr:row>15</xdr:row>
      <xdr:rowOff>205486</xdr:rowOff>
    </xdr:from>
    <xdr:to>
      <xdr:col>29</xdr:col>
      <xdr:colOff>44450</xdr:colOff>
      <xdr:row>15</xdr:row>
      <xdr:rowOff>235030</xdr:rowOff>
    </xdr:to>
    <xdr:cxnSp macro="">
      <xdr:nvCxnSpPr>
        <xdr:cNvPr id="1672" name="SCHEMA_T01_COND_0198">
          <a:extLst>
            <a:ext uri="{FF2B5EF4-FFF2-40B4-BE49-F238E27FC236}">
              <a16:creationId xmlns:a16="http://schemas.microsoft.com/office/drawing/2014/main" id="{C98F995D-10AE-9AD3-B002-EB0083761126}"/>
            </a:ext>
          </a:extLst>
        </xdr:cNvPr>
        <xdr:cNvCxnSpPr/>
      </xdr:nvCxnSpPr>
      <xdr:spPr>
        <a:xfrm flipV="1">
          <a:off x="12134850" y="4771136"/>
          <a:ext cx="254000" cy="29544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44450</xdr:colOff>
      <xdr:row>15</xdr:row>
      <xdr:rowOff>205218</xdr:rowOff>
    </xdr:from>
    <xdr:to>
      <xdr:col>27</xdr:col>
      <xdr:colOff>298450</xdr:colOff>
      <xdr:row>16</xdr:row>
      <xdr:rowOff>97357</xdr:rowOff>
    </xdr:to>
    <xdr:cxnSp macro="">
      <xdr:nvCxnSpPr>
        <xdr:cNvPr id="1673" name="SCHEMA_T01_COND_0199">
          <a:extLst>
            <a:ext uri="{FF2B5EF4-FFF2-40B4-BE49-F238E27FC236}">
              <a16:creationId xmlns:a16="http://schemas.microsoft.com/office/drawing/2014/main" id="{714ACABF-4606-D358-2CAA-7E4C5770A065}"/>
            </a:ext>
          </a:extLst>
        </xdr:cNvPr>
        <xdr:cNvCxnSpPr/>
      </xdr:nvCxnSpPr>
      <xdr:spPr>
        <a:xfrm>
          <a:off x="11626850" y="4770868"/>
          <a:ext cx="254000" cy="13978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298450</xdr:colOff>
      <xdr:row>16</xdr:row>
      <xdr:rowOff>97357</xdr:rowOff>
    </xdr:from>
    <xdr:to>
      <xdr:col>28</xdr:col>
      <xdr:colOff>171450</xdr:colOff>
      <xdr:row>16</xdr:row>
      <xdr:rowOff>152480</xdr:rowOff>
    </xdr:to>
    <xdr:cxnSp macro="">
      <xdr:nvCxnSpPr>
        <xdr:cNvPr id="1674" name="SCHEMA_T01_COND_0200">
          <a:extLst>
            <a:ext uri="{FF2B5EF4-FFF2-40B4-BE49-F238E27FC236}">
              <a16:creationId xmlns:a16="http://schemas.microsoft.com/office/drawing/2014/main" id="{6D96EB41-0804-F28D-2A55-9A758F5F5C5A}"/>
            </a:ext>
          </a:extLst>
        </xdr:cNvPr>
        <xdr:cNvCxnSpPr/>
      </xdr:nvCxnSpPr>
      <xdr:spPr>
        <a:xfrm>
          <a:off x="11880850" y="4910657"/>
          <a:ext cx="254000" cy="5512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171450</xdr:colOff>
      <xdr:row>16</xdr:row>
      <xdr:rowOff>122936</xdr:rowOff>
    </xdr:from>
    <xdr:to>
      <xdr:col>29</xdr:col>
      <xdr:colOff>44450</xdr:colOff>
      <xdr:row>16</xdr:row>
      <xdr:rowOff>152480</xdr:rowOff>
    </xdr:to>
    <xdr:cxnSp macro="">
      <xdr:nvCxnSpPr>
        <xdr:cNvPr id="1675" name="SCHEMA_T01_COND_0201">
          <a:extLst>
            <a:ext uri="{FF2B5EF4-FFF2-40B4-BE49-F238E27FC236}">
              <a16:creationId xmlns:a16="http://schemas.microsoft.com/office/drawing/2014/main" id="{8C4C9A68-3DAF-57E4-2272-1D9D5859B3BE}"/>
            </a:ext>
          </a:extLst>
        </xdr:cNvPr>
        <xdr:cNvCxnSpPr/>
      </xdr:nvCxnSpPr>
      <xdr:spPr>
        <a:xfrm flipV="1">
          <a:off x="12134850" y="4936236"/>
          <a:ext cx="254000" cy="29544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44450</xdr:colOff>
      <xdr:row>16</xdr:row>
      <xdr:rowOff>59168</xdr:rowOff>
    </xdr:from>
    <xdr:to>
      <xdr:col>27</xdr:col>
      <xdr:colOff>298450</xdr:colOff>
      <xdr:row>16</xdr:row>
      <xdr:rowOff>198957</xdr:rowOff>
    </xdr:to>
    <xdr:cxnSp macro="">
      <xdr:nvCxnSpPr>
        <xdr:cNvPr id="1676" name="SCHEMA_T01_COND_0202">
          <a:extLst>
            <a:ext uri="{FF2B5EF4-FFF2-40B4-BE49-F238E27FC236}">
              <a16:creationId xmlns:a16="http://schemas.microsoft.com/office/drawing/2014/main" id="{144A860A-1697-934E-2B22-95C94E747304}"/>
            </a:ext>
          </a:extLst>
        </xdr:cNvPr>
        <xdr:cNvCxnSpPr/>
      </xdr:nvCxnSpPr>
      <xdr:spPr>
        <a:xfrm>
          <a:off x="11626850" y="4872468"/>
          <a:ext cx="254000" cy="13978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298450</xdr:colOff>
      <xdr:row>16</xdr:row>
      <xdr:rowOff>198957</xdr:rowOff>
    </xdr:from>
    <xdr:to>
      <xdr:col>28</xdr:col>
      <xdr:colOff>171450</xdr:colOff>
      <xdr:row>17</xdr:row>
      <xdr:rowOff>6430</xdr:rowOff>
    </xdr:to>
    <xdr:cxnSp macro="">
      <xdr:nvCxnSpPr>
        <xdr:cNvPr id="1677" name="SCHEMA_T01_COND_0203">
          <a:extLst>
            <a:ext uri="{FF2B5EF4-FFF2-40B4-BE49-F238E27FC236}">
              <a16:creationId xmlns:a16="http://schemas.microsoft.com/office/drawing/2014/main" id="{32D6F65A-D474-F5F2-F833-4341E2D37848}"/>
            </a:ext>
          </a:extLst>
        </xdr:cNvPr>
        <xdr:cNvCxnSpPr/>
      </xdr:nvCxnSpPr>
      <xdr:spPr>
        <a:xfrm>
          <a:off x="11880850" y="5012257"/>
          <a:ext cx="254000" cy="5512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171450</xdr:colOff>
      <xdr:row>16</xdr:row>
      <xdr:rowOff>224536</xdr:rowOff>
    </xdr:from>
    <xdr:to>
      <xdr:col>29</xdr:col>
      <xdr:colOff>44450</xdr:colOff>
      <xdr:row>17</xdr:row>
      <xdr:rowOff>6430</xdr:rowOff>
    </xdr:to>
    <xdr:cxnSp macro="">
      <xdr:nvCxnSpPr>
        <xdr:cNvPr id="1678" name="SCHEMA_T01_COND_0204">
          <a:extLst>
            <a:ext uri="{FF2B5EF4-FFF2-40B4-BE49-F238E27FC236}">
              <a16:creationId xmlns:a16="http://schemas.microsoft.com/office/drawing/2014/main" id="{6AEC5E48-14DA-8EA1-0DCD-88BA851F51DB}"/>
            </a:ext>
          </a:extLst>
        </xdr:cNvPr>
        <xdr:cNvCxnSpPr/>
      </xdr:nvCxnSpPr>
      <xdr:spPr>
        <a:xfrm flipV="1">
          <a:off x="12134850" y="5037836"/>
          <a:ext cx="254000" cy="29544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44450</xdr:colOff>
      <xdr:row>16</xdr:row>
      <xdr:rowOff>211568</xdr:rowOff>
    </xdr:from>
    <xdr:to>
      <xdr:col>27</xdr:col>
      <xdr:colOff>298450</xdr:colOff>
      <xdr:row>17</xdr:row>
      <xdr:rowOff>103707</xdr:rowOff>
    </xdr:to>
    <xdr:cxnSp macro="">
      <xdr:nvCxnSpPr>
        <xdr:cNvPr id="1679" name="SCHEMA_T01_COND_0205">
          <a:extLst>
            <a:ext uri="{FF2B5EF4-FFF2-40B4-BE49-F238E27FC236}">
              <a16:creationId xmlns:a16="http://schemas.microsoft.com/office/drawing/2014/main" id="{2B94E93D-33CE-608D-DF90-87712CE4A3B5}"/>
            </a:ext>
          </a:extLst>
        </xdr:cNvPr>
        <xdr:cNvCxnSpPr/>
      </xdr:nvCxnSpPr>
      <xdr:spPr>
        <a:xfrm>
          <a:off x="11626850" y="5024868"/>
          <a:ext cx="254000" cy="13978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298450</xdr:colOff>
      <xdr:row>17</xdr:row>
      <xdr:rowOff>103707</xdr:rowOff>
    </xdr:from>
    <xdr:to>
      <xdr:col>28</xdr:col>
      <xdr:colOff>171450</xdr:colOff>
      <xdr:row>17</xdr:row>
      <xdr:rowOff>158830</xdr:rowOff>
    </xdr:to>
    <xdr:cxnSp macro="">
      <xdr:nvCxnSpPr>
        <xdr:cNvPr id="1680" name="SCHEMA_T01_COND_0206">
          <a:extLst>
            <a:ext uri="{FF2B5EF4-FFF2-40B4-BE49-F238E27FC236}">
              <a16:creationId xmlns:a16="http://schemas.microsoft.com/office/drawing/2014/main" id="{6587B5F7-0314-5480-B1CC-99BFB4A5F7F9}"/>
            </a:ext>
          </a:extLst>
        </xdr:cNvPr>
        <xdr:cNvCxnSpPr/>
      </xdr:nvCxnSpPr>
      <xdr:spPr>
        <a:xfrm>
          <a:off x="11880850" y="5164657"/>
          <a:ext cx="254000" cy="5512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171450</xdr:colOff>
      <xdr:row>17</xdr:row>
      <xdr:rowOff>129286</xdr:rowOff>
    </xdr:from>
    <xdr:to>
      <xdr:col>29</xdr:col>
      <xdr:colOff>44450</xdr:colOff>
      <xdr:row>17</xdr:row>
      <xdr:rowOff>158830</xdr:rowOff>
    </xdr:to>
    <xdr:cxnSp macro="">
      <xdr:nvCxnSpPr>
        <xdr:cNvPr id="1681" name="SCHEMA_T01_COND_0207">
          <a:extLst>
            <a:ext uri="{FF2B5EF4-FFF2-40B4-BE49-F238E27FC236}">
              <a16:creationId xmlns:a16="http://schemas.microsoft.com/office/drawing/2014/main" id="{3042D837-640D-64DE-74D0-719EF5933E70}"/>
            </a:ext>
          </a:extLst>
        </xdr:cNvPr>
        <xdr:cNvCxnSpPr/>
      </xdr:nvCxnSpPr>
      <xdr:spPr>
        <a:xfrm flipV="1">
          <a:off x="12134850" y="5190236"/>
          <a:ext cx="254000" cy="29544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44450</xdr:colOff>
      <xdr:row>17</xdr:row>
      <xdr:rowOff>65518</xdr:rowOff>
    </xdr:from>
    <xdr:to>
      <xdr:col>27</xdr:col>
      <xdr:colOff>298450</xdr:colOff>
      <xdr:row>17</xdr:row>
      <xdr:rowOff>205307</xdr:rowOff>
    </xdr:to>
    <xdr:cxnSp macro="">
      <xdr:nvCxnSpPr>
        <xdr:cNvPr id="1682" name="SCHEMA_T01_COND_0208">
          <a:extLst>
            <a:ext uri="{FF2B5EF4-FFF2-40B4-BE49-F238E27FC236}">
              <a16:creationId xmlns:a16="http://schemas.microsoft.com/office/drawing/2014/main" id="{4CA6E206-A4C0-37EC-0B71-8DE20A46AB22}"/>
            </a:ext>
          </a:extLst>
        </xdr:cNvPr>
        <xdr:cNvCxnSpPr/>
      </xdr:nvCxnSpPr>
      <xdr:spPr>
        <a:xfrm>
          <a:off x="11626850" y="5126468"/>
          <a:ext cx="254000" cy="13978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298450</xdr:colOff>
      <xdr:row>17</xdr:row>
      <xdr:rowOff>205307</xdr:rowOff>
    </xdr:from>
    <xdr:to>
      <xdr:col>28</xdr:col>
      <xdr:colOff>171450</xdr:colOff>
      <xdr:row>18</xdr:row>
      <xdr:rowOff>12780</xdr:rowOff>
    </xdr:to>
    <xdr:cxnSp macro="">
      <xdr:nvCxnSpPr>
        <xdr:cNvPr id="1683" name="SCHEMA_T01_COND_0209">
          <a:extLst>
            <a:ext uri="{FF2B5EF4-FFF2-40B4-BE49-F238E27FC236}">
              <a16:creationId xmlns:a16="http://schemas.microsoft.com/office/drawing/2014/main" id="{4B2C750D-EE16-EE8E-3BAC-2C36A66385F8}"/>
            </a:ext>
          </a:extLst>
        </xdr:cNvPr>
        <xdr:cNvCxnSpPr/>
      </xdr:nvCxnSpPr>
      <xdr:spPr>
        <a:xfrm>
          <a:off x="11880850" y="5266257"/>
          <a:ext cx="254000" cy="5512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171450</xdr:colOff>
      <xdr:row>17</xdr:row>
      <xdr:rowOff>230886</xdr:rowOff>
    </xdr:from>
    <xdr:to>
      <xdr:col>29</xdr:col>
      <xdr:colOff>44450</xdr:colOff>
      <xdr:row>18</xdr:row>
      <xdr:rowOff>12780</xdr:rowOff>
    </xdr:to>
    <xdr:cxnSp macro="">
      <xdr:nvCxnSpPr>
        <xdr:cNvPr id="1684" name="SCHEMA_T01_COND_0210">
          <a:extLst>
            <a:ext uri="{FF2B5EF4-FFF2-40B4-BE49-F238E27FC236}">
              <a16:creationId xmlns:a16="http://schemas.microsoft.com/office/drawing/2014/main" id="{97BF0E77-C191-7C6F-829F-373397975767}"/>
            </a:ext>
          </a:extLst>
        </xdr:cNvPr>
        <xdr:cNvCxnSpPr/>
      </xdr:nvCxnSpPr>
      <xdr:spPr>
        <a:xfrm flipV="1">
          <a:off x="12134850" y="5291836"/>
          <a:ext cx="254000" cy="29544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44450</xdr:colOff>
      <xdr:row>15</xdr:row>
      <xdr:rowOff>205486</xdr:rowOff>
    </xdr:from>
    <xdr:to>
      <xdr:col>29</xdr:col>
      <xdr:colOff>298450</xdr:colOff>
      <xdr:row>16</xdr:row>
      <xdr:rowOff>26753</xdr:rowOff>
    </xdr:to>
    <xdr:cxnSp macro="">
      <xdr:nvCxnSpPr>
        <xdr:cNvPr id="1685" name="SCHEMA_T01_COND_0211">
          <a:extLst>
            <a:ext uri="{FF2B5EF4-FFF2-40B4-BE49-F238E27FC236}">
              <a16:creationId xmlns:a16="http://schemas.microsoft.com/office/drawing/2014/main" id="{81AC578B-C9B8-F96C-7836-2EEEF05795D8}"/>
            </a:ext>
          </a:extLst>
        </xdr:cNvPr>
        <xdr:cNvCxnSpPr/>
      </xdr:nvCxnSpPr>
      <xdr:spPr>
        <a:xfrm>
          <a:off x="12388850" y="4771136"/>
          <a:ext cx="254000" cy="68917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298450</xdr:colOff>
      <xdr:row>16</xdr:row>
      <xdr:rowOff>11004</xdr:rowOff>
    </xdr:from>
    <xdr:to>
      <xdr:col>30</xdr:col>
      <xdr:colOff>171450</xdr:colOff>
      <xdr:row>16</xdr:row>
      <xdr:rowOff>26753</xdr:rowOff>
    </xdr:to>
    <xdr:cxnSp macro="">
      <xdr:nvCxnSpPr>
        <xdr:cNvPr id="1686" name="SCHEMA_T01_COND_0212">
          <a:extLst>
            <a:ext uri="{FF2B5EF4-FFF2-40B4-BE49-F238E27FC236}">
              <a16:creationId xmlns:a16="http://schemas.microsoft.com/office/drawing/2014/main" id="{B742C6C1-8982-349A-A766-15EEB2DB2295}"/>
            </a:ext>
          </a:extLst>
        </xdr:cNvPr>
        <xdr:cNvCxnSpPr/>
      </xdr:nvCxnSpPr>
      <xdr:spPr>
        <a:xfrm flipV="1">
          <a:off x="12642850" y="4824304"/>
          <a:ext cx="254000" cy="15749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171450</xdr:colOff>
      <xdr:row>15</xdr:row>
      <xdr:rowOff>158238</xdr:rowOff>
    </xdr:from>
    <xdr:to>
      <xdr:col>31</xdr:col>
      <xdr:colOff>44450</xdr:colOff>
      <xdr:row>16</xdr:row>
      <xdr:rowOff>11004</xdr:rowOff>
    </xdr:to>
    <xdr:cxnSp macro="">
      <xdr:nvCxnSpPr>
        <xdr:cNvPr id="1687" name="SCHEMA_T01_COND_0213">
          <a:extLst>
            <a:ext uri="{FF2B5EF4-FFF2-40B4-BE49-F238E27FC236}">
              <a16:creationId xmlns:a16="http://schemas.microsoft.com/office/drawing/2014/main" id="{F01EFAFB-AD09-2996-3DE7-94BFBBA542F0}"/>
            </a:ext>
          </a:extLst>
        </xdr:cNvPr>
        <xdr:cNvCxnSpPr/>
      </xdr:nvCxnSpPr>
      <xdr:spPr>
        <a:xfrm flipV="1">
          <a:off x="12896850" y="4723888"/>
          <a:ext cx="254000" cy="100416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44450</xdr:colOff>
      <xdr:row>16</xdr:row>
      <xdr:rowOff>122936</xdr:rowOff>
    </xdr:from>
    <xdr:to>
      <xdr:col>29</xdr:col>
      <xdr:colOff>298450</xdr:colOff>
      <xdr:row>16</xdr:row>
      <xdr:rowOff>191853</xdr:rowOff>
    </xdr:to>
    <xdr:cxnSp macro="">
      <xdr:nvCxnSpPr>
        <xdr:cNvPr id="1688" name="SCHEMA_T01_COND_0214">
          <a:extLst>
            <a:ext uri="{FF2B5EF4-FFF2-40B4-BE49-F238E27FC236}">
              <a16:creationId xmlns:a16="http://schemas.microsoft.com/office/drawing/2014/main" id="{26523DFB-463A-DED0-5B4B-571C122DEDA2}"/>
            </a:ext>
          </a:extLst>
        </xdr:cNvPr>
        <xdr:cNvCxnSpPr/>
      </xdr:nvCxnSpPr>
      <xdr:spPr>
        <a:xfrm>
          <a:off x="12388850" y="4936236"/>
          <a:ext cx="254000" cy="6891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298450</xdr:colOff>
      <xdr:row>16</xdr:row>
      <xdr:rowOff>176104</xdr:rowOff>
    </xdr:from>
    <xdr:to>
      <xdr:col>30</xdr:col>
      <xdr:colOff>171450</xdr:colOff>
      <xdr:row>16</xdr:row>
      <xdr:rowOff>191853</xdr:rowOff>
    </xdr:to>
    <xdr:cxnSp macro="">
      <xdr:nvCxnSpPr>
        <xdr:cNvPr id="1689" name="SCHEMA_T01_COND_0215">
          <a:extLst>
            <a:ext uri="{FF2B5EF4-FFF2-40B4-BE49-F238E27FC236}">
              <a16:creationId xmlns:a16="http://schemas.microsoft.com/office/drawing/2014/main" id="{BAC7339F-AD21-745D-1A09-2E81BB7D569F}"/>
            </a:ext>
          </a:extLst>
        </xdr:cNvPr>
        <xdr:cNvCxnSpPr/>
      </xdr:nvCxnSpPr>
      <xdr:spPr>
        <a:xfrm flipV="1">
          <a:off x="12642850" y="4989404"/>
          <a:ext cx="254000" cy="1574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171450</xdr:colOff>
      <xdr:row>16</xdr:row>
      <xdr:rowOff>75688</xdr:rowOff>
    </xdr:from>
    <xdr:to>
      <xdr:col>31</xdr:col>
      <xdr:colOff>44450</xdr:colOff>
      <xdr:row>16</xdr:row>
      <xdr:rowOff>176104</xdr:rowOff>
    </xdr:to>
    <xdr:cxnSp macro="">
      <xdr:nvCxnSpPr>
        <xdr:cNvPr id="1690" name="SCHEMA_T01_COND_0216">
          <a:extLst>
            <a:ext uri="{FF2B5EF4-FFF2-40B4-BE49-F238E27FC236}">
              <a16:creationId xmlns:a16="http://schemas.microsoft.com/office/drawing/2014/main" id="{4A75045B-370C-CB7C-E909-B5197D7DE45B}"/>
            </a:ext>
          </a:extLst>
        </xdr:cNvPr>
        <xdr:cNvCxnSpPr/>
      </xdr:nvCxnSpPr>
      <xdr:spPr>
        <a:xfrm flipV="1">
          <a:off x="12896850" y="4888988"/>
          <a:ext cx="254000" cy="10041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44450</xdr:colOff>
      <xdr:row>16</xdr:row>
      <xdr:rowOff>224536</xdr:rowOff>
    </xdr:from>
    <xdr:to>
      <xdr:col>29</xdr:col>
      <xdr:colOff>298450</xdr:colOff>
      <xdr:row>17</xdr:row>
      <xdr:rowOff>45803</xdr:rowOff>
    </xdr:to>
    <xdr:cxnSp macro="">
      <xdr:nvCxnSpPr>
        <xdr:cNvPr id="1691" name="SCHEMA_T01_COND_0217">
          <a:extLst>
            <a:ext uri="{FF2B5EF4-FFF2-40B4-BE49-F238E27FC236}">
              <a16:creationId xmlns:a16="http://schemas.microsoft.com/office/drawing/2014/main" id="{AE5A3625-DD5B-D3B5-7395-6350049FCAD2}"/>
            </a:ext>
          </a:extLst>
        </xdr:cNvPr>
        <xdr:cNvCxnSpPr/>
      </xdr:nvCxnSpPr>
      <xdr:spPr>
        <a:xfrm>
          <a:off x="12388850" y="5037836"/>
          <a:ext cx="254000" cy="6891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298450</xdr:colOff>
      <xdr:row>17</xdr:row>
      <xdr:rowOff>30054</xdr:rowOff>
    </xdr:from>
    <xdr:to>
      <xdr:col>30</xdr:col>
      <xdr:colOff>171450</xdr:colOff>
      <xdr:row>17</xdr:row>
      <xdr:rowOff>45803</xdr:rowOff>
    </xdr:to>
    <xdr:cxnSp macro="">
      <xdr:nvCxnSpPr>
        <xdr:cNvPr id="1692" name="SCHEMA_T01_COND_0218">
          <a:extLst>
            <a:ext uri="{FF2B5EF4-FFF2-40B4-BE49-F238E27FC236}">
              <a16:creationId xmlns:a16="http://schemas.microsoft.com/office/drawing/2014/main" id="{C04F35A2-23AC-8A39-6A88-ABD647CD855C}"/>
            </a:ext>
          </a:extLst>
        </xdr:cNvPr>
        <xdr:cNvCxnSpPr/>
      </xdr:nvCxnSpPr>
      <xdr:spPr>
        <a:xfrm flipV="1">
          <a:off x="12642850" y="5091004"/>
          <a:ext cx="254000" cy="1574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171450</xdr:colOff>
      <xdr:row>16</xdr:row>
      <xdr:rowOff>177288</xdr:rowOff>
    </xdr:from>
    <xdr:to>
      <xdr:col>31</xdr:col>
      <xdr:colOff>44450</xdr:colOff>
      <xdr:row>17</xdr:row>
      <xdr:rowOff>30054</xdr:rowOff>
    </xdr:to>
    <xdr:cxnSp macro="">
      <xdr:nvCxnSpPr>
        <xdr:cNvPr id="1693" name="SCHEMA_T01_COND_0219">
          <a:extLst>
            <a:ext uri="{FF2B5EF4-FFF2-40B4-BE49-F238E27FC236}">
              <a16:creationId xmlns:a16="http://schemas.microsoft.com/office/drawing/2014/main" id="{22515804-5A49-05E6-C9C5-5653E4875D74}"/>
            </a:ext>
          </a:extLst>
        </xdr:cNvPr>
        <xdr:cNvCxnSpPr/>
      </xdr:nvCxnSpPr>
      <xdr:spPr>
        <a:xfrm flipV="1">
          <a:off x="12896850" y="4990588"/>
          <a:ext cx="254000" cy="10041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44450</xdr:colOff>
      <xdr:row>17</xdr:row>
      <xdr:rowOff>129286</xdr:rowOff>
    </xdr:from>
    <xdr:to>
      <xdr:col>29</xdr:col>
      <xdr:colOff>298450</xdr:colOff>
      <xdr:row>17</xdr:row>
      <xdr:rowOff>198203</xdr:rowOff>
    </xdr:to>
    <xdr:cxnSp macro="">
      <xdr:nvCxnSpPr>
        <xdr:cNvPr id="1694" name="SCHEMA_T01_COND_0220">
          <a:extLst>
            <a:ext uri="{FF2B5EF4-FFF2-40B4-BE49-F238E27FC236}">
              <a16:creationId xmlns:a16="http://schemas.microsoft.com/office/drawing/2014/main" id="{F4959D09-7C8E-FE0F-08DF-9D4B485EA63C}"/>
            </a:ext>
          </a:extLst>
        </xdr:cNvPr>
        <xdr:cNvCxnSpPr/>
      </xdr:nvCxnSpPr>
      <xdr:spPr>
        <a:xfrm>
          <a:off x="12388850" y="5190236"/>
          <a:ext cx="254000" cy="6891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298450</xdr:colOff>
      <xdr:row>17</xdr:row>
      <xdr:rowOff>182454</xdr:rowOff>
    </xdr:from>
    <xdr:to>
      <xdr:col>30</xdr:col>
      <xdr:colOff>171450</xdr:colOff>
      <xdr:row>17</xdr:row>
      <xdr:rowOff>198203</xdr:rowOff>
    </xdr:to>
    <xdr:cxnSp macro="">
      <xdr:nvCxnSpPr>
        <xdr:cNvPr id="1695" name="SCHEMA_T01_COND_0221">
          <a:extLst>
            <a:ext uri="{FF2B5EF4-FFF2-40B4-BE49-F238E27FC236}">
              <a16:creationId xmlns:a16="http://schemas.microsoft.com/office/drawing/2014/main" id="{1A7F4D94-EC11-F87A-2024-AD71737F3005}"/>
            </a:ext>
          </a:extLst>
        </xdr:cNvPr>
        <xdr:cNvCxnSpPr/>
      </xdr:nvCxnSpPr>
      <xdr:spPr>
        <a:xfrm flipV="1">
          <a:off x="12642850" y="5243404"/>
          <a:ext cx="254000" cy="1574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171450</xdr:colOff>
      <xdr:row>17</xdr:row>
      <xdr:rowOff>82038</xdr:rowOff>
    </xdr:from>
    <xdr:to>
      <xdr:col>31</xdr:col>
      <xdr:colOff>44450</xdr:colOff>
      <xdr:row>17</xdr:row>
      <xdr:rowOff>182454</xdr:rowOff>
    </xdr:to>
    <xdr:cxnSp macro="">
      <xdr:nvCxnSpPr>
        <xdr:cNvPr id="1696" name="SCHEMA_T01_COND_0222">
          <a:extLst>
            <a:ext uri="{FF2B5EF4-FFF2-40B4-BE49-F238E27FC236}">
              <a16:creationId xmlns:a16="http://schemas.microsoft.com/office/drawing/2014/main" id="{96BF174A-A2F6-6156-8C98-28CEC56DDEAD}"/>
            </a:ext>
          </a:extLst>
        </xdr:cNvPr>
        <xdr:cNvCxnSpPr/>
      </xdr:nvCxnSpPr>
      <xdr:spPr>
        <a:xfrm flipV="1">
          <a:off x="12896850" y="5142988"/>
          <a:ext cx="254000" cy="10041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44450</xdr:colOff>
      <xdr:row>17</xdr:row>
      <xdr:rowOff>230886</xdr:rowOff>
    </xdr:from>
    <xdr:to>
      <xdr:col>29</xdr:col>
      <xdr:colOff>298450</xdr:colOff>
      <xdr:row>18</xdr:row>
      <xdr:rowOff>52153</xdr:rowOff>
    </xdr:to>
    <xdr:cxnSp macro="">
      <xdr:nvCxnSpPr>
        <xdr:cNvPr id="1697" name="SCHEMA_T01_COND_0223">
          <a:extLst>
            <a:ext uri="{FF2B5EF4-FFF2-40B4-BE49-F238E27FC236}">
              <a16:creationId xmlns:a16="http://schemas.microsoft.com/office/drawing/2014/main" id="{D5BB1ACC-53BF-D84C-728A-F9A1E73193F5}"/>
            </a:ext>
          </a:extLst>
        </xdr:cNvPr>
        <xdr:cNvCxnSpPr/>
      </xdr:nvCxnSpPr>
      <xdr:spPr>
        <a:xfrm>
          <a:off x="12388850" y="5291836"/>
          <a:ext cx="254000" cy="6891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298450</xdr:colOff>
      <xdr:row>18</xdr:row>
      <xdr:rowOff>36404</xdr:rowOff>
    </xdr:from>
    <xdr:to>
      <xdr:col>30</xdr:col>
      <xdr:colOff>171450</xdr:colOff>
      <xdr:row>18</xdr:row>
      <xdr:rowOff>52153</xdr:rowOff>
    </xdr:to>
    <xdr:cxnSp macro="">
      <xdr:nvCxnSpPr>
        <xdr:cNvPr id="1698" name="SCHEMA_T01_COND_0224">
          <a:extLst>
            <a:ext uri="{FF2B5EF4-FFF2-40B4-BE49-F238E27FC236}">
              <a16:creationId xmlns:a16="http://schemas.microsoft.com/office/drawing/2014/main" id="{9B1EF257-1D02-F2DD-8E23-2945A2AD2210}"/>
            </a:ext>
          </a:extLst>
        </xdr:cNvPr>
        <xdr:cNvCxnSpPr/>
      </xdr:nvCxnSpPr>
      <xdr:spPr>
        <a:xfrm flipV="1">
          <a:off x="12642850" y="5345004"/>
          <a:ext cx="254000" cy="1574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171450</xdr:colOff>
      <xdr:row>17</xdr:row>
      <xdr:rowOff>183638</xdr:rowOff>
    </xdr:from>
    <xdr:to>
      <xdr:col>31</xdr:col>
      <xdr:colOff>44450</xdr:colOff>
      <xdr:row>18</xdr:row>
      <xdr:rowOff>36404</xdr:rowOff>
    </xdr:to>
    <xdr:cxnSp macro="">
      <xdr:nvCxnSpPr>
        <xdr:cNvPr id="1699" name="SCHEMA_T01_COND_0225">
          <a:extLst>
            <a:ext uri="{FF2B5EF4-FFF2-40B4-BE49-F238E27FC236}">
              <a16:creationId xmlns:a16="http://schemas.microsoft.com/office/drawing/2014/main" id="{26373003-56B9-B74B-1286-2D49F32B75EC}"/>
            </a:ext>
          </a:extLst>
        </xdr:cNvPr>
        <xdr:cNvCxnSpPr/>
      </xdr:nvCxnSpPr>
      <xdr:spPr>
        <a:xfrm flipV="1">
          <a:off x="12896850" y="5244588"/>
          <a:ext cx="254000" cy="10041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44450</xdr:colOff>
      <xdr:row>15</xdr:row>
      <xdr:rowOff>158238</xdr:rowOff>
    </xdr:from>
    <xdr:to>
      <xdr:col>31</xdr:col>
      <xdr:colOff>298450</xdr:colOff>
      <xdr:row>15</xdr:row>
      <xdr:rowOff>211406</xdr:rowOff>
    </xdr:to>
    <xdr:cxnSp macro="">
      <xdr:nvCxnSpPr>
        <xdr:cNvPr id="1700" name="SCHEMA_T01_COND_0226">
          <a:extLst>
            <a:ext uri="{FF2B5EF4-FFF2-40B4-BE49-F238E27FC236}">
              <a16:creationId xmlns:a16="http://schemas.microsoft.com/office/drawing/2014/main" id="{0C756290-2BF8-3749-D2C4-70F77D7F6DF2}"/>
            </a:ext>
          </a:extLst>
        </xdr:cNvPr>
        <xdr:cNvCxnSpPr/>
      </xdr:nvCxnSpPr>
      <xdr:spPr>
        <a:xfrm>
          <a:off x="13150850" y="4723888"/>
          <a:ext cx="254000" cy="53168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298450</xdr:colOff>
      <xdr:row>15</xdr:row>
      <xdr:rowOff>179907</xdr:rowOff>
    </xdr:from>
    <xdr:to>
      <xdr:col>32</xdr:col>
      <xdr:colOff>171450</xdr:colOff>
      <xdr:row>15</xdr:row>
      <xdr:rowOff>211406</xdr:rowOff>
    </xdr:to>
    <xdr:cxnSp macro="">
      <xdr:nvCxnSpPr>
        <xdr:cNvPr id="1701" name="SCHEMA_T01_COND_0227">
          <a:extLst>
            <a:ext uri="{FF2B5EF4-FFF2-40B4-BE49-F238E27FC236}">
              <a16:creationId xmlns:a16="http://schemas.microsoft.com/office/drawing/2014/main" id="{663C6E27-A814-70C7-882D-C690884E26E0}"/>
            </a:ext>
          </a:extLst>
        </xdr:cNvPr>
        <xdr:cNvCxnSpPr/>
      </xdr:nvCxnSpPr>
      <xdr:spPr>
        <a:xfrm flipV="1">
          <a:off x="13404850" y="4745557"/>
          <a:ext cx="254000" cy="31499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171450</xdr:colOff>
      <xdr:row>15</xdr:row>
      <xdr:rowOff>63742</xdr:rowOff>
    </xdr:from>
    <xdr:to>
      <xdr:col>33</xdr:col>
      <xdr:colOff>44450</xdr:colOff>
      <xdr:row>15</xdr:row>
      <xdr:rowOff>179907</xdr:rowOff>
    </xdr:to>
    <xdr:cxnSp macro="">
      <xdr:nvCxnSpPr>
        <xdr:cNvPr id="1702" name="SCHEMA_T01_COND_0228">
          <a:extLst>
            <a:ext uri="{FF2B5EF4-FFF2-40B4-BE49-F238E27FC236}">
              <a16:creationId xmlns:a16="http://schemas.microsoft.com/office/drawing/2014/main" id="{79534B95-DDFD-C2E0-8CB5-A19877BC5458}"/>
            </a:ext>
          </a:extLst>
        </xdr:cNvPr>
        <xdr:cNvCxnSpPr/>
      </xdr:nvCxnSpPr>
      <xdr:spPr>
        <a:xfrm flipV="1">
          <a:off x="13658850" y="4629392"/>
          <a:ext cx="254000" cy="116165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44450</xdr:colOff>
      <xdr:row>16</xdr:row>
      <xdr:rowOff>75688</xdr:rowOff>
    </xdr:from>
    <xdr:to>
      <xdr:col>31</xdr:col>
      <xdr:colOff>298450</xdr:colOff>
      <xdr:row>16</xdr:row>
      <xdr:rowOff>128856</xdr:rowOff>
    </xdr:to>
    <xdr:cxnSp macro="">
      <xdr:nvCxnSpPr>
        <xdr:cNvPr id="1703" name="SCHEMA_T01_COND_0229">
          <a:extLst>
            <a:ext uri="{FF2B5EF4-FFF2-40B4-BE49-F238E27FC236}">
              <a16:creationId xmlns:a16="http://schemas.microsoft.com/office/drawing/2014/main" id="{5C352D2C-4623-9304-2BF3-69A4049D0038}"/>
            </a:ext>
          </a:extLst>
        </xdr:cNvPr>
        <xdr:cNvCxnSpPr/>
      </xdr:nvCxnSpPr>
      <xdr:spPr>
        <a:xfrm>
          <a:off x="13150850" y="4888988"/>
          <a:ext cx="254000" cy="5316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298450</xdr:colOff>
      <xdr:row>16</xdr:row>
      <xdr:rowOff>97357</xdr:rowOff>
    </xdr:from>
    <xdr:to>
      <xdr:col>32</xdr:col>
      <xdr:colOff>171450</xdr:colOff>
      <xdr:row>16</xdr:row>
      <xdr:rowOff>128856</xdr:rowOff>
    </xdr:to>
    <xdr:cxnSp macro="">
      <xdr:nvCxnSpPr>
        <xdr:cNvPr id="1704" name="SCHEMA_T01_COND_0230">
          <a:extLst>
            <a:ext uri="{FF2B5EF4-FFF2-40B4-BE49-F238E27FC236}">
              <a16:creationId xmlns:a16="http://schemas.microsoft.com/office/drawing/2014/main" id="{22FED1DD-9E88-467A-E8DE-F15D3DA0014E}"/>
            </a:ext>
          </a:extLst>
        </xdr:cNvPr>
        <xdr:cNvCxnSpPr/>
      </xdr:nvCxnSpPr>
      <xdr:spPr>
        <a:xfrm flipV="1">
          <a:off x="13404850" y="4910657"/>
          <a:ext cx="254000" cy="3149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171450</xdr:colOff>
      <xdr:row>15</xdr:row>
      <xdr:rowOff>228842</xdr:rowOff>
    </xdr:from>
    <xdr:to>
      <xdr:col>33</xdr:col>
      <xdr:colOff>44450</xdr:colOff>
      <xdr:row>16</xdr:row>
      <xdr:rowOff>97357</xdr:rowOff>
    </xdr:to>
    <xdr:cxnSp macro="">
      <xdr:nvCxnSpPr>
        <xdr:cNvPr id="1705" name="SCHEMA_T01_COND_0231">
          <a:extLst>
            <a:ext uri="{FF2B5EF4-FFF2-40B4-BE49-F238E27FC236}">
              <a16:creationId xmlns:a16="http://schemas.microsoft.com/office/drawing/2014/main" id="{68C22F29-355C-CC93-6AD7-ABB727FD1493}"/>
            </a:ext>
          </a:extLst>
        </xdr:cNvPr>
        <xdr:cNvCxnSpPr/>
      </xdr:nvCxnSpPr>
      <xdr:spPr>
        <a:xfrm flipV="1">
          <a:off x="13658850" y="4794492"/>
          <a:ext cx="254000" cy="11616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44450</xdr:colOff>
      <xdr:row>16</xdr:row>
      <xdr:rowOff>177288</xdr:rowOff>
    </xdr:from>
    <xdr:to>
      <xdr:col>31</xdr:col>
      <xdr:colOff>298450</xdr:colOff>
      <xdr:row>16</xdr:row>
      <xdr:rowOff>230456</xdr:rowOff>
    </xdr:to>
    <xdr:cxnSp macro="">
      <xdr:nvCxnSpPr>
        <xdr:cNvPr id="1706" name="SCHEMA_T01_COND_0232">
          <a:extLst>
            <a:ext uri="{FF2B5EF4-FFF2-40B4-BE49-F238E27FC236}">
              <a16:creationId xmlns:a16="http://schemas.microsoft.com/office/drawing/2014/main" id="{7316D3EF-6EC4-6438-84B8-69A67772A695}"/>
            </a:ext>
          </a:extLst>
        </xdr:cNvPr>
        <xdr:cNvCxnSpPr/>
      </xdr:nvCxnSpPr>
      <xdr:spPr>
        <a:xfrm>
          <a:off x="13150850" y="4990588"/>
          <a:ext cx="254000" cy="5316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298450</xdr:colOff>
      <xdr:row>16</xdr:row>
      <xdr:rowOff>198957</xdr:rowOff>
    </xdr:from>
    <xdr:to>
      <xdr:col>32</xdr:col>
      <xdr:colOff>171450</xdr:colOff>
      <xdr:row>16</xdr:row>
      <xdr:rowOff>230456</xdr:rowOff>
    </xdr:to>
    <xdr:cxnSp macro="">
      <xdr:nvCxnSpPr>
        <xdr:cNvPr id="1707" name="SCHEMA_T01_COND_0233">
          <a:extLst>
            <a:ext uri="{FF2B5EF4-FFF2-40B4-BE49-F238E27FC236}">
              <a16:creationId xmlns:a16="http://schemas.microsoft.com/office/drawing/2014/main" id="{7AE68A6B-F17F-8533-8264-FFB2979EFC33}"/>
            </a:ext>
          </a:extLst>
        </xdr:cNvPr>
        <xdr:cNvCxnSpPr/>
      </xdr:nvCxnSpPr>
      <xdr:spPr>
        <a:xfrm flipV="1">
          <a:off x="13404850" y="5012257"/>
          <a:ext cx="254000" cy="3149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171450</xdr:colOff>
      <xdr:row>16</xdr:row>
      <xdr:rowOff>82792</xdr:rowOff>
    </xdr:from>
    <xdr:to>
      <xdr:col>33</xdr:col>
      <xdr:colOff>44450</xdr:colOff>
      <xdr:row>16</xdr:row>
      <xdr:rowOff>198957</xdr:rowOff>
    </xdr:to>
    <xdr:cxnSp macro="">
      <xdr:nvCxnSpPr>
        <xdr:cNvPr id="1708" name="SCHEMA_T01_COND_0234">
          <a:extLst>
            <a:ext uri="{FF2B5EF4-FFF2-40B4-BE49-F238E27FC236}">
              <a16:creationId xmlns:a16="http://schemas.microsoft.com/office/drawing/2014/main" id="{252F0448-49F0-B88D-F77F-3F1189BEAC9C}"/>
            </a:ext>
          </a:extLst>
        </xdr:cNvPr>
        <xdr:cNvCxnSpPr/>
      </xdr:nvCxnSpPr>
      <xdr:spPr>
        <a:xfrm flipV="1">
          <a:off x="13658850" y="4896092"/>
          <a:ext cx="254000" cy="11616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44450</xdr:colOff>
      <xdr:row>17</xdr:row>
      <xdr:rowOff>82038</xdr:rowOff>
    </xdr:from>
    <xdr:to>
      <xdr:col>31</xdr:col>
      <xdr:colOff>298450</xdr:colOff>
      <xdr:row>17</xdr:row>
      <xdr:rowOff>135206</xdr:rowOff>
    </xdr:to>
    <xdr:cxnSp macro="">
      <xdr:nvCxnSpPr>
        <xdr:cNvPr id="1709" name="SCHEMA_T01_COND_0235">
          <a:extLst>
            <a:ext uri="{FF2B5EF4-FFF2-40B4-BE49-F238E27FC236}">
              <a16:creationId xmlns:a16="http://schemas.microsoft.com/office/drawing/2014/main" id="{7683642D-603F-2F2D-90D0-ABCBE2BF2053}"/>
            </a:ext>
          </a:extLst>
        </xdr:cNvPr>
        <xdr:cNvCxnSpPr/>
      </xdr:nvCxnSpPr>
      <xdr:spPr>
        <a:xfrm>
          <a:off x="13150850" y="5142988"/>
          <a:ext cx="254000" cy="5316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298450</xdr:colOff>
      <xdr:row>17</xdr:row>
      <xdr:rowOff>103707</xdr:rowOff>
    </xdr:from>
    <xdr:to>
      <xdr:col>32</xdr:col>
      <xdr:colOff>171450</xdr:colOff>
      <xdr:row>17</xdr:row>
      <xdr:rowOff>135206</xdr:rowOff>
    </xdr:to>
    <xdr:cxnSp macro="">
      <xdr:nvCxnSpPr>
        <xdr:cNvPr id="1710" name="SCHEMA_T01_COND_0236">
          <a:extLst>
            <a:ext uri="{FF2B5EF4-FFF2-40B4-BE49-F238E27FC236}">
              <a16:creationId xmlns:a16="http://schemas.microsoft.com/office/drawing/2014/main" id="{07A75A9F-928A-C31C-8435-0AC24A624A07}"/>
            </a:ext>
          </a:extLst>
        </xdr:cNvPr>
        <xdr:cNvCxnSpPr/>
      </xdr:nvCxnSpPr>
      <xdr:spPr>
        <a:xfrm flipV="1">
          <a:off x="13404850" y="5164657"/>
          <a:ext cx="254000" cy="3149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171450</xdr:colOff>
      <xdr:row>16</xdr:row>
      <xdr:rowOff>235192</xdr:rowOff>
    </xdr:from>
    <xdr:to>
      <xdr:col>33</xdr:col>
      <xdr:colOff>44450</xdr:colOff>
      <xdr:row>17</xdr:row>
      <xdr:rowOff>103707</xdr:rowOff>
    </xdr:to>
    <xdr:cxnSp macro="">
      <xdr:nvCxnSpPr>
        <xdr:cNvPr id="1711" name="SCHEMA_T01_COND_0237">
          <a:extLst>
            <a:ext uri="{FF2B5EF4-FFF2-40B4-BE49-F238E27FC236}">
              <a16:creationId xmlns:a16="http://schemas.microsoft.com/office/drawing/2014/main" id="{0561931A-663E-E87A-36C8-680BE7A59D35}"/>
            </a:ext>
          </a:extLst>
        </xdr:cNvPr>
        <xdr:cNvCxnSpPr/>
      </xdr:nvCxnSpPr>
      <xdr:spPr>
        <a:xfrm flipV="1">
          <a:off x="13658850" y="5048492"/>
          <a:ext cx="254000" cy="11616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44450</xdr:colOff>
      <xdr:row>17</xdr:row>
      <xdr:rowOff>183638</xdr:rowOff>
    </xdr:from>
    <xdr:to>
      <xdr:col>31</xdr:col>
      <xdr:colOff>298450</xdr:colOff>
      <xdr:row>17</xdr:row>
      <xdr:rowOff>236806</xdr:rowOff>
    </xdr:to>
    <xdr:cxnSp macro="">
      <xdr:nvCxnSpPr>
        <xdr:cNvPr id="1712" name="SCHEMA_T01_COND_0238">
          <a:extLst>
            <a:ext uri="{FF2B5EF4-FFF2-40B4-BE49-F238E27FC236}">
              <a16:creationId xmlns:a16="http://schemas.microsoft.com/office/drawing/2014/main" id="{B638F266-45B8-319D-30BC-CA02597323CE}"/>
            </a:ext>
          </a:extLst>
        </xdr:cNvPr>
        <xdr:cNvCxnSpPr/>
      </xdr:nvCxnSpPr>
      <xdr:spPr>
        <a:xfrm>
          <a:off x="13150850" y="5244588"/>
          <a:ext cx="254000" cy="5316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298450</xdr:colOff>
      <xdr:row>17</xdr:row>
      <xdr:rowOff>205307</xdr:rowOff>
    </xdr:from>
    <xdr:to>
      <xdr:col>32</xdr:col>
      <xdr:colOff>171450</xdr:colOff>
      <xdr:row>17</xdr:row>
      <xdr:rowOff>236806</xdr:rowOff>
    </xdr:to>
    <xdr:cxnSp macro="">
      <xdr:nvCxnSpPr>
        <xdr:cNvPr id="1713" name="SCHEMA_T01_COND_0239">
          <a:extLst>
            <a:ext uri="{FF2B5EF4-FFF2-40B4-BE49-F238E27FC236}">
              <a16:creationId xmlns:a16="http://schemas.microsoft.com/office/drawing/2014/main" id="{FF031863-07D5-A487-4B6A-257E20479B61}"/>
            </a:ext>
          </a:extLst>
        </xdr:cNvPr>
        <xdr:cNvCxnSpPr/>
      </xdr:nvCxnSpPr>
      <xdr:spPr>
        <a:xfrm flipV="1">
          <a:off x="13404850" y="5266257"/>
          <a:ext cx="254000" cy="3149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171450</xdr:colOff>
      <xdr:row>17</xdr:row>
      <xdr:rowOff>89142</xdr:rowOff>
    </xdr:from>
    <xdr:to>
      <xdr:col>33</xdr:col>
      <xdr:colOff>44450</xdr:colOff>
      <xdr:row>17</xdr:row>
      <xdr:rowOff>205307</xdr:rowOff>
    </xdr:to>
    <xdr:cxnSp macro="">
      <xdr:nvCxnSpPr>
        <xdr:cNvPr id="1714" name="SCHEMA_T01_COND_0240">
          <a:extLst>
            <a:ext uri="{FF2B5EF4-FFF2-40B4-BE49-F238E27FC236}">
              <a16:creationId xmlns:a16="http://schemas.microsoft.com/office/drawing/2014/main" id="{9F52874B-F088-C880-82D3-7E788B5153D6}"/>
            </a:ext>
          </a:extLst>
        </xdr:cNvPr>
        <xdr:cNvCxnSpPr/>
      </xdr:nvCxnSpPr>
      <xdr:spPr>
        <a:xfrm flipV="1">
          <a:off x="13658850" y="5150092"/>
          <a:ext cx="254000" cy="11616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44450</xdr:colOff>
      <xdr:row>15</xdr:row>
      <xdr:rowOff>61787</xdr:rowOff>
    </xdr:from>
    <xdr:to>
      <xdr:col>33</xdr:col>
      <xdr:colOff>298450</xdr:colOff>
      <xdr:row>15</xdr:row>
      <xdr:rowOff>63742</xdr:rowOff>
    </xdr:to>
    <xdr:cxnSp macro="">
      <xdr:nvCxnSpPr>
        <xdr:cNvPr id="1715" name="SCHEMA_T01_COND_0241">
          <a:extLst>
            <a:ext uri="{FF2B5EF4-FFF2-40B4-BE49-F238E27FC236}">
              <a16:creationId xmlns:a16="http://schemas.microsoft.com/office/drawing/2014/main" id="{27D4EDD9-D4F6-BB04-CCE0-573C001CA787}"/>
            </a:ext>
          </a:extLst>
        </xdr:cNvPr>
        <xdr:cNvCxnSpPr/>
      </xdr:nvCxnSpPr>
      <xdr:spPr>
        <a:xfrm flipV="1">
          <a:off x="13912850" y="4627437"/>
          <a:ext cx="254000" cy="1955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298450</xdr:colOff>
      <xdr:row>14</xdr:row>
      <xdr:rowOff>222816</xdr:rowOff>
    </xdr:from>
    <xdr:to>
      <xdr:col>34</xdr:col>
      <xdr:colOff>171450</xdr:colOff>
      <xdr:row>15</xdr:row>
      <xdr:rowOff>61787</xdr:rowOff>
    </xdr:to>
    <xdr:cxnSp macro="">
      <xdr:nvCxnSpPr>
        <xdr:cNvPr id="1716" name="SCHEMA_T01_COND_0242">
          <a:extLst>
            <a:ext uri="{FF2B5EF4-FFF2-40B4-BE49-F238E27FC236}">
              <a16:creationId xmlns:a16="http://schemas.microsoft.com/office/drawing/2014/main" id="{E27587B8-BCAA-520A-602D-FD7A0F3FA058}"/>
            </a:ext>
          </a:extLst>
        </xdr:cNvPr>
        <xdr:cNvCxnSpPr/>
      </xdr:nvCxnSpPr>
      <xdr:spPr>
        <a:xfrm flipV="1">
          <a:off x="14166850" y="4540816"/>
          <a:ext cx="254000" cy="86621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171450</xdr:colOff>
      <xdr:row>14</xdr:row>
      <xdr:rowOff>51528</xdr:rowOff>
    </xdr:from>
    <xdr:to>
      <xdr:col>35</xdr:col>
      <xdr:colOff>44450</xdr:colOff>
      <xdr:row>14</xdr:row>
      <xdr:rowOff>222816</xdr:rowOff>
    </xdr:to>
    <xdr:cxnSp macro="">
      <xdr:nvCxnSpPr>
        <xdr:cNvPr id="1717" name="SCHEMA_T01_COND_0243">
          <a:extLst>
            <a:ext uri="{FF2B5EF4-FFF2-40B4-BE49-F238E27FC236}">
              <a16:creationId xmlns:a16="http://schemas.microsoft.com/office/drawing/2014/main" id="{89AF31EC-2935-F847-A61E-3588C938131A}"/>
            </a:ext>
          </a:extLst>
        </xdr:cNvPr>
        <xdr:cNvCxnSpPr/>
      </xdr:nvCxnSpPr>
      <xdr:spPr>
        <a:xfrm flipV="1">
          <a:off x="14420850" y="4369528"/>
          <a:ext cx="254000" cy="171288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44450</xdr:colOff>
      <xdr:row>15</xdr:row>
      <xdr:rowOff>226887</xdr:rowOff>
    </xdr:from>
    <xdr:to>
      <xdr:col>33</xdr:col>
      <xdr:colOff>298450</xdr:colOff>
      <xdr:row>15</xdr:row>
      <xdr:rowOff>228842</xdr:rowOff>
    </xdr:to>
    <xdr:cxnSp macro="">
      <xdr:nvCxnSpPr>
        <xdr:cNvPr id="1718" name="SCHEMA_T01_COND_0244">
          <a:extLst>
            <a:ext uri="{FF2B5EF4-FFF2-40B4-BE49-F238E27FC236}">
              <a16:creationId xmlns:a16="http://schemas.microsoft.com/office/drawing/2014/main" id="{2ABCC611-2D9E-B42B-E59F-51E104EC0583}"/>
            </a:ext>
          </a:extLst>
        </xdr:cNvPr>
        <xdr:cNvCxnSpPr/>
      </xdr:nvCxnSpPr>
      <xdr:spPr>
        <a:xfrm flipV="1">
          <a:off x="13912850" y="4792537"/>
          <a:ext cx="254000" cy="195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298450</xdr:colOff>
      <xdr:row>15</xdr:row>
      <xdr:rowOff>140266</xdr:rowOff>
    </xdr:from>
    <xdr:to>
      <xdr:col>34</xdr:col>
      <xdr:colOff>171450</xdr:colOff>
      <xdr:row>15</xdr:row>
      <xdr:rowOff>226887</xdr:rowOff>
    </xdr:to>
    <xdr:cxnSp macro="">
      <xdr:nvCxnSpPr>
        <xdr:cNvPr id="1719" name="SCHEMA_T01_COND_0245">
          <a:extLst>
            <a:ext uri="{FF2B5EF4-FFF2-40B4-BE49-F238E27FC236}">
              <a16:creationId xmlns:a16="http://schemas.microsoft.com/office/drawing/2014/main" id="{F763E19B-50D0-6C51-1501-1F07B6F1F2F5}"/>
            </a:ext>
          </a:extLst>
        </xdr:cNvPr>
        <xdr:cNvCxnSpPr/>
      </xdr:nvCxnSpPr>
      <xdr:spPr>
        <a:xfrm flipV="1">
          <a:off x="14166850" y="4705916"/>
          <a:ext cx="254000" cy="8662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171450</xdr:colOff>
      <xdr:row>14</xdr:row>
      <xdr:rowOff>216628</xdr:rowOff>
    </xdr:from>
    <xdr:to>
      <xdr:col>35</xdr:col>
      <xdr:colOff>44450</xdr:colOff>
      <xdr:row>15</xdr:row>
      <xdr:rowOff>140266</xdr:rowOff>
    </xdr:to>
    <xdr:cxnSp macro="">
      <xdr:nvCxnSpPr>
        <xdr:cNvPr id="1720" name="SCHEMA_T01_COND_0246">
          <a:extLst>
            <a:ext uri="{FF2B5EF4-FFF2-40B4-BE49-F238E27FC236}">
              <a16:creationId xmlns:a16="http://schemas.microsoft.com/office/drawing/2014/main" id="{D8B76979-948C-BD42-D4E2-73BC1AC1DB00}"/>
            </a:ext>
          </a:extLst>
        </xdr:cNvPr>
        <xdr:cNvCxnSpPr/>
      </xdr:nvCxnSpPr>
      <xdr:spPr>
        <a:xfrm flipV="1">
          <a:off x="14420850" y="4534628"/>
          <a:ext cx="254000" cy="17128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44450</xdr:colOff>
      <xdr:row>16</xdr:row>
      <xdr:rowOff>80837</xdr:rowOff>
    </xdr:from>
    <xdr:to>
      <xdr:col>33</xdr:col>
      <xdr:colOff>298450</xdr:colOff>
      <xdr:row>16</xdr:row>
      <xdr:rowOff>82792</xdr:rowOff>
    </xdr:to>
    <xdr:cxnSp macro="">
      <xdr:nvCxnSpPr>
        <xdr:cNvPr id="1721" name="SCHEMA_T01_COND_0247">
          <a:extLst>
            <a:ext uri="{FF2B5EF4-FFF2-40B4-BE49-F238E27FC236}">
              <a16:creationId xmlns:a16="http://schemas.microsoft.com/office/drawing/2014/main" id="{CA4924F5-4FC4-D15D-1999-E4FE583EECED}"/>
            </a:ext>
          </a:extLst>
        </xdr:cNvPr>
        <xdr:cNvCxnSpPr/>
      </xdr:nvCxnSpPr>
      <xdr:spPr>
        <a:xfrm flipV="1">
          <a:off x="13912850" y="4894137"/>
          <a:ext cx="254000" cy="195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298450</xdr:colOff>
      <xdr:row>15</xdr:row>
      <xdr:rowOff>241866</xdr:rowOff>
    </xdr:from>
    <xdr:to>
      <xdr:col>34</xdr:col>
      <xdr:colOff>171450</xdr:colOff>
      <xdr:row>16</xdr:row>
      <xdr:rowOff>80837</xdr:rowOff>
    </xdr:to>
    <xdr:cxnSp macro="">
      <xdr:nvCxnSpPr>
        <xdr:cNvPr id="1722" name="SCHEMA_T01_COND_0248">
          <a:extLst>
            <a:ext uri="{FF2B5EF4-FFF2-40B4-BE49-F238E27FC236}">
              <a16:creationId xmlns:a16="http://schemas.microsoft.com/office/drawing/2014/main" id="{F71A285D-8F60-75F9-5E04-0A81244BF067}"/>
            </a:ext>
          </a:extLst>
        </xdr:cNvPr>
        <xdr:cNvCxnSpPr/>
      </xdr:nvCxnSpPr>
      <xdr:spPr>
        <a:xfrm flipV="1">
          <a:off x="14166850" y="4807516"/>
          <a:ext cx="254000" cy="8662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171450</xdr:colOff>
      <xdr:row>15</xdr:row>
      <xdr:rowOff>70578</xdr:rowOff>
    </xdr:from>
    <xdr:to>
      <xdr:col>35</xdr:col>
      <xdr:colOff>44450</xdr:colOff>
      <xdr:row>15</xdr:row>
      <xdr:rowOff>241866</xdr:rowOff>
    </xdr:to>
    <xdr:cxnSp macro="">
      <xdr:nvCxnSpPr>
        <xdr:cNvPr id="1723" name="SCHEMA_T01_COND_0249">
          <a:extLst>
            <a:ext uri="{FF2B5EF4-FFF2-40B4-BE49-F238E27FC236}">
              <a16:creationId xmlns:a16="http://schemas.microsoft.com/office/drawing/2014/main" id="{B6F66614-737D-C563-EC6D-FBF89049300A}"/>
            </a:ext>
          </a:extLst>
        </xdr:cNvPr>
        <xdr:cNvCxnSpPr/>
      </xdr:nvCxnSpPr>
      <xdr:spPr>
        <a:xfrm flipV="1">
          <a:off x="14420850" y="4636228"/>
          <a:ext cx="254000" cy="17128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44450</xdr:colOff>
      <xdr:row>16</xdr:row>
      <xdr:rowOff>233237</xdr:rowOff>
    </xdr:from>
    <xdr:to>
      <xdr:col>33</xdr:col>
      <xdr:colOff>298450</xdr:colOff>
      <xdr:row>16</xdr:row>
      <xdr:rowOff>235192</xdr:rowOff>
    </xdr:to>
    <xdr:cxnSp macro="">
      <xdr:nvCxnSpPr>
        <xdr:cNvPr id="1724" name="SCHEMA_T01_COND_0250">
          <a:extLst>
            <a:ext uri="{FF2B5EF4-FFF2-40B4-BE49-F238E27FC236}">
              <a16:creationId xmlns:a16="http://schemas.microsoft.com/office/drawing/2014/main" id="{1C585D6B-77EE-2949-C69D-14D2CF7218A8}"/>
            </a:ext>
          </a:extLst>
        </xdr:cNvPr>
        <xdr:cNvCxnSpPr/>
      </xdr:nvCxnSpPr>
      <xdr:spPr>
        <a:xfrm flipV="1">
          <a:off x="13912850" y="5046537"/>
          <a:ext cx="254000" cy="195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298450</xdr:colOff>
      <xdr:row>16</xdr:row>
      <xdr:rowOff>146616</xdr:rowOff>
    </xdr:from>
    <xdr:to>
      <xdr:col>34</xdr:col>
      <xdr:colOff>171450</xdr:colOff>
      <xdr:row>16</xdr:row>
      <xdr:rowOff>233237</xdr:rowOff>
    </xdr:to>
    <xdr:cxnSp macro="">
      <xdr:nvCxnSpPr>
        <xdr:cNvPr id="1725" name="SCHEMA_T01_COND_0251">
          <a:extLst>
            <a:ext uri="{FF2B5EF4-FFF2-40B4-BE49-F238E27FC236}">
              <a16:creationId xmlns:a16="http://schemas.microsoft.com/office/drawing/2014/main" id="{5B782F08-54A8-9C4B-5917-695BD04949BE}"/>
            </a:ext>
          </a:extLst>
        </xdr:cNvPr>
        <xdr:cNvCxnSpPr/>
      </xdr:nvCxnSpPr>
      <xdr:spPr>
        <a:xfrm flipV="1">
          <a:off x="14166850" y="4959916"/>
          <a:ext cx="254000" cy="8662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171450</xdr:colOff>
      <xdr:row>15</xdr:row>
      <xdr:rowOff>222978</xdr:rowOff>
    </xdr:from>
    <xdr:to>
      <xdr:col>35</xdr:col>
      <xdr:colOff>44450</xdr:colOff>
      <xdr:row>16</xdr:row>
      <xdr:rowOff>146616</xdr:rowOff>
    </xdr:to>
    <xdr:cxnSp macro="">
      <xdr:nvCxnSpPr>
        <xdr:cNvPr id="1726" name="SCHEMA_T01_COND_0252">
          <a:extLst>
            <a:ext uri="{FF2B5EF4-FFF2-40B4-BE49-F238E27FC236}">
              <a16:creationId xmlns:a16="http://schemas.microsoft.com/office/drawing/2014/main" id="{C3C0A320-D5EE-07CA-2324-6C62AD85D9EB}"/>
            </a:ext>
          </a:extLst>
        </xdr:cNvPr>
        <xdr:cNvCxnSpPr/>
      </xdr:nvCxnSpPr>
      <xdr:spPr>
        <a:xfrm flipV="1">
          <a:off x="14420850" y="4788628"/>
          <a:ext cx="254000" cy="17128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44450</xdr:colOff>
      <xdr:row>17</xdr:row>
      <xdr:rowOff>87187</xdr:rowOff>
    </xdr:from>
    <xdr:to>
      <xdr:col>33</xdr:col>
      <xdr:colOff>298450</xdr:colOff>
      <xdr:row>17</xdr:row>
      <xdr:rowOff>89142</xdr:rowOff>
    </xdr:to>
    <xdr:cxnSp macro="">
      <xdr:nvCxnSpPr>
        <xdr:cNvPr id="1727" name="SCHEMA_T01_COND_0253">
          <a:extLst>
            <a:ext uri="{FF2B5EF4-FFF2-40B4-BE49-F238E27FC236}">
              <a16:creationId xmlns:a16="http://schemas.microsoft.com/office/drawing/2014/main" id="{7EFC1C89-EAA1-F2DC-2BF4-9E4D5FE7F5AA}"/>
            </a:ext>
          </a:extLst>
        </xdr:cNvPr>
        <xdr:cNvCxnSpPr/>
      </xdr:nvCxnSpPr>
      <xdr:spPr>
        <a:xfrm flipV="1">
          <a:off x="13912850" y="5148137"/>
          <a:ext cx="254000" cy="195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298450</xdr:colOff>
      <xdr:row>17</xdr:row>
      <xdr:rowOff>566</xdr:rowOff>
    </xdr:from>
    <xdr:to>
      <xdr:col>34</xdr:col>
      <xdr:colOff>171450</xdr:colOff>
      <xdr:row>17</xdr:row>
      <xdr:rowOff>87187</xdr:rowOff>
    </xdr:to>
    <xdr:cxnSp macro="">
      <xdr:nvCxnSpPr>
        <xdr:cNvPr id="1728" name="SCHEMA_T01_COND_0254">
          <a:extLst>
            <a:ext uri="{FF2B5EF4-FFF2-40B4-BE49-F238E27FC236}">
              <a16:creationId xmlns:a16="http://schemas.microsoft.com/office/drawing/2014/main" id="{91DC4C1E-57BA-6098-754D-E085909D7EA4}"/>
            </a:ext>
          </a:extLst>
        </xdr:cNvPr>
        <xdr:cNvCxnSpPr/>
      </xdr:nvCxnSpPr>
      <xdr:spPr>
        <a:xfrm flipV="1">
          <a:off x="14166850" y="5061516"/>
          <a:ext cx="254000" cy="8662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171450</xdr:colOff>
      <xdr:row>16</xdr:row>
      <xdr:rowOff>76928</xdr:rowOff>
    </xdr:from>
    <xdr:to>
      <xdr:col>35</xdr:col>
      <xdr:colOff>44450</xdr:colOff>
      <xdr:row>17</xdr:row>
      <xdr:rowOff>566</xdr:rowOff>
    </xdr:to>
    <xdr:cxnSp macro="">
      <xdr:nvCxnSpPr>
        <xdr:cNvPr id="1729" name="SCHEMA_T01_COND_0255">
          <a:extLst>
            <a:ext uri="{FF2B5EF4-FFF2-40B4-BE49-F238E27FC236}">
              <a16:creationId xmlns:a16="http://schemas.microsoft.com/office/drawing/2014/main" id="{65E74F70-3027-B073-D159-93140AB68DBE}"/>
            </a:ext>
          </a:extLst>
        </xdr:cNvPr>
        <xdr:cNvCxnSpPr/>
      </xdr:nvCxnSpPr>
      <xdr:spPr>
        <a:xfrm flipV="1">
          <a:off x="14420850" y="4890228"/>
          <a:ext cx="254000" cy="17128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6350</xdr:colOff>
      <xdr:row>25</xdr:row>
      <xdr:rowOff>3175</xdr:rowOff>
    </xdr:from>
    <xdr:to>
      <xdr:col>34</xdr:col>
      <xdr:colOff>82550</xdr:colOff>
      <xdr:row>25</xdr:row>
      <xdr:rowOff>79375</xdr:rowOff>
    </xdr:to>
    <xdr:sp macro="" textlink="">
      <xdr:nvSpPr>
        <xdr:cNvPr id="1730" name="SCHEMA_T01_ATTRAV_17">
          <a:extLst>
            <a:ext uri="{FF2B5EF4-FFF2-40B4-BE49-F238E27FC236}">
              <a16:creationId xmlns:a16="http://schemas.microsoft.com/office/drawing/2014/main" id="{D6246524-AAA9-EFCD-AE96-46FC851B6D84}"/>
            </a:ext>
          </a:extLst>
        </xdr:cNvPr>
        <xdr:cNvSpPr/>
      </xdr:nvSpPr>
      <xdr:spPr>
        <a:xfrm>
          <a:off x="14255750" y="7045325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35</xdr:col>
      <xdr:colOff>44450</xdr:colOff>
      <xdr:row>14</xdr:row>
      <xdr:rowOff>51528</xdr:rowOff>
    </xdr:from>
    <xdr:to>
      <xdr:col>35</xdr:col>
      <xdr:colOff>298450</xdr:colOff>
      <xdr:row>14</xdr:row>
      <xdr:rowOff>214941</xdr:rowOff>
    </xdr:to>
    <xdr:cxnSp macro="">
      <xdr:nvCxnSpPr>
        <xdr:cNvPr id="1731" name="SCHEMA_T01_COND_0256">
          <a:extLst>
            <a:ext uri="{FF2B5EF4-FFF2-40B4-BE49-F238E27FC236}">
              <a16:creationId xmlns:a16="http://schemas.microsoft.com/office/drawing/2014/main" id="{1976383A-B81D-91ED-E9B2-B83DE6F3E20A}"/>
            </a:ext>
          </a:extLst>
        </xdr:cNvPr>
        <xdr:cNvCxnSpPr/>
      </xdr:nvCxnSpPr>
      <xdr:spPr>
        <a:xfrm>
          <a:off x="14674850" y="4369528"/>
          <a:ext cx="254000" cy="163413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298450</xdr:colOff>
      <xdr:row>14</xdr:row>
      <xdr:rowOff>214941</xdr:rowOff>
    </xdr:from>
    <xdr:to>
      <xdr:col>36</xdr:col>
      <xdr:colOff>171450</xdr:colOff>
      <xdr:row>15</xdr:row>
      <xdr:rowOff>46038</xdr:rowOff>
    </xdr:to>
    <xdr:cxnSp macro="">
      <xdr:nvCxnSpPr>
        <xdr:cNvPr id="1732" name="SCHEMA_T01_COND_0257">
          <a:extLst>
            <a:ext uri="{FF2B5EF4-FFF2-40B4-BE49-F238E27FC236}">
              <a16:creationId xmlns:a16="http://schemas.microsoft.com/office/drawing/2014/main" id="{64B152A6-E57D-463D-D66F-A94206596872}"/>
            </a:ext>
          </a:extLst>
        </xdr:cNvPr>
        <xdr:cNvCxnSpPr/>
      </xdr:nvCxnSpPr>
      <xdr:spPr>
        <a:xfrm>
          <a:off x="14928850" y="4532941"/>
          <a:ext cx="254000" cy="78747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171450</xdr:colOff>
      <xdr:row>15</xdr:row>
      <xdr:rowOff>40118</xdr:rowOff>
    </xdr:from>
    <xdr:to>
      <xdr:col>37</xdr:col>
      <xdr:colOff>44450</xdr:colOff>
      <xdr:row>15</xdr:row>
      <xdr:rowOff>46038</xdr:rowOff>
    </xdr:to>
    <xdr:cxnSp macro="">
      <xdr:nvCxnSpPr>
        <xdr:cNvPr id="1733" name="SCHEMA_T01_COND_0258">
          <a:extLst>
            <a:ext uri="{FF2B5EF4-FFF2-40B4-BE49-F238E27FC236}">
              <a16:creationId xmlns:a16="http://schemas.microsoft.com/office/drawing/2014/main" id="{B46152B6-C653-5590-E20A-965B642C688C}"/>
            </a:ext>
          </a:extLst>
        </xdr:cNvPr>
        <xdr:cNvCxnSpPr/>
      </xdr:nvCxnSpPr>
      <xdr:spPr>
        <a:xfrm flipV="1">
          <a:off x="15182850" y="4605768"/>
          <a:ext cx="254000" cy="5920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44450</xdr:colOff>
      <xdr:row>14</xdr:row>
      <xdr:rowOff>216628</xdr:rowOff>
    </xdr:from>
    <xdr:to>
      <xdr:col>35</xdr:col>
      <xdr:colOff>298450</xdr:colOff>
      <xdr:row>15</xdr:row>
      <xdr:rowOff>132391</xdr:rowOff>
    </xdr:to>
    <xdr:cxnSp macro="">
      <xdr:nvCxnSpPr>
        <xdr:cNvPr id="1734" name="SCHEMA_T01_COND_0259">
          <a:extLst>
            <a:ext uri="{FF2B5EF4-FFF2-40B4-BE49-F238E27FC236}">
              <a16:creationId xmlns:a16="http://schemas.microsoft.com/office/drawing/2014/main" id="{58DCD2E6-F220-6ACD-A8F7-B2D44F22CCAC}"/>
            </a:ext>
          </a:extLst>
        </xdr:cNvPr>
        <xdr:cNvCxnSpPr/>
      </xdr:nvCxnSpPr>
      <xdr:spPr>
        <a:xfrm>
          <a:off x="14674850" y="4534628"/>
          <a:ext cx="254000" cy="16341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298450</xdr:colOff>
      <xdr:row>15</xdr:row>
      <xdr:rowOff>132391</xdr:rowOff>
    </xdr:from>
    <xdr:to>
      <xdr:col>36</xdr:col>
      <xdr:colOff>171450</xdr:colOff>
      <xdr:row>15</xdr:row>
      <xdr:rowOff>211138</xdr:rowOff>
    </xdr:to>
    <xdr:cxnSp macro="">
      <xdr:nvCxnSpPr>
        <xdr:cNvPr id="1735" name="SCHEMA_T01_COND_0260">
          <a:extLst>
            <a:ext uri="{FF2B5EF4-FFF2-40B4-BE49-F238E27FC236}">
              <a16:creationId xmlns:a16="http://schemas.microsoft.com/office/drawing/2014/main" id="{4D8A279F-D96C-CDDA-B750-B897A7C9CBD7}"/>
            </a:ext>
          </a:extLst>
        </xdr:cNvPr>
        <xdr:cNvCxnSpPr/>
      </xdr:nvCxnSpPr>
      <xdr:spPr>
        <a:xfrm>
          <a:off x="14928850" y="4698041"/>
          <a:ext cx="254000" cy="7874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171450</xdr:colOff>
      <xdr:row>15</xdr:row>
      <xdr:rowOff>205218</xdr:rowOff>
    </xdr:from>
    <xdr:to>
      <xdr:col>37</xdr:col>
      <xdr:colOff>44450</xdr:colOff>
      <xdr:row>15</xdr:row>
      <xdr:rowOff>211138</xdr:rowOff>
    </xdr:to>
    <xdr:cxnSp macro="">
      <xdr:nvCxnSpPr>
        <xdr:cNvPr id="1736" name="SCHEMA_T01_COND_0261">
          <a:extLst>
            <a:ext uri="{FF2B5EF4-FFF2-40B4-BE49-F238E27FC236}">
              <a16:creationId xmlns:a16="http://schemas.microsoft.com/office/drawing/2014/main" id="{91BAA85F-9C3D-877B-8E3B-2B7A3B8DE323}"/>
            </a:ext>
          </a:extLst>
        </xdr:cNvPr>
        <xdr:cNvCxnSpPr/>
      </xdr:nvCxnSpPr>
      <xdr:spPr>
        <a:xfrm flipV="1">
          <a:off x="15182850" y="4770868"/>
          <a:ext cx="254000" cy="592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44450</xdr:colOff>
      <xdr:row>15</xdr:row>
      <xdr:rowOff>70578</xdr:rowOff>
    </xdr:from>
    <xdr:to>
      <xdr:col>35</xdr:col>
      <xdr:colOff>298450</xdr:colOff>
      <xdr:row>15</xdr:row>
      <xdr:rowOff>233991</xdr:rowOff>
    </xdr:to>
    <xdr:cxnSp macro="">
      <xdr:nvCxnSpPr>
        <xdr:cNvPr id="1737" name="SCHEMA_T01_COND_0262">
          <a:extLst>
            <a:ext uri="{FF2B5EF4-FFF2-40B4-BE49-F238E27FC236}">
              <a16:creationId xmlns:a16="http://schemas.microsoft.com/office/drawing/2014/main" id="{7FD0084B-8DD8-126C-A95A-467C3A129788}"/>
            </a:ext>
          </a:extLst>
        </xdr:cNvPr>
        <xdr:cNvCxnSpPr/>
      </xdr:nvCxnSpPr>
      <xdr:spPr>
        <a:xfrm>
          <a:off x="14674850" y="4636228"/>
          <a:ext cx="254000" cy="16341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298450</xdr:colOff>
      <xdr:row>15</xdr:row>
      <xdr:rowOff>233991</xdr:rowOff>
    </xdr:from>
    <xdr:to>
      <xdr:col>36</xdr:col>
      <xdr:colOff>171450</xdr:colOff>
      <xdr:row>16</xdr:row>
      <xdr:rowOff>65088</xdr:rowOff>
    </xdr:to>
    <xdr:cxnSp macro="">
      <xdr:nvCxnSpPr>
        <xdr:cNvPr id="1738" name="SCHEMA_T01_COND_0263">
          <a:extLst>
            <a:ext uri="{FF2B5EF4-FFF2-40B4-BE49-F238E27FC236}">
              <a16:creationId xmlns:a16="http://schemas.microsoft.com/office/drawing/2014/main" id="{5F9611E0-C026-9285-C8EF-3F3B40D1F3F1}"/>
            </a:ext>
          </a:extLst>
        </xdr:cNvPr>
        <xdr:cNvCxnSpPr/>
      </xdr:nvCxnSpPr>
      <xdr:spPr>
        <a:xfrm>
          <a:off x="14928850" y="4799641"/>
          <a:ext cx="254000" cy="7874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171450</xdr:colOff>
      <xdr:row>16</xdr:row>
      <xdr:rowOff>59168</xdr:rowOff>
    </xdr:from>
    <xdr:to>
      <xdr:col>37</xdr:col>
      <xdr:colOff>44450</xdr:colOff>
      <xdr:row>16</xdr:row>
      <xdr:rowOff>65088</xdr:rowOff>
    </xdr:to>
    <xdr:cxnSp macro="">
      <xdr:nvCxnSpPr>
        <xdr:cNvPr id="1739" name="SCHEMA_T01_COND_0264">
          <a:extLst>
            <a:ext uri="{FF2B5EF4-FFF2-40B4-BE49-F238E27FC236}">
              <a16:creationId xmlns:a16="http://schemas.microsoft.com/office/drawing/2014/main" id="{12CB0442-E75D-B89B-616E-5D59E048DE78}"/>
            </a:ext>
          </a:extLst>
        </xdr:cNvPr>
        <xdr:cNvCxnSpPr/>
      </xdr:nvCxnSpPr>
      <xdr:spPr>
        <a:xfrm flipV="1">
          <a:off x="15182850" y="4872468"/>
          <a:ext cx="254000" cy="592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44450</xdr:colOff>
      <xdr:row>15</xdr:row>
      <xdr:rowOff>222978</xdr:rowOff>
    </xdr:from>
    <xdr:to>
      <xdr:col>35</xdr:col>
      <xdr:colOff>298450</xdr:colOff>
      <xdr:row>16</xdr:row>
      <xdr:rowOff>138741</xdr:rowOff>
    </xdr:to>
    <xdr:cxnSp macro="">
      <xdr:nvCxnSpPr>
        <xdr:cNvPr id="1740" name="SCHEMA_T01_COND_0265">
          <a:extLst>
            <a:ext uri="{FF2B5EF4-FFF2-40B4-BE49-F238E27FC236}">
              <a16:creationId xmlns:a16="http://schemas.microsoft.com/office/drawing/2014/main" id="{2CC49F46-5142-6F03-1E9E-6768C846AAC9}"/>
            </a:ext>
          </a:extLst>
        </xdr:cNvPr>
        <xdr:cNvCxnSpPr/>
      </xdr:nvCxnSpPr>
      <xdr:spPr>
        <a:xfrm>
          <a:off x="14674850" y="4788628"/>
          <a:ext cx="254000" cy="16341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298450</xdr:colOff>
      <xdr:row>16</xdr:row>
      <xdr:rowOff>138741</xdr:rowOff>
    </xdr:from>
    <xdr:to>
      <xdr:col>36</xdr:col>
      <xdr:colOff>171450</xdr:colOff>
      <xdr:row>16</xdr:row>
      <xdr:rowOff>217488</xdr:rowOff>
    </xdr:to>
    <xdr:cxnSp macro="">
      <xdr:nvCxnSpPr>
        <xdr:cNvPr id="1741" name="SCHEMA_T01_COND_0266">
          <a:extLst>
            <a:ext uri="{FF2B5EF4-FFF2-40B4-BE49-F238E27FC236}">
              <a16:creationId xmlns:a16="http://schemas.microsoft.com/office/drawing/2014/main" id="{5477BA4A-13F5-CA2B-2A5D-FA03726CBDF7}"/>
            </a:ext>
          </a:extLst>
        </xdr:cNvPr>
        <xdr:cNvCxnSpPr/>
      </xdr:nvCxnSpPr>
      <xdr:spPr>
        <a:xfrm>
          <a:off x="14928850" y="4952041"/>
          <a:ext cx="254000" cy="7874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171450</xdr:colOff>
      <xdr:row>16</xdr:row>
      <xdr:rowOff>211568</xdr:rowOff>
    </xdr:from>
    <xdr:to>
      <xdr:col>37</xdr:col>
      <xdr:colOff>44450</xdr:colOff>
      <xdr:row>16</xdr:row>
      <xdr:rowOff>217488</xdr:rowOff>
    </xdr:to>
    <xdr:cxnSp macro="">
      <xdr:nvCxnSpPr>
        <xdr:cNvPr id="1742" name="SCHEMA_T01_COND_0267">
          <a:extLst>
            <a:ext uri="{FF2B5EF4-FFF2-40B4-BE49-F238E27FC236}">
              <a16:creationId xmlns:a16="http://schemas.microsoft.com/office/drawing/2014/main" id="{4D909496-6E56-9460-4F58-3378F6CD4E09}"/>
            </a:ext>
          </a:extLst>
        </xdr:cNvPr>
        <xdr:cNvCxnSpPr/>
      </xdr:nvCxnSpPr>
      <xdr:spPr>
        <a:xfrm flipV="1">
          <a:off x="15182850" y="5024868"/>
          <a:ext cx="254000" cy="592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44450</xdr:colOff>
      <xdr:row>16</xdr:row>
      <xdr:rowOff>76928</xdr:rowOff>
    </xdr:from>
    <xdr:to>
      <xdr:col>35</xdr:col>
      <xdr:colOff>298450</xdr:colOff>
      <xdr:row>16</xdr:row>
      <xdr:rowOff>240341</xdr:rowOff>
    </xdr:to>
    <xdr:cxnSp macro="">
      <xdr:nvCxnSpPr>
        <xdr:cNvPr id="1743" name="SCHEMA_T01_COND_0268">
          <a:extLst>
            <a:ext uri="{FF2B5EF4-FFF2-40B4-BE49-F238E27FC236}">
              <a16:creationId xmlns:a16="http://schemas.microsoft.com/office/drawing/2014/main" id="{B6258E42-53F9-8D8F-65AE-D37A76CB28D0}"/>
            </a:ext>
          </a:extLst>
        </xdr:cNvPr>
        <xdr:cNvCxnSpPr/>
      </xdr:nvCxnSpPr>
      <xdr:spPr>
        <a:xfrm>
          <a:off x="14674850" y="4890228"/>
          <a:ext cx="254000" cy="16341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298450</xdr:colOff>
      <xdr:row>16</xdr:row>
      <xdr:rowOff>240341</xdr:rowOff>
    </xdr:from>
    <xdr:to>
      <xdr:col>36</xdr:col>
      <xdr:colOff>171450</xdr:colOff>
      <xdr:row>17</xdr:row>
      <xdr:rowOff>71438</xdr:rowOff>
    </xdr:to>
    <xdr:cxnSp macro="">
      <xdr:nvCxnSpPr>
        <xdr:cNvPr id="1744" name="SCHEMA_T01_COND_0269">
          <a:extLst>
            <a:ext uri="{FF2B5EF4-FFF2-40B4-BE49-F238E27FC236}">
              <a16:creationId xmlns:a16="http://schemas.microsoft.com/office/drawing/2014/main" id="{EA27BF05-23B3-7DD5-CC02-26F1563DA1B9}"/>
            </a:ext>
          </a:extLst>
        </xdr:cNvPr>
        <xdr:cNvCxnSpPr/>
      </xdr:nvCxnSpPr>
      <xdr:spPr>
        <a:xfrm>
          <a:off x="14928850" y="5053641"/>
          <a:ext cx="254000" cy="7874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171450</xdr:colOff>
      <xdr:row>17</xdr:row>
      <xdr:rowOff>65518</xdr:rowOff>
    </xdr:from>
    <xdr:to>
      <xdr:col>37</xdr:col>
      <xdr:colOff>44450</xdr:colOff>
      <xdr:row>17</xdr:row>
      <xdr:rowOff>71438</xdr:rowOff>
    </xdr:to>
    <xdr:cxnSp macro="">
      <xdr:nvCxnSpPr>
        <xdr:cNvPr id="1745" name="SCHEMA_T01_COND_0270">
          <a:extLst>
            <a:ext uri="{FF2B5EF4-FFF2-40B4-BE49-F238E27FC236}">
              <a16:creationId xmlns:a16="http://schemas.microsoft.com/office/drawing/2014/main" id="{B681A529-8A88-1081-9D26-6E8BB6EBA86C}"/>
            </a:ext>
          </a:extLst>
        </xdr:cNvPr>
        <xdr:cNvCxnSpPr/>
      </xdr:nvCxnSpPr>
      <xdr:spPr>
        <a:xfrm flipV="1">
          <a:off x="15182850" y="5126468"/>
          <a:ext cx="254000" cy="592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44450</xdr:colOff>
      <xdr:row>15</xdr:row>
      <xdr:rowOff>40118</xdr:rowOff>
    </xdr:from>
    <xdr:to>
      <xdr:col>37</xdr:col>
      <xdr:colOff>298450</xdr:colOff>
      <xdr:row>15</xdr:row>
      <xdr:rowOff>132659</xdr:rowOff>
    </xdr:to>
    <xdr:cxnSp macro="">
      <xdr:nvCxnSpPr>
        <xdr:cNvPr id="1746" name="SCHEMA_T01_COND_0271">
          <a:extLst>
            <a:ext uri="{FF2B5EF4-FFF2-40B4-BE49-F238E27FC236}">
              <a16:creationId xmlns:a16="http://schemas.microsoft.com/office/drawing/2014/main" id="{F0AA8CE5-FF1D-414E-3E91-A2048AAD268D}"/>
            </a:ext>
          </a:extLst>
        </xdr:cNvPr>
        <xdr:cNvCxnSpPr/>
      </xdr:nvCxnSpPr>
      <xdr:spPr>
        <a:xfrm>
          <a:off x="15436850" y="4605768"/>
          <a:ext cx="254000" cy="92541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298450</xdr:colOff>
      <xdr:row>15</xdr:row>
      <xdr:rowOff>132659</xdr:rowOff>
    </xdr:from>
    <xdr:to>
      <xdr:col>38</xdr:col>
      <xdr:colOff>171450</xdr:colOff>
      <xdr:row>15</xdr:row>
      <xdr:rowOff>140534</xdr:rowOff>
    </xdr:to>
    <xdr:cxnSp macro="">
      <xdr:nvCxnSpPr>
        <xdr:cNvPr id="1747" name="SCHEMA_T01_COND_0272">
          <a:extLst>
            <a:ext uri="{FF2B5EF4-FFF2-40B4-BE49-F238E27FC236}">
              <a16:creationId xmlns:a16="http://schemas.microsoft.com/office/drawing/2014/main" id="{3379F4CB-D12B-3DDA-870E-06ECF15C3C1C}"/>
            </a:ext>
          </a:extLst>
        </xdr:cNvPr>
        <xdr:cNvCxnSpPr/>
      </xdr:nvCxnSpPr>
      <xdr:spPr>
        <a:xfrm>
          <a:off x="15690850" y="4698309"/>
          <a:ext cx="254000" cy="7875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171450</xdr:colOff>
      <xdr:row>15</xdr:row>
      <xdr:rowOff>63742</xdr:rowOff>
    </xdr:from>
    <xdr:to>
      <xdr:col>39</xdr:col>
      <xdr:colOff>44450</xdr:colOff>
      <xdr:row>15</xdr:row>
      <xdr:rowOff>140534</xdr:rowOff>
    </xdr:to>
    <xdr:cxnSp macro="">
      <xdr:nvCxnSpPr>
        <xdr:cNvPr id="1748" name="SCHEMA_T01_COND_0273">
          <a:extLst>
            <a:ext uri="{FF2B5EF4-FFF2-40B4-BE49-F238E27FC236}">
              <a16:creationId xmlns:a16="http://schemas.microsoft.com/office/drawing/2014/main" id="{1181A4DD-8094-B6DE-C289-68BCD9FBF697}"/>
            </a:ext>
          </a:extLst>
        </xdr:cNvPr>
        <xdr:cNvCxnSpPr/>
      </xdr:nvCxnSpPr>
      <xdr:spPr>
        <a:xfrm flipV="1">
          <a:off x="15944850" y="4629392"/>
          <a:ext cx="254000" cy="76792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44450</xdr:colOff>
      <xdr:row>15</xdr:row>
      <xdr:rowOff>205218</xdr:rowOff>
    </xdr:from>
    <xdr:to>
      <xdr:col>37</xdr:col>
      <xdr:colOff>298450</xdr:colOff>
      <xdr:row>16</xdr:row>
      <xdr:rowOff>50109</xdr:rowOff>
    </xdr:to>
    <xdr:cxnSp macro="">
      <xdr:nvCxnSpPr>
        <xdr:cNvPr id="1749" name="SCHEMA_T01_COND_0274">
          <a:extLst>
            <a:ext uri="{FF2B5EF4-FFF2-40B4-BE49-F238E27FC236}">
              <a16:creationId xmlns:a16="http://schemas.microsoft.com/office/drawing/2014/main" id="{A9FBB088-B3A2-5CF9-2BCD-9B163FA2270F}"/>
            </a:ext>
          </a:extLst>
        </xdr:cNvPr>
        <xdr:cNvCxnSpPr/>
      </xdr:nvCxnSpPr>
      <xdr:spPr>
        <a:xfrm>
          <a:off x="15436850" y="4770868"/>
          <a:ext cx="254000" cy="9254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298450</xdr:colOff>
      <xdr:row>16</xdr:row>
      <xdr:rowOff>50109</xdr:rowOff>
    </xdr:from>
    <xdr:to>
      <xdr:col>38</xdr:col>
      <xdr:colOff>171450</xdr:colOff>
      <xdr:row>16</xdr:row>
      <xdr:rowOff>57984</xdr:rowOff>
    </xdr:to>
    <xdr:cxnSp macro="">
      <xdr:nvCxnSpPr>
        <xdr:cNvPr id="1750" name="SCHEMA_T01_COND_0275">
          <a:extLst>
            <a:ext uri="{FF2B5EF4-FFF2-40B4-BE49-F238E27FC236}">
              <a16:creationId xmlns:a16="http://schemas.microsoft.com/office/drawing/2014/main" id="{8CAB3089-D232-FD35-7113-8052868E396E}"/>
            </a:ext>
          </a:extLst>
        </xdr:cNvPr>
        <xdr:cNvCxnSpPr/>
      </xdr:nvCxnSpPr>
      <xdr:spPr>
        <a:xfrm>
          <a:off x="15690850" y="4863409"/>
          <a:ext cx="254000" cy="787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171450</xdr:colOff>
      <xdr:row>15</xdr:row>
      <xdr:rowOff>228842</xdr:rowOff>
    </xdr:from>
    <xdr:to>
      <xdr:col>39</xdr:col>
      <xdr:colOff>44450</xdr:colOff>
      <xdr:row>16</xdr:row>
      <xdr:rowOff>57984</xdr:rowOff>
    </xdr:to>
    <xdr:cxnSp macro="">
      <xdr:nvCxnSpPr>
        <xdr:cNvPr id="1751" name="SCHEMA_T01_COND_0276">
          <a:extLst>
            <a:ext uri="{FF2B5EF4-FFF2-40B4-BE49-F238E27FC236}">
              <a16:creationId xmlns:a16="http://schemas.microsoft.com/office/drawing/2014/main" id="{D5BA9DF8-3DE7-6582-2B2F-15CE66A1C922}"/>
            </a:ext>
          </a:extLst>
        </xdr:cNvPr>
        <xdr:cNvCxnSpPr/>
      </xdr:nvCxnSpPr>
      <xdr:spPr>
        <a:xfrm flipV="1">
          <a:off x="15944850" y="4794492"/>
          <a:ext cx="254000" cy="7679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44450</xdr:colOff>
      <xdr:row>16</xdr:row>
      <xdr:rowOff>59168</xdr:rowOff>
    </xdr:from>
    <xdr:to>
      <xdr:col>37</xdr:col>
      <xdr:colOff>298450</xdr:colOff>
      <xdr:row>16</xdr:row>
      <xdr:rowOff>151709</xdr:rowOff>
    </xdr:to>
    <xdr:cxnSp macro="">
      <xdr:nvCxnSpPr>
        <xdr:cNvPr id="1752" name="SCHEMA_T01_COND_0277">
          <a:extLst>
            <a:ext uri="{FF2B5EF4-FFF2-40B4-BE49-F238E27FC236}">
              <a16:creationId xmlns:a16="http://schemas.microsoft.com/office/drawing/2014/main" id="{69466304-BF61-3FA0-780C-5A9DF20F8DD3}"/>
            </a:ext>
          </a:extLst>
        </xdr:cNvPr>
        <xdr:cNvCxnSpPr/>
      </xdr:nvCxnSpPr>
      <xdr:spPr>
        <a:xfrm>
          <a:off x="15436850" y="4872468"/>
          <a:ext cx="254000" cy="9254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298450</xdr:colOff>
      <xdr:row>16</xdr:row>
      <xdr:rowOff>151709</xdr:rowOff>
    </xdr:from>
    <xdr:to>
      <xdr:col>38</xdr:col>
      <xdr:colOff>171450</xdr:colOff>
      <xdr:row>16</xdr:row>
      <xdr:rowOff>159584</xdr:rowOff>
    </xdr:to>
    <xdr:cxnSp macro="">
      <xdr:nvCxnSpPr>
        <xdr:cNvPr id="1753" name="SCHEMA_T01_COND_0278">
          <a:extLst>
            <a:ext uri="{FF2B5EF4-FFF2-40B4-BE49-F238E27FC236}">
              <a16:creationId xmlns:a16="http://schemas.microsoft.com/office/drawing/2014/main" id="{8AB25BD5-2208-3D21-5FE3-512792F320D0}"/>
            </a:ext>
          </a:extLst>
        </xdr:cNvPr>
        <xdr:cNvCxnSpPr/>
      </xdr:nvCxnSpPr>
      <xdr:spPr>
        <a:xfrm>
          <a:off x="15690850" y="4965009"/>
          <a:ext cx="254000" cy="787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171450</xdr:colOff>
      <xdr:row>16</xdr:row>
      <xdr:rowOff>82792</xdr:rowOff>
    </xdr:from>
    <xdr:to>
      <xdr:col>39</xdr:col>
      <xdr:colOff>44450</xdr:colOff>
      <xdr:row>16</xdr:row>
      <xdr:rowOff>159584</xdr:rowOff>
    </xdr:to>
    <xdr:cxnSp macro="">
      <xdr:nvCxnSpPr>
        <xdr:cNvPr id="1754" name="SCHEMA_T01_COND_0279">
          <a:extLst>
            <a:ext uri="{FF2B5EF4-FFF2-40B4-BE49-F238E27FC236}">
              <a16:creationId xmlns:a16="http://schemas.microsoft.com/office/drawing/2014/main" id="{3BD34A27-9A20-5784-DF0F-1FC4C8431A2B}"/>
            </a:ext>
          </a:extLst>
        </xdr:cNvPr>
        <xdr:cNvCxnSpPr/>
      </xdr:nvCxnSpPr>
      <xdr:spPr>
        <a:xfrm flipV="1">
          <a:off x="15944850" y="4896092"/>
          <a:ext cx="254000" cy="7679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44450</xdr:colOff>
      <xdr:row>16</xdr:row>
      <xdr:rowOff>211568</xdr:rowOff>
    </xdr:from>
    <xdr:to>
      <xdr:col>37</xdr:col>
      <xdr:colOff>298450</xdr:colOff>
      <xdr:row>17</xdr:row>
      <xdr:rowOff>56459</xdr:rowOff>
    </xdr:to>
    <xdr:cxnSp macro="">
      <xdr:nvCxnSpPr>
        <xdr:cNvPr id="1755" name="SCHEMA_T01_COND_0280">
          <a:extLst>
            <a:ext uri="{FF2B5EF4-FFF2-40B4-BE49-F238E27FC236}">
              <a16:creationId xmlns:a16="http://schemas.microsoft.com/office/drawing/2014/main" id="{F33F8895-B5B2-46A1-FAD1-91105E1F1E11}"/>
            </a:ext>
          </a:extLst>
        </xdr:cNvPr>
        <xdr:cNvCxnSpPr/>
      </xdr:nvCxnSpPr>
      <xdr:spPr>
        <a:xfrm>
          <a:off x="15436850" y="5024868"/>
          <a:ext cx="254000" cy="9254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298450</xdr:colOff>
      <xdr:row>17</xdr:row>
      <xdr:rowOff>56459</xdr:rowOff>
    </xdr:from>
    <xdr:to>
      <xdr:col>38</xdr:col>
      <xdr:colOff>171450</xdr:colOff>
      <xdr:row>17</xdr:row>
      <xdr:rowOff>64334</xdr:rowOff>
    </xdr:to>
    <xdr:cxnSp macro="">
      <xdr:nvCxnSpPr>
        <xdr:cNvPr id="1756" name="SCHEMA_T01_COND_0281">
          <a:extLst>
            <a:ext uri="{FF2B5EF4-FFF2-40B4-BE49-F238E27FC236}">
              <a16:creationId xmlns:a16="http://schemas.microsoft.com/office/drawing/2014/main" id="{DBCB6264-6F08-7FC7-D266-DE75CA5148CE}"/>
            </a:ext>
          </a:extLst>
        </xdr:cNvPr>
        <xdr:cNvCxnSpPr/>
      </xdr:nvCxnSpPr>
      <xdr:spPr>
        <a:xfrm>
          <a:off x="15690850" y="5117409"/>
          <a:ext cx="254000" cy="787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171450</xdr:colOff>
      <xdr:row>16</xdr:row>
      <xdr:rowOff>235192</xdr:rowOff>
    </xdr:from>
    <xdr:to>
      <xdr:col>39</xdr:col>
      <xdr:colOff>44450</xdr:colOff>
      <xdr:row>17</xdr:row>
      <xdr:rowOff>64334</xdr:rowOff>
    </xdr:to>
    <xdr:cxnSp macro="">
      <xdr:nvCxnSpPr>
        <xdr:cNvPr id="1757" name="SCHEMA_T01_COND_0282">
          <a:extLst>
            <a:ext uri="{FF2B5EF4-FFF2-40B4-BE49-F238E27FC236}">
              <a16:creationId xmlns:a16="http://schemas.microsoft.com/office/drawing/2014/main" id="{A40C1EF0-DE0D-264A-6F38-12E5FAB12581}"/>
            </a:ext>
          </a:extLst>
        </xdr:cNvPr>
        <xdr:cNvCxnSpPr/>
      </xdr:nvCxnSpPr>
      <xdr:spPr>
        <a:xfrm flipV="1">
          <a:off x="15944850" y="5048492"/>
          <a:ext cx="254000" cy="7679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44450</xdr:colOff>
      <xdr:row>17</xdr:row>
      <xdr:rowOff>65518</xdr:rowOff>
    </xdr:from>
    <xdr:to>
      <xdr:col>37</xdr:col>
      <xdr:colOff>298450</xdr:colOff>
      <xdr:row>17</xdr:row>
      <xdr:rowOff>158059</xdr:rowOff>
    </xdr:to>
    <xdr:cxnSp macro="">
      <xdr:nvCxnSpPr>
        <xdr:cNvPr id="1758" name="SCHEMA_T01_COND_0283">
          <a:extLst>
            <a:ext uri="{FF2B5EF4-FFF2-40B4-BE49-F238E27FC236}">
              <a16:creationId xmlns:a16="http://schemas.microsoft.com/office/drawing/2014/main" id="{A253D5EA-3A13-BF40-E2DB-BD769D3F3DEE}"/>
            </a:ext>
          </a:extLst>
        </xdr:cNvPr>
        <xdr:cNvCxnSpPr/>
      </xdr:nvCxnSpPr>
      <xdr:spPr>
        <a:xfrm>
          <a:off x="15436850" y="5126468"/>
          <a:ext cx="254000" cy="9254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298450</xdr:colOff>
      <xdr:row>17</xdr:row>
      <xdr:rowOff>158059</xdr:rowOff>
    </xdr:from>
    <xdr:to>
      <xdr:col>38</xdr:col>
      <xdr:colOff>171450</xdr:colOff>
      <xdr:row>17</xdr:row>
      <xdr:rowOff>165934</xdr:rowOff>
    </xdr:to>
    <xdr:cxnSp macro="">
      <xdr:nvCxnSpPr>
        <xdr:cNvPr id="1759" name="SCHEMA_T01_COND_0284">
          <a:extLst>
            <a:ext uri="{FF2B5EF4-FFF2-40B4-BE49-F238E27FC236}">
              <a16:creationId xmlns:a16="http://schemas.microsoft.com/office/drawing/2014/main" id="{378FA429-8905-0BF9-9E05-0CE56B545411}"/>
            </a:ext>
          </a:extLst>
        </xdr:cNvPr>
        <xdr:cNvCxnSpPr/>
      </xdr:nvCxnSpPr>
      <xdr:spPr>
        <a:xfrm>
          <a:off x="15690850" y="5219009"/>
          <a:ext cx="254000" cy="787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171450</xdr:colOff>
      <xdr:row>17</xdr:row>
      <xdr:rowOff>89142</xdr:rowOff>
    </xdr:from>
    <xdr:to>
      <xdr:col>39</xdr:col>
      <xdr:colOff>44450</xdr:colOff>
      <xdr:row>17</xdr:row>
      <xdr:rowOff>165934</xdr:rowOff>
    </xdr:to>
    <xdr:cxnSp macro="">
      <xdr:nvCxnSpPr>
        <xdr:cNvPr id="1760" name="SCHEMA_T01_COND_0285">
          <a:extLst>
            <a:ext uri="{FF2B5EF4-FFF2-40B4-BE49-F238E27FC236}">
              <a16:creationId xmlns:a16="http://schemas.microsoft.com/office/drawing/2014/main" id="{AE96B42A-A3E4-1958-8C78-EC983120514B}"/>
            </a:ext>
          </a:extLst>
        </xdr:cNvPr>
        <xdr:cNvCxnSpPr/>
      </xdr:nvCxnSpPr>
      <xdr:spPr>
        <a:xfrm flipV="1">
          <a:off x="15944850" y="5150092"/>
          <a:ext cx="254000" cy="7679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6350</xdr:colOff>
      <xdr:row>25</xdr:row>
      <xdr:rowOff>3175</xdr:rowOff>
    </xdr:from>
    <xdr:to>
      <xdr:col>38</xdr:col>
      <xdr:colOff>82550</xdr:colOff>
      <xdr:row>25</xdr:row>
      <xdr:rowOff>79375</xdr:rowOff>
    </xdr:to>
    <xdr:sp macro="" textlink="">
      <xdr:nvSpPr>
        <xdr:cNvPr id="1761" name="SCHEMA_T01_ATTRAV_19">
          <a:extLst>
            <a:ext uri="{FF2B5EF4-FFF2-40B4-BE49-F238E27FC236}">
              <a16:creationId xmlns:a16="http://schemas.microsoft.com/office/drawing/2014/main" id="{8F86F3E3-5590-F93A-9D6F-76FC568CC37E}"/>
            </a:ext>
          </a:extLst>
        </xdr:cNvPr>
        <xdr:cNvSpPr/>
      </xdr:nvSpPr>
      <xdr:spPr>
        <a:xfrm>
          <a:off x="15779750" y="7045325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39</xdr:col>
      <xdr:colOff>44450</xdr:colOff>
      <xdr:row>15</xdr:row>
      <xdr:rowOff>63742</xdr:rowOff>
    </xdr:from>
    <xdr:to>
      <xdr:col>39</xdr:col>
      <xdr:colOff>298450</xdr:colOff>
      <xdr:row>15</xdr:row>
      <xdr:rowOff>72287</xdr:rowOff>
    </xdr:to>
    <xdr:cxnSp macro="">
      <xdr:nvCxnSpPr>
        <xdr:cNvPr id="1762" name="SCHEMA_T01_COND_0286">
          <a:extLst>
            <a:ext uri="{FF2B5EF4-FFF2-40B4-BE49-F238E27FC236}">
              <a16:creationId xmlns:a16="http://schemas.microsoft.com/office/drawing/2014/main" id="{84E4F010-DE06-9200-BF5E-208779689AFA}"/>
            </a:ext>
          </a:extLst>
        </xdr:cNvPr>
        <xdr:cNvCxnSpPr/>
      </xdr:nvCxnSpPr>
      <xdr:spPr>
        <a:xfrm>
          <a:off x="16198850" y="4629392"/>
          <a:ext cx="254000" cy="8545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298450</xdr:colOff>
      <xdr:row>14</xdr:row>
      <xdr:rowOff>243815</xdr:rowOff>
    </xdr:from>
    <xdr:to>
      <xdr:col>40</xdr:col>
      <xdr:colOff>171450</xdr:colOff>
      <xdr:row>15</xdr:row>
      <xdr:rowOff>72287</xdr:rowOff>
    </xdr:to>
    <xdr:cxnSp macro="">
      <xdr:nvCxnSpPr>
        <xdr:cNvPr id="1763" name="SCHEMA_T01_COND_0287">
          <a:extLst>
            <a:ext uri="{FF2B5EF4-FFF2-40B4-BE49-F238E27FC236}">
              <a16:creationId xmlns:a16="http://schemas.microsoft.com/office/drawing/2014/main" id="{0BAB7C7D-2D05-6E84-7DE6-DB5CA7CBF980}"/>
            </a:ext>
          </a:extLst>
        </xdr:cNvPr>
        <xdr:cNvCxnSpPr/>
      </xdr:nvCxnSpPr>
      <xdr:spPr>
        <a:xfrm flipV="1">
          <a:off x="16452850" y="4561815"/>
          <a:ext cx="254000" cy="76122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171450</xdr:colOff>
      <xdr:row>14</xdr:row>
      <xdr:rowOff>83027</xdr:rowOff>
    </xdr:from>
    <xdr:to>
      <xdr:col>41</xdr:col>
      <xdr:colOff>44450</xdr:colOff>
      <xdr:row>14</xdr:row>
      <xdr:rowOff>243815</xdr:rowOff>
    </xdr:to>
    <xdr:cxnSp macro="">
      <xdr:nvCxnSpPr>
        <xdr:cNvPr id="1764" name="SCHEMA_T01_COND_0288">
          <a:extLst>
            <a:ext uri="{FF2B5EF4-FFF2-40B4-BE49-F238E27FC236}">
              <a16:creationId xmlns:a16="http://schemas.microsoft.com/office/drawing/2014/main" id="{C95E3A9D-6920-CF3E-8B90-1CD98866EB1F}"/>
            </a:ext>
          </a:extLst>
        </xdr:cNvPr>
        <xdr:cNvCxnSpPr/>
      </xdr:nvCxnSpPr>
      <xdr:spPr>
        <a:xfrm flipV="1">
          <a:off x="16706850" y="4401027"/>
          <a:ext cx="254000" cy="160788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44450</xdr:colOff>
      <xdr:row>15</xdr:row>
      <xdr:rowOff>228842</xdr:rowOff>
    </xdr:from>
    <xdr:to>
      <xdr:col>39</xdr:col>
      <xdr:colOff>298450</xdr:colOff>
      <xdr:row>15</xdr:row>
      <xdr:rowOff>237387</xdr:rowOff>
    </xdr:to>
    <xdr:cxnSp macro="">
      <xdr:nvCxnSpPr>
        <xdr:cNvPr id="1765" name="SCHEMA_T01_COND_0289">
          <a:extLst>
            <a:ext uri="{FF2B5EF4-FFF2-40B4-BE49-F238E27FC236}">
              <a16:creationId xmlns:a16="http://schemas.microsoft.com/office/drawing/2014/main" id="{E1B08ED1-95F2-CF82-6B31-EDD1C9CF769D}"/>
            </a:ext>
          </a:extLst>
        </xdr:cNvPr>
        <xdr:cNvCxnSpPr/>
      </xdr:nvCxnSpPr>
      <xdr:spPr>
        <a:xfrm>
          <a:off x="16198850" y="4794492"/>
          <a:ext cx="254000" cy="854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298450</xdr:colOff>
      <xdr:row>15</xdr:row>
      <xdr:rowOff>161265</xdr:rowOff>
    </xdr:from>
    <xdr:to>
      <xdr:col>40</xdr:col>
      <xdr:colOff>171450</xdr:colOff>
      <xdr:row>15</xdr:row>
      <xdr:rowOff>237387</xdr:rowOff>
    </xdr:to>
    <xdr:cxnSp macro="">
      <xdr:nvCxnSpPr>
        <xdr:cNvPr id="1766" name="SCHEMA_T01_COND_0290">
          <a:extLst>
            <a:ext uri="{FF2B5EF4-FFF2-40B4-BE49-F238E27FC236}">
              <a16:creationId xmlns:a16="http://schemas.microsoft.com/office/drawing/2014/main" id="{FDD15C6A-078A-4C6B-390C-3EB3F18AEF88}"/>
            </a:ext>
          </a:extLst>
        </xdr:cNvPr>
        <xdr:cNvCxnSpPr/>
      </xdr:nvCxnSpPr>
      <xdr:spPr>
        <a:xfrm flipV="1">
          <a:off x="16452850" y="4726915"/>
          <a:ext cx="254000" cy="7612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171450</xdr:colOff>
      <xdr:row>15</xdr:row>
      <xdr:rowOff>477</xdr:rowOff>
    </xdr:from>
    <xdr:to>
      <xdr:col>41</xdr:col>
      <xdr:colOff>44450</xdr:colOff>
      <xdr:row>15</xdr:row>
      <xdr:rowOff>161265</xdr:rowOff>
    </xdr:to>
    <xdr:cxnSp macro="">
      <xdr:nvCxnSpPr>
        <xdr:cNvPr id="1767" name="SCHEMA_T01_COND_0291">
          <a:extLst>
            <a:ext uri="{FF2B5EF4-FFF2-40B4-BE49-F238E27FC236}">
              <a16:creationId xmlns:a16="http://schemas.microsoft.com/office/drawing/2014/main" id="{C29EB964-4F53-FFA0-ADF9-AEFF53C6286D}"/>
            </a:ext>
          </a:extLst>
        </xdr:cNvPr>
        <xdr:cNvCxnSpPr/>
      </xdr:nvCxnSpPr>
      <xdr:spPr>
        <a:xfrm flipV="1">
          <a:off x="16706850" y="4566127"/>
          <a:ext cx="254000" cy="16078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44450</xdr:colOff>
      <xdr:row>16</xdr:row>
      <xdr:rowOff>82792</xdr:rowOff>
    </xdr:from>
    <xdr:to>
      <xdr:col>39</xdr:col>
      <xdr:colOff>298450</xdr:colOff>
      <xdr:row>16</xdr:row>
      <xdr:rowOff>91337</xdr:rowOff>
    </xdr:to>
    <xdr:cxnSp macro="">
      <xdr:nvCxnSpPr>
        <xdr:cNvPr id="1768" name="SCHEMA_T01_COND_0292">
          <a:extLst>
            <a:ext uri="{FF2B5EF4-FFF2-40B4-BE49-F238E27FC236}">
              <a16:creationId xmlns:a16="http://schemas.microsoft.com/office/drawing/2014/main" id="{EF4F360A-974B-F1A4-DABA-C89BDC9B06D3}"/>
            </a:ext>
          </a:extLst>
        </xdr:cNvPr>
        <xdr:cNvCxnSpPr/>
      </xdr:nvCxnSpPr>
      <xdr:spPr>
        <a:xfrm>
          <a:off x="16198850" y="4896092"/>
          <a:ext cx="254000" cy="854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298450</xdr:colOff>
      <xdr:row>16</xdr:row>
      <xdr:rowOff>15215</xdr:rowOff>
    </xdr:from>
    <xdr:to>
      <xdr:col>40</xdr:col>
      <xdr:colOff>171450</xdr:colOff>
      <xdr:row>16</xdr:row>
      <xdr:rowOff>91337</xdr:rowOff>
    </xdr:to>
    <xdr:cxnSp macro="">
      <xdr:nvCxnSpPr>
        <xdr:cNvPr id="1769" name="SCHEMA_T01_COND_0293">
          <a:extLst>
            <a:ext uri="{FF2B5EF4-FFF2-40B4-BE49-F238E27FC236}">
              <a16:creationId xmlns:a16="http://schemas.microsoft.com/office/drawing/2014/main" id="{6FFD10C0-DC05-D57B-A335-767AA9890D37}"/>
            </a:ext>
          </a:extLst>
        </xdr:cNvPr>
        <xdr:cNvCxnSpPr/>
      </xdr:nvCxnSpPr>
      <xdr:spPr>
        <a:xfrm flipV="1">
          <a:off x="16452850" y="4828515"/>
          <a:ext cx="254000" cy="7612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171450</xdr:colOff>
      <xdr:row>15</xdr:row>
      <xdr:rowOff>102077</xdr:rowOff>
    </xdr:from>
    <xdr:to>
      <xdr:col>41</xdr:col>
      <xdr:colOff>44450</xdr:colOff>
      <xdr:row>16</xdr:row>
      <xdr:rowOff>15215</xdr:rowOff>
    </xdr:to>
    <xdr:cxnSp macro="">
      <xdr:nvCxnSpPr>
        <xdr:cNvPr id="1770" name="SCHEMA_T01_COND_0294">
          <a:extLst>
            <a:ext uri="{FF2B5EF4-FFF2-40B4-BE49-F238E27FC236}">
              <a16:creationId xmlns:a16="http://schemas.microsoft.com/office/drawing/2014/main" id="{3F454BF6-A07A-3B92-5C28-EFCF3A999BBC}"/>
            </a:ext>
          </a:extLst>
        </xdr:cNvPr>
        <xdr:cNvCxnSpPr/>
      </xdr:nvCxnSpPr>
      <xdr:spPr>
        <a:xfrm flipV="1">
          <a:off x="16706850" y="4667727"/>
          <a:ext cx="254000" cy="16078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44450</xdr:colOff>
      <xdr:row>16</xdr:row>
      <xdr:rowOff>235192</xdr:rowOff>
    </xdr:from>
    <xdr:to>
      <xdr:col>39</xdr:col>
      <xdr:colOff>298450</xdr:colOff>
      <xdr:row>16</xdr:row>
      <xdr:rowOff>243737</xdr:rowOff>
    </xdr:to>
    <xdr:cxnSp macro="">
      <xdr:nvCxnSpPr>
        <xdr:cNvPr id="1771" name="SCHEMA_T01_COND_0295">
          <a:extLst>
            <a:ext uri="{FF2B5EF4-FFF2-40B4-BE49-F238E27FC236}">
              <a16:creationId xmlns:a16="http://schemas.microsoft.com/office/drawing/2014/main" id="{24EA391E-985C-80BD-EC2E-C5250F01E291}"/>
            </a:ext>
          </a:extLst>
        </xdr:cNvPr>
        <xdr:cNvCxnSpPr/>
      </xdr:nvCxnSpPr>
      <xdr:spPr>
        <a:xfrm>
          <a:off x="16198850" y="5048492"/>
          <a:ext cx="254000" cy="854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298450</xdr:colOff>
      <xdr:row>16</xdr:row>
      <xdr:rowOff>167615</xdr:rowOff>
    </xdr:from>
    <xdr:to>
      <xdr:col>40</xdr:col>
      <xdr:colOff>171450</xdr:colOff>
      <xdr:row>16</xdr:row>
      <xdr:rowOff>243737</xdr:rowOff>
    </xdr:to>
    <xdr:cxnSp macro="">
      <xdr:nvCxnSpPr>
        <xdr:cNvPr id="1772" name="SCHEMA_T01_COND_0296">
          <a:extLst>
            <a:ext uri="{FF2B5EF4-FFF2-40B4-BE49-F238E27FC236}">
              <a16:creationId xmlns:a16="http://schemas.microsoft.com/office/drawing/2014/main" id="{91821F23-1F62-2CB1-30F1-2FC0DC119FE4}"/>
            </a:ext>
          </a:extLst>
        </xdr:cNvPr>
        <xdr:cNvCxnSpPr/>
      </xdr:nvCxnSpPr>
      <xdr:spPr>
        <a:xfrm flipV="1">
          <a:off x="16452850" y="4980915"/>
          <a:ext cx="254000" cy="7612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171450</xdr:colOff>
      <xdr:row>16</xdr:row>
      <xdr:rowOff>6827</xdr:rowOff>
    </xdr:from>
    <xdr:to>
      <xdr:col>41</xdr:col>
      <xdr:colOff>44450</xdr:colOff>
      <xdr:row>16</xdr:row>
      <xdr:rowOff>167615</xdr:rowOff>
    </xdr:to>
    <xdr:cxnSp macro="">
      <xdr:nvCxnSpPr>
        <xdr:cNvPr id="1773" name="SCHEMA_T01_COND_0297">
          <a:extLst>
            <a:ext uri="{FF2B5EF4-FFF2-40B4-BE49-F238E27FC236}">
              <a16:creationId xmlns:a16="http://schemas.microsoft.com/office/drawing/2014/main" id="{BD442BA9-E106-5200-90F8-9B88EF956A51}"/>
            </a:ext>
          </a:extLst>
        </xdr:cNvPr>
        <xdr:cNvCxnSpPr/>
      </xdr:nvCxnSpPr>
      <xdr:spPr>
        <a:xfrm flipV="1">
          <a:off x="16706850" y="4820127"/>
          <a:ext cx="254000" cy="16078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44450</xdr:colOff>
      <xdr:row>17</xdr:row>
      <xdr:rowOff>89142</xdr:rowOff>
    </xdr:from>
    <xdr:to>
      <xdr:col>39</xdr:col>
      <xdr:colOff>298450</xdr:colOff>
      <xdr:row>17</xdr:row>
      <xdr:rowOff>97687</xdr:rowOff>
    </xdr:to>
    <xdr:cxnSp macro="">
      <xdr:nvCxnSpPr>
        <xdr:cNvPr id="1774" name="SCHEMA_T01_COND_0298">
          <a:extLst>
            <a:ext uri="{FF2B5EF4-FFF2-40B4-BE49-F238E27FC236}">
              <a16:creationId xmlns:a16="http://schemas.microsoft.com/office/drawing/2014/main" id="{175794FC-CB94-B615-5857-A56CAC016759}"/>
            </a:ext>
          </a:extLst>
        </xdr:cNvPr>
        <xdr:cNvCxnSpPr/>
      </xdr:nvCxnSpPr>
      <xdr:spPr>
        <a:xfrm>
          <a:off x="16198850" y="5150092"/>
          <a:ext cx="254000" cy="854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298450</xdr:colOff>
      <xdr:row>17</xdr:row>
      <xdr:rowOff>21565</xdr:rowOff>
    </xdr:from>
    <xdr:to>
      <xdr:col>40</xdr:col>
      <xdr:colOff>171450</xdr:colOff>
      <xdr:row>17</xdr:row>
      <xdr:rowOff>97687</xdr:rowOff>
    </xdr:to>
    <xdr:cxnSp macro="">
      <xdr:nvCxnSpPr>
        <xdr:cNvPr id="1775" name="SCHEMA_T01_COND_0299">
          <a:extLst>
            <a:ext uri="{FF2B5EF4-FFF2-40B4-BE49-F238E27FC236}">
              <a16:creationId xmlns:a16="http://schemas.microsoft.com/office/drawing/2014/main" id="{9890E4D6-99AC-9DD6-1067-0DA4E08A4BD6}"/>
            </a:ext>
          </a:extLst>
        </xdr:cNvPr>
        <xdr:cNvCxnSpPr/>
      </xdr:nvCxnSpPr>
      <xdr:spPr>
        <a:xfrm flipV="1">
          <a:off x="16452850" y="5082515"/>
          <a:ext cx="254000" cy="7612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171450</xdr:colOff>
      <xdr:row>16</xdr:row>
      <xdr:rowOff>108427</xdr:rowOff>
    </xdr:from>
    <xdr:to>
      <xdr:col>41</xdr:col>
      <xdr:colOff>44450</xdr:colOff>
      <xdr:row>17</xdr:row>
      <xdr:rowOff>21565</xdr:rowOff>
    </xdr:to>
    <xdr:cxnSp macro="">
      <xdr:nvCxnSpPr>
        <xdr:cNvPr id="1776" name="SCHEMA_T01_COND_0300">
          <a:extLst>
            <a:ext uri="{FF2B5EF4-FFF2-40B4-BE49-F238E27FC236}">
              <a16:creationId xmlns:a16="http://schemas.microsoft.com/office/drawing/2014/main" id="{BE506983-4DDA-BA2E-C9C0-56222E6E4DE9}"/>
            </a:ext>
          </a:extLst>
        </xdr:cNvPr>
        <xdr:cNvCxnSpPr/>
      </xdr:nvCxnSpPr>
      <xdr:spPr>
        <a:xfrm flipV="1">
          <a:off x="16706850" y="4921727"/>
          <a:ext cx="254000" cy="16078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6350</xdr:colOff>
      <xdr:row>25</xdr:row>
      <xdr:rowOff>3175</xdr:rowOff>
    </xdr:from>
    <xdr:to>
      <xdr:col>40</xdr:col>
      <xdr:colOff>82550</xdr:colOff>
      <xdr:row>25</xdr:row>
      <xdr:rowOff>79375</xdr:rowOff>
    </xdr:to>
    <xdr:sp macro="" textlink="">
      <xdr:nvSpPr>
        <xdr:cNvPr id="1777" name="SCHEMA_T01_ATTRAV_20">
          <a:extLst>
            <a:ext uri="{FF2B5EF4-FFF2-40B4-BE49-F238E27FC236}">
              <a16:creationId xmlns:a16="http://schemas.microsoft.com/office/drawing/2014/main" id="{E02D86ED-EFB6-D74C-B5CF-C04B7FAEA6B1}"/>
            </a:ext>
          </a:extLst>
        </xdr:cNvPr>
        <xdr:cNvSpPr/>
      </xdr:nvSpPr>
      <xdr:spPr>
        <a:xfrm>
          <a:off x="16541750" y="7045325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1314450</xdr:colOff>
      <xdr:row>24</xdr:row>
      <xdr:rowOff>111125</xdr:rowOff>
    </xdr:from>
    <xdr:to>
      <xdr:col>0</xdr:col>
      <xdr:colOff>1568450</xdr:colOff>
      <xdr:row>24</xdr:row>
      <xdr:rowOff>238125</xdr:rowOff>
    </xdr:to>
    <xdr:sp macro="" textlink="">
      <xdr:nvSpPr>
        <xdr:cNvPr id="1778" name="SCHEMA_T01_FRENO_CORPO">
          <a:extLst>
            <a:ext uri="{FF2B5EF4-FFF2-40B4-BE49-F238E27FC236}">
              <a16:creationId xmlns:a16="http://schemas.microsoft.com/office/drawing/2014/main" id="{ABCF9455-6AA6-13F0-56E8-BCFE19D8D7D0}"/>
            </a:ext>
          </a:extLst>
        </xdr:cNvPr>
        <xdr:cNvSpPr/>
      </xdr:nvSpPr>
      <xdr:spPr>
        <a:xfrm>
          <a:off x="1314450" y="6905625"/>
          <a:ext cx="254000" cy="127000"/>
        </a:xfrm>
        <a:prstGeom prst="rect">
          <a:avLst/>
        </a:prstGeom>
        <a:solidFill>
          <a:srgbClr val="003F87">
            <a:alpha val="90000"/>
          </a:srgbClr>
        </a:solidFill>
        <a:ln w="17780">
          <a:solidFill>
            <a:srgbClr val="003F8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1327150</xdr:colOff>
      <xdr:row>24</xdr:row>
      <xdr:rowOff>212725</xdr:rowOff>
    </xdr:from>
    <xdr:to>
      <xdr:col>0</xdr:col>
      <xdr:colOff>1403350</xdr:colOff>
      <xdr:row>25</xdr:row>
      <xdr:rowOff>41275</xdr:rowOff>
    </xdr:to>
    <xdr:sp macro="" textlink="">
      <xdr:nvSpPr>
        <xdr:cNvPr id="1779" name="SCHEMA_T01_FRENO_RUOTA_1">
          <a:extLst>
            <a:ext uri="{FF2B5EF4-FFF2-40B4-BE49-F238E27FC236}">
              <a16:creationId xmlns:a16="http://schemas.microsoft.com/office/drawing/2014/main" id="{13C24EE4-AF7A-AEEA-D4F1-6CB29313F6D1}"/>
            </a:ext>
          </a:extLst>
        </xdr:cNvPr>
        <xdr:cNvSpPr/>
      </xdr:nvSpPr>
      <xdr:spPr>
        <a:xfrm>
          <a:off x="1327150" y="7007225"/>
          <a:ext cx="76200" cy="76200"/>
        </a:xfrm>
        <a:prstGeom prst="ellipse">
          <a:avLst/>
        </a:prstGeom>
        <a:solidFill>
          <a:srgbClr val="FFFFFF"/>
        </a:solidFill>
        <a:ln w="15240">
          <a:solidFill>
            <a:srgbClr val="003F8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1479550</xdr:colOff>
      <xdr:row>24</xdr:row>
      <xdr:rowOff>212725</xdr:rowOff>
    </xdr:from>
    <xdr:to>
      <xdr:col>0</xdr:col>
      <xdr:colOff>1555750</xdr:colOff>
      <xdr:row>25</xdr:row>
      <xdr:rowOff>41275</xdr:rowOff>
    </xdr:to>
    <xdr:sp macro="" textlink="">
      <xdr:nvSpPr>
        <xdr:cNvPr id="1780" name="SCHEMA_T01_FRENO_RUOTA_2">
          <a:extLst>
            <a:ext uri="{FF2B5EF4-FFF2-40B4-BE49-F238E27FC236}">
              <a16:creationId xmlns:a16="http://schemas.microsoft.com/office/drawing/2014/main" id="{98CD5645-A6CC-91E1-BF25-29E3C899F5E8}"/>
            </a:ext>
          </a:extLst>
        </xdr:cNvPr>
        <xdr:cNvSpPr/>
      </xdr:nvSpPr>
      <xdr:spPr>
        <a:xfrm>
          <a:off x="1479550" y="7007225"/>
          <a:ext cx="76200" cy="76200"/>
        </a:xfrm>
        <a:prstGeom prst="ellipse">
          <a:avLst/>
        </a:prstGeom>
        <a:solidFill>
          <a:srgbClr val="FFFFFF"/>
        </a:solidFill>
        <a:ln w="15240">
          <a:solidFill>
            <a:srgbClr val="003F8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1568450</xdr:colOff>
      <xdr:row>24</xdr:row>
      <xdr:rowOff>174625</xdr:rowOff>
    </xdr:from>
    <xdr:to>
      <xdr:col>1</xdr:col>
      <xdr:colOff>44450</xdr:colOff>
      <xdr:row>25</xdr:row>
      <xdr:rowOff>28575</xdr:rowOff>
    </xdr:to>
    <xdr:cxnSp macro="">
      <xdr:nvCxnSpPr>
        <xdr:cNvPr id="1781" name="SCHEMA_T01_FRENO_COLLEGAMENTO">
          <a:extLst>
            <a:ext uri="{FF2B5EF4-FFF2-40B4-BE49-F238E27FC236}">
              <a16:creationId xmlns:a16="http://schemas.microsoft.com/office/drawing/2014/main" id="{C9D301BE-32B5-B9E9-AD3A-8310ECA0B263}"/>
            </a:ext>
          </a:extLst>
        </xdr:cNvPr>
        <xdr:cNvCxnSpPr/>
      </xdr:nvCxnSpPr>
      <xdr:spPr>
        <a:xfrm flipH="1" flipV="1">
          <a:off x="1568450" y="6969125"/>
          <a:ext cx="152400" cy="101600"/>
        </a:xfrm>
        <a:prstGeom prst="line">
          <a:avLst/>
        </a:prstGeom>
        <a:ln w="15240">
          <a:solidFill>
            <a:srgbClr val="003F87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1123950</xdr:colOff>
      <xdr:row>23</xdr:row>
      <xdr:rowOff>193675</xdr:rowOff>
    </xdr:from>
    <xdr:to>
      <xdr:col>1</xdr:col>
      <xdr:colOff>82550</xdr:colOff>
      <xdr:row>24</xdr:row>
      <xdr:rowOff>85725</xdr:rowOff>
    </xdr:to>
    <xdr:sp macro="" textlink="">
      <xdr:nvSpPr>
        <xdr:cNvPr id="1782" name="SCHEMA_T01_FRENO_LBL">
          <a:extLst>
            <a:ext uri="{FF2B5EF4-FFF2-40B4-BE49-F238E27FC236}">
              <a16:creationId xmlns:a16="http://schemas.microsoft.com/office/drawing/2014/main" id="{B78086B4-C936-7EC4-5431-59B0DC6400EC}"/>
            </a:ext>
          </a:extLst>
        </xdr:cNvPr>
        <xdr:cNvSpPr txBox="1"/>
      </xdr:nvSpPr>
      <xdr:spPr>
        <a:xfrm>
          <a:off x="1123950" y="6740525"/>
          <a:ext cx="635000" cy="139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s-ES" sz="650" b="1">
              <a:solidFill>
                <a:srgbClr val="003F87"/>
              </a:solidFill>
            </a:rPr>
            <a:t>FRENO</a:t>
          </a:r>
        </a:p>
      </xdr:txBody>
    </xdr:sp>
    <xdr:clientData/>
  </xdr:twoCellAnchor>
  <xdr:twoCellAnchor>
    <xdr:from>
      <xdr:col>41</xdr:col>
      <xdr:colOff>196850</xdr:colOff>
      <xdr:row>24</xdr:row>
      <xdr:rowOff>111125</xdr:rowOff>
    </xdr:from>
    <xdr:to>
      <xdr:col>42</xdr:col>
      <xdr:colOff>69850</xdr:colOff>
      <xdr:row>24</xdr:row>
      <xdr:rowOff>238125</xdr:rowOff>
    </xdr:to>
    <xdr:sp macro="" textlink="">
      <xdr:nvSpPr>
        <xdr:cNvPr id="1783" name="SCHEMA_T01_ARGANO_CORPO">
          <a:extLst>
            <a:ext uri="{FF2B5EF4-FFF2-40B4-BE49-F238E27FC236}">
              <a16:creationId xmlns:a16="http://schemas.microsoft.com/office/drawing/2014/main" id="{C899C898-EE6C-9E0A-D1DB-13D689269568}"/>
            </a:ext>
          </a:extLst>
        </xdr:cNvPr>
        <xdr:cNvSpPr/>
      </xdr:nvSpPr>
      <xdr:spPr>
        <a:xfrm>
          <a:off x="17110529" y="6873875"/>
          <a:ext cx="254000" cy="127000"/>
        </a:xfrm>
        <a:prstGeom prst="rect">
          <a:avLst/>
        </a:prstGeom>
        <a:solidFill>
          <a:srgbClr val="F47C00">
            <a:alpha val="90000"/>
          </a:srgbClr>
        </a:solidFill>
        <a:ln w="17780"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41</xdr:col>
      <xdr:colOff>209550</xdr:colOff>
      <xdr:row>24</xdr:row>
      <xdr:rowOff>212725</xdr:rowOff>
    </xdr:from>
    <xdr:to>
      <xdr:col>41</xdr:col>
      <xdr:colOff>285750</xdr:colOff>
      <xdr:row>25</xdr:row>
      <xdr:rowOff>41275</xdr:rowOff>
    </xdr:to>
    <xdr:sp macro="" textlink="">
      <xdr:nvSpPr>
        <xdr:cNvPr id="1784" name="SCHEMA_T01_ARGANO_RUOTA_1">
          <a:extLst>
            <a:ext uri="{FF2B5EF4-FFF2-40B4-BE49-F238E27FC236}">
              <a16:creationId xmlns:a16="http://schemas.microsoft.com/office/drawing/2014/main" id="{EC0CDA23-904A-45E9-459A-20D7BF1F2BA5}"/>
            </a:ext>
          </a:extLst>
        </xdr:cNvPr>
        <xdr:cNvSpPr/>
      </xdr:nvSpPr>
      <xdr:spPr>
        <a:xfrm>
          <a:off x="17125950" y="7007225"/>
          <a:ext cx="76200" cy="76200"/>
        </a:xfrm>
        <a:prstGeom prst="ellipse">
          <a:avLst/>
        </a:prstGeom>
        <a:solidFill>
          <a:srgbClr val="FFFFFF"/>
        </a:solidFill>
        <a:ln w="15240"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41</xdr:col>
      <xdr:colOff>361950</xdr:colOff>
      <xdr:row>24</xdr:row>
      <xdr:rowOff>212725</xdr:rowOff>
    </xdr:from>
    <xdr:to>
      <xdr:col>42</xdr:col>
      <xdr:colOff>57150</xdr:colOff>
      <xdr:row>25</xdr:row>
      <xdr:rowOff>41275</xdr:rowOff>
    </xdr:to>
    <xdr:sp macro="" textlink="">
      <xdr:nvSpPr>
        <xdr:cNvPr id="1785" name="SCHEMA_T01_ARGANO_RUOTA_2">
          <a:extLst>
            <a:ext uri="{FF2B5EF4-FFF2-40B4-BE49-F238E27FC236}">
              <a16:creationId xmlns:a16="http://schemas.microsoft.com/office/drawing/2014/main" id="{D40F8F3B-4CDE-3C73-042B-8D16C58EFCFB}"/>
            </a:ext>
          </a:extLst>
        </xdr:cNvPr>
        <xdr:cNvSpPr/>
      </xdr:nvSpPr>
      <xdr:spPr>
        <a:xfrm>
          <a:off x="17278350" y="7007225"/>
          <a:ext cx="76200" cy="76200"/>
        </a:xfrm>
        <a:prstGeom prst="ellipse">
          <a:avLst/>
        </a:prstGeom>
        <a:solidFill>
          <a:srgbClr val="FFFFFF"/>
        </a:solidFill>
        <a:ln w="15240"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41</xdr:col>
      <xdr:colOff>44450</xdr:colOff>
      <xdr:row>24</xdr:row>
      <xdr:rowOff>174625</xdr:rowOff>
    </xdr:from>
    <xdr:to>
      <xdr:col>41</xdr:col>
      <xdr:colOff>196850</xdr:colOff>
      <xdr:row>25</xdr:row>
      <xdr:rowOff>28575</xdr:rowOff>
    </xdr:to>
    <xdr:cxnSp macro="">
      <xdr:nvCxnSpPr>
        <xdr:cNvPr id="1786" name="SCHEMA_T01_ARGANO_COLLEGAMENTO">
          <a:extLst>
            <a:ext uri="{FF2B5EF4-FFF2-40B4-BE49-F238E27FC236}">
              <a16:creationId xmlns:a16="http://schemas.microsoft.com/office/drawing/2014/main" id="{7994D5F8-FAD3-77FA-FC45-157FF5B95F45}"/>
            </a:ext>
          </a:extLst>
        </xdr:cNvPr>
        <xdr:cNvCxnSpPr/>
      </xdr:nvCxnSpPr>
      <xdr:spPr>
        <a:xfrm flipV="1">
          <a:off x="16960850" y="6969125"/>
          <a:ext cx="152400" cy="101600"/>
        </a:xfrm>
        <a:prstGeom prst="line">
          <a:avLst/>
        </a:prstGeom>
        <a:ln w="15240">
          <a:solidFill>
            <a:srgbClr val="F47C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6350</xdr:colOff>
      <xdr:row>23</xdr:row>
      <xdr:rowOff>193675</xdr:rowOff>
    </xdr:from>
    <xdr:to>
      <xdr:col>42</xdr:col>
      <xdr:colOff>260350</xdr:colOff>
      <xdr:row>24</xdr:row>
      <xdr:rowOff>85725</xdr:rowOff>
    </xdr:to>
    <xdr:sp macro="" textlink="">
      <xdr:nvSpPr>
        <xdr:cNvPr id="1787" name="SCHEMA_T01_ARGANO_LBL">
          <a:extLst>
            <a:ext uri="{FF2B5EF4-FFF2-40B4-BE49-F238E27FC236}">
              <a16:creationId xmlns:a16="http://schemas.microsoft.com/office/drawing/2014/main" id="{0769F12A-DF48-F525-9317-6A78FBC8991D}"/>
            </a:ext>
          </a:extLst>
        </xdr:cNvPr>
        <xdr:cNvSpPr txBox="1"/>
      </xdr:nvSpPr>
      <xdr:spPr>
        <a:xfrm>
          <a:off x="16922750" y="6740525"/>
          <a:ext cx="635000" cy="139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s-ES" sz="650" b="1">
              <a:solidFill>
                <a:srgbClr val="F47C00"/>
              </a:solidFill>
            </a:rPr>
            <a:t>ARGANO</a:t>
          </a:r>
        </a:p>
      </xdr:txBody>
    </xdr:sp>
    <xdr:clientData/>
  </xdr:twoCellAnchor>
  <xdr:twoCellAnchor>
    <xdr:from>
      <xdr:col>1</xdr:col>
      <xdr:colOff>44450</xdr:colOff>
      <xdr:row>25</xdr:row>
      <xdr:rowOff>79375</xdr:rowOff>
    </xdr:from>
    <xdr:to>
      <xdr:col>1</xdr:col>
      <xdr:colOff>44450</xdr:colOff>
      <xdr:row>25</xdr:row>
      <xdr:rowOff>155575</xdr:rowOff>
    </xdr:to>
    <xdr:cxnSp macro="">
      <xdr:nvCxnSpPr>
        <xdr:cNvPr id="1788" name="SCHEMA_T01_TERRA_01_V">
          <a:extLst>
            <a:ext uri="{FF2B5EF4-FFF2-40B4-BE49-F238E27FC236}">
              <a16:creationId xmlns:a16="http://schemas.microsoft.com/office/drawing/2014/main" id="{D0210D9F-4BB5-B464-E9D2-CAEEF7824EC5}"/>
            </a:ext>
          </a:extLst>
        </xdr:cNvPr>
        <xdr:cNvCxnSpPr/>
      </xdr:nvCxnSpPr>
      <xdr:spPr>
        <a:xfrm>
          <a:off x="1720850" y="7121525"/>
          <a:ext cx="0" cy="7620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1657350</xdr:colOff>
      <xdr:row>25</xdr:row>
      <xdr:rowOff>155575</xdr:rowOff>
    </xdr:from>
    <xdr:to>
      <xdr:col>1</xdr:col>
      <xdr:colOff>107950</xdr:colOff>
      <xdr:row>25</xdr:row>
      <xdr:rowOff>155575</xdr:rowOff>
    </xdr:to>
    <xdr:cxnSp macro="">
      <xdr:nvCxnSpPr>
        <xdr:cNvPr id="1789" name="SCHEMA_T01_TERRA_01_1">
          <a:extLst>
            <a:ext uri="{FF2B5EF4-FFF2-40B4-BE49-F238E27FC236}">
              <a16:creationId xmlns:a16="http://schemas.microsoft.com/office/drawing/2014/main" id="{B382F71E-2EC9-23A8-B807-CAEF0A527219}"/>
            </a:ext>
          </a:extLst>
        </xdr:cNvPr>
        <xdr:cNvCxnSpPr/>
      </xdr:nvCxnSpPr>
      <xdr:spPr>
        <a:xfrm>
          <a:off x="1657350" y="7197725"/>
          <a:ext cx="1270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</xdr:row>
      <xdr:rowOff>183515</xdr:rowOff>
    </xdr:from>
    <xdr:to>
      <xdr:col>1</xdr:col>
      <xdr:colOff>88900</xdr:colOff>
      <xdr:row>25</xdr:row>
      <xdr:rowOff>183515</xdr:rowOff>
    </xdr:to>
    <xdr:cxnSp macro="">
      <xdr:nvCxnSpPr>
        <xdr:cNvPr id="1790" name="SCHEMA_T01_TERRA_01_2">
          <a:extLst>
            <a:ext uri="{FF2B5EF4-FFF2-40B4-BE49-F238E27FC236}">
              <a16:creationId xmlns:a16="http://schemas.microsoft.com/office/drawing/2014/main" id="{183015A7-824F-694C-B761-94555446AFD1}"/>
            </a:ext>
          </a:extLst>
        </xdr:cNvPr>
        <xdr:cNvCxnSpPr/>
      </xdr:nvCxnSpPr>
      <xdr:spPr>
        <a:xfrm>
          <a:off x="1676400" y="7225665"/>
          <a:ext cx="889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25</xdr:row>
      <xdr:rowOff>211455</xdr:rowOff>
    </xdr:from>
    <xdr:to>
      <xdr:col>1</xdr:col>
      <xdr:colOff>69850</xdr:colOff>
      <xdr:row>25</xdr:row>
      <xdr:rowOff>211455</xdr:rowOff>
    </xdr:to>
    <xdr:cxnSp macro="">
      <xdr:nvCxnSpPr>
        <xdr:cNvPr id="1791" name="SCHEMA_T01_TERRA_01_3">
          <a:extLst>
            <a:ext uri="{FF2B5EF4-FFF2-40B4-BE49-F238E27FC236}">
              <a16:creationId xmlns:a16="http://schemas.microsoft.com/office/drawing/2014/main" id="{9537FBF9-1AE4-7A14-C015-5F76C30B6A22}"/>
            </a:ext>
          </a:extLst>
        </xdr:cNvPr>
        <xdr:cNvCxnSpPr/>
      </xdr:nvCxnSpPr>
      <xdr:spPr>
        <a:xfrm>
          <a:off x="1695450" y="7253605"/>
          <a:ext cx="508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44450</xdr:colOff>
      <xdr:row>25</xdr:row>
      <xdr:rowOff>79375</xdr:rowOff>
    </xdr:from>
    <xdr:to>
      <xdr:col>9</xdr:col>
      <xdr:colOff>44450</xdr:colOff>
      <xdr:row>25</xdr:row>
      <xdr:rowOff>155575</xdr:rowOff>
    </xdr:to>
    <xdr:cxnSp macro="">
      <xdr:nvCxnSpPr>
        <xdr:cNvPr id="1792" name="SCHEMA_T01_TERRA_05_V">
          <a:extLst>
            <a:ext uri="{FF2B5EF4-FFF2-40B4-BE49-F238E27FC236}">
              <a16:creationId xmlns:a16="http://schemas.microsoft.com/office/drawing/2014/main" id="{6D054FEB-B3D2-B3FA-9DCA-AFB6E8D736B5}"/>
            </a:ext>
          </a:extLst>
        </xdr:cNvPr>
        <xdr:cNvCxnSpPr/>
      </xdr:nvCxnSpPr>
      <xdr:spPr>
        <a:xfrm>
          <a:off x="4768850" y="7121525"/>
          <a:ext cx="0" cy="7620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361950</xdr:colOff>
      <xdr:row>25</xdr:row>
      <xdr:rowOff>155575</xdr:rowOff>
    </xdr:from>
    <xdr:to>
      <xdr:col>9</xdr:col>
      <xdr:colOff>107950</xdr:colOff>
      <xdr:row>25</xdr:row>
      <xdr:rowOff>155575</xdr:rowOff>
    </xdr:to>
    <xdr:cxnSp macro="">
      <xdr:nvCxnSpPr>
        <xdr:cNvPr id="1793" name="SCHEMA_T01_TERRA_05_1">
          <a:extLst>
            <a:ext uri="{FF2B5EF4-FFF2-40B4-BE49-F238E27FC236}">
              <a16:creationId xmlns:a16="http://schemas.microsoft.com/office/drawing/2014/main" id="{31C25591-B41A-48B5-901B-337B821442B1}"/>
            </a:ext>
          </a:extLst>
        </xdr:cNvPr>
        <xdr:cNvCxnSpPr/>
      </xdr:nvCxnSpPr>
      <xdr:spPr>
        <a:xfrm>
          <a:off x="4705350" y="7197725"/>
          <a:ext cx="1270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25</xdr:row>
      <xdr:rowOff>183515</xdr:rowOff>
    </xdr:from>
    <xdr:to>
      <xdr:col>9</xdr:col>
      <xdr:colOff>88900</xdr:colOff>
      <xdr:row>25</xdr:row>
      <xdr:rowOff>183515</xdr:rowOff>
    </xdr:to>
    <xdr:cxnSp macro="">
      <xdr:nvCxnSpPr>
        <xdr:cNvPr id="1794" name="SCHEMA_T01_TERRA_05_2">
          <a:extLst>
            <a:ext uri="{FF2B5EF4-FFF2-40B4-BE49-F238E27FC236}">
              <a16:creationId xmlns:a16="http://schemas.microsoft.com/office/drawing/2014/main" id="{578EDF44-DFFC-88E9-E3E1-205A9166416B}"/>
            </a:ext>
          </a:extLst>
        </xdr:cNvPr>
        <xdr:cNvCxnSpPr/>
      </xdr:nvCxnSpPr>
      <xdr:spPr>
        <a:xfrm>
          <a:off x="4724400" y="7225665"/>
          <a:ext cx="889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25</xdr:row>
      <xdr:rowOff>211455</xdr:rowOff>
    </xdr:from>
    <xdr:to>
      <xdr:col>9</xdr:col>
      <xdr:colOff>69850</xdr:colOff>
      <xdr:row>25</xdr:row>
      <xdr:rowOff>211455</xdr:rowOff>
    </xdr:to>
    <xdr:cxnSp macro="">
      <xdr:nvCxnSpPr>
        <xdr:cNvPr id="1795" name="SCHEMA_T01_TERRA_05_3">
          <a:extLst>
            <a:ext uri="{FF2B5EF4-FFF2-40B4-BE49-F238E27FC236}">
              <a16:creationId xmlns:a16="http://schemas.microsoft.com/office/drawing/2014/main" id="{C7690264-8426-0D48-C8E1-15186EA2A0AE}"/>
            </a:ext>
          </a:extLst>
        </xdr:cNvPr>
        <xdr:cNvCxnSpPr/>
      </xdr:nvCxnSpPr>
      <xdr:spPr>
        <a:xfrm>
          <a:off x="4743450" y="7253605"/>
          <a:ext cx="508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44450</xdr:colOff>
      <xdr:row>25</xdr:row>
      <xdr:rowOff>79375</xdr:rowOff>
    </xdr:from>
    <xdr:to>
      <xdr:col>17</xdr:col>
      <xdr:colOff>44450</xdr:colOff>
      <xdr:row>25</xdr:row>
      <xdr:rowOff>155575</xdr:rowOff>
    </xdr:to>
    <xdr:cxnSp macro="">
      <xdr:nvCxnSpPr>
        <xdr:cNvPr id="1796" name="SCHEMA_T01_TERRA_09_V">
          <a:extLst>
            <a:ext uri="{FF2B5EF4-FFF2-40B4-BE49-F238E27FC236}">
              <a16:creationId xmlns:a16="http://schemas.microsoft.com/office/drawing/2014/main" id="{2FE3AB46-3881-9CD4-7223-84717C6843F5}"/>
            </a:ext>
          </a:extLst>
        </xdr:cNvPr>
        <xdr:cNvCxnSpPr/>
      </xdr:nvCxnSpPr>
      <xdr:spPr>
        <a:xfrm>
          <a:off x="7816850" y="7121525"/>
          <a:ext cx="0" cy="7620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361950</xdr:colOff>
      <xdr:row>25</xdr:row>
      <xdr:rowOff>155575</xdr:rowOff>
    </xdr:from>
    <xdr:to>
      <xdr:col>17</xdr:col>
      <xdr:colOff>107950</xdr:colOff>
      <xdr:row>25</xdr:row>
      <xdr:rowOff>155575</xdr:rowOff>
    </xdr:to>
    <xdr:cxnSp macro="">
      <xdr:nvCxnSpPr>
        <xdr:cNvPr id="1797" name="SCHEMA_T01_TERRA_09_1">
          <a:extLst>
            <a:ext uri="{FF2B5EF4-FFF2-40B4-BE49-F238E27FC236}">
              <a16:creationId xmlns:a16="http://schemas.microsoft.com/office/drawing/2014/main" id="{24A70813-B952-1AB2-5D90-D153633D31AB}"/>
            </a:ext>
          </a:extLst>
        </xdr:cNvPr>
        <xdr:cNvCxnSpPr/>
      </xdr:nvCxnSpPr>
      <xdr:spPr>
        <a:xfrm>
          <a:off x="7753350" y="7197725"/>
          <a:ext cx="1270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25</xdr:row>
      <xdr:rowOff>183515</xdr:rowOff>
    </xdr:from>
    <xdr:to>
      <xdr:col>17</xdr:col>
      <xdr:colOff>88900</xdr:colOff>
      <xdr:row>25</xdr:row>
      <xdr:rowOff>183515</xdr:rowOff>
    </xdr:to>
    <xdr:cxnSp macro="">
      <xdr:nvCxnSpPr>
        <xdr:cNvPr id="1798" name="SCHEMA_T01_TERRA_09_2">
          <a:extLst>
            <a:ext uri="{FF2B5EF4-FFF2-40B4-BE49-F238E27FC236}">
              <a16:creationId xmlns:a16="http://schemas.microsoft.com/office/drawing/2014/main" id="{1D7F55AD-6602-BC79-CF9C-102B81DEB000}"/>
            </a:ext>
          </a:extLst>
        </xdr:cNvPr>
        <xdr:cNvCxnSpPr/>
      </xdr:nvCxnSpPr>
      <xdr:spPr>
        <a:xfrm>
          <a:off x="7772400" y="7225665"/>
          <a:ext cx="889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</xdr:colOff>
      <xdr:row>25</xdr:row>
      <xdr:rowOff>211455</xdr:rowOff>
    </xdr:from>
    <xdr:to>
      <xdr:col>17</xdr:col>
      <xdr:colOff>69850</xdr:colOff>
      <xdr:row>25</xdr:row>
      <xdr:rowOff>211455</xdr:rowOff>
    </xdr:to>
    <xdr:cxnSp macro="">
      <xdr:nvCxnSpPr>
        <xdr:cNvPr id="1799" name="SCHEMA_T01_TERRA_09_3">
          <a:extLst>
            <a:ext uri="{FF2B5EF4-FFF2-40B4-BE49-F238E27FC236}">
              <a16:creationId xmlns:a16="http://schemas.microsoft.com/office/drawing/2014/main" id="{CBBE7E0B-680C-AE99-7A4E-8C7D6EB68EBF}"/>
            </a:ext>
          </a:extLst>
        </xdr:cNvPr>
        <xdr:cNvCxnSpPr/>
      </xdr:nvCxnSpPr>
      <xdr:spPr>
        <a:xfrm>
          <a:off x="7791450" y="7253605"/>
          <a:ext cx="508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44450</xdr:colOff>
      <xdr:row>25</xdr:row>
      <xdr:rowOff>79375</xdr:rowOff>
    </xdr:from>
    <xdr:to>
      <xdr:col>25</xdr:col>
      <xdr:colOff>44450</xdr:colOff>
      <xdr:row>25</xdr:row>
      <xdr:rowOff>155575</xdr:rowOff>
    </xdr:to>
    <xdr:cxnSp macro="">
      <xdr:nvCxnSpPr>
        <xdr:cNvPr id="1800" name="SCHEMA_T01_TERRA_13_V">
          <a:extLst>
            <a:ext uri="{FF2B5EF4-FFF2-40B4-BE49-F238E27FC236}">
              <a16:creationId xmlns:a16="http://schemas.microsoft.com/office/drawing/2014/main" id="{9007B6C3-E6BF-DC34-46ED-094CF8DC91AA}"/>
            </a:ext>
          </a:extLst>
        </xdr:cNvPr>
        <xdr:cNvCxnSpPr/>
      </xdr:nvCxnSpPr>
      <xdr:spPr>
        <a:xfrm>
          <a:off x="10864850" y="7121525"/>
          <a:ext cx="0" cy="7620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361950</xdr:colOff>
      <xdr:row>25</xdr:row>
      <xdr:rowOff>155575</xdr:rowOff>
    </xdr:from>
    <xdr:to>
      <xdr:col>25</xdr:col>
      <xdr:colOff>107950</xdr:colOff>
      <xdr:row>25</xdr:row>
      <xdr:rowOff>155575</xdr:rowOff>
    </xdr:to>
    <xdr:cxnSp macro="">
      <xdr:nvCxnSpPr>
        <xdr:cNvPr id="1801" name="SCHEMA_T01_TERRA_13_1">
          <a:extLst>
            <a:ext uri="{FF2B5EF4-FFF2-40B4-BE49-F238E27FC236}">
              <a16:creationId xmlns:a16="http://schemas.microsoft.com/office/drawing/2014/main" id="{FB0A0859-C843-09CA-CD96-1C82BE1D4849}"/>
            </a:ext>
          </a:extLst>
        </xdr:cNvPr>
        <xdr:cNvCxnSpPr/>
      </xdr:nvCxnSpPr>
      <xdr:spPr>
        <a:xfrm>
          <a:off x="10801350" y="7197725"/>
          <a:ext cx="1270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25</xdr:row>
      <xdr:rowOff>183515</xdr:rowOff>
    </xdr:from>
    <xdr:to>
      <xdr:col>25</xdr:col>
      <xdr:colOff>88900</xdr:colOff>
      <xdr:row>25</xdr:row>
      <xdr:rowOff>183515</xdr:rowOff>
    </xdr:to>
    <xdr:cxnSp macro="">
      <xdr:nvCxnSpPr>
        <xdr:cNvPr id="1802" name="SCHEMA_T01_TERRA_13_2">
          <a:extLst>
            <a:ext uri="{FF2B5EF4-FFF2-40B4-BE49-F238E27FC236}">
              <a16:creationId xmlns:a16="http://schemas.microsoft.com/office/drawing/2014/main" id="{2511107C-DB52-8CD4-1A08-E50FFA9D1B4C}"/>
            </a:ext>
          </a:extLst>
        </xdr:cNvPr>
        <xdr:cNvCxnSpPr/>
      </xdr:nvCxnSpPr>
      <xdr:spPr>
        <a:xfrm>
          <a:off x="10820400" y="7225665"/>
          <a:ext cx="889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</xdr:colOff>
      <xdr:row>25</xdr:row>
      <xdr:rowOff>211455</xdr:rowOff>
    </xdr:from>
    <xdr:to>
      <xdr:col>25</xdr:col>
      <xdr:colOff>69850</xdr:colOff>
      <xdr:row>25</xdr:row>
      <xdr:rowOff>211455</xdr:rowOff>
    </xdr:to>
    <xdr:cxnSp macro="">
      <xdr:nvCxnSpPr>
        <xdr:cNvPr id="1803" name="SCHEMA_T01_TERRA_13_3">
          <a:extLst>
            <a:ext uri="{FF2B5EF4-FFF2-40B4-BE49-F238E27FC236}">
              <a16:creationId xmlns:a16="http://schemas.microsoft.com/office/drawing/2014/main" id="{04E14E48-EA4E-5716-26A1-9541C840032C}"/>
            </a:ext>
          </a:extLst>
        </xdr:cNvPr>
        <xdr:cNvCxnSpPr/>
      </xdr:nvCxnSpPr>
      <xdr:spPr>
        <a:xfrm>
          <a:off x="10839450" y="7253605"/>
          <a:ext cx="508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44450</xdr:colOff>
      <xdr:row>25</xdr:row>
      <xdr:rowOff>79375</xdr:rowOff>
    </xdr:from>
    <xdr:to>
      <xdr:col>33</xdr:col>
      <xdr:colOff>44450</xdr:colOff>
      <xdr:row>25</xdr:row>
      <xdr:rowOff>155575</xdr:rowOff>
    </xdr:to>
    <xdr:cxnSp macro="">
      <xdr:nvCxnSpPr>
        <xdr:cNvPr id="1804" name="SCHEMA_T01_TERRA_17_V">
          <a:extLst>
            <a:ext uri="{FF2B5EF4-FFF2-40B4-BE49-F238E27FC236}">
              <a16:creationId xmlns:a16="http://schemas.microsoft.com/office/drawing/2014/main" id="{7A010820-8847-0169-8797-E4A67D8AEF23}"/>
            </a:ext>
          </a:extLst>
        </xdr:cNvPr>
        <xdr:cNvCxnSpPr/>
      </xdr:nvCxnSpPr>
      <xdr:spPr>
        <a:xfrm>
          <a:off x="13912850" y="7121525"/>
          <a:ext cx="0" cy="7620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361950</xdr:colOff>
      <xdr:row>25</xdr:row>
      <xdr:rowOff>155575</xdr:rowOff>
    </xdr:from>
    <xdr:to>
      <xdr:col>33</xdr:col>
      <xdr:colOff>107950</xdr:colOff>
      <xdr:row>25</xdr:row>
      <xdr:rowOff>155575</xdr:rowOff>
    </xdr:to>
    <xdr:cxnSp macro="">
      <xdr:nvCxnSpPr>
        <xdr:cNvPr id="1805" name="SCHEMA_T01_TERRA_17_1">
          <a:extLst>
            <a:ext uri="{FF2B5EF4-FFF2-40B4-BE49-F238E27FC236}">
              <a16:creationId xmlns:a16="http://schemas.microsoft.com/office/drawing/2014/main" id="{C1F96AB8-C8AC-4FE0-89E1-981314BE3489}"/>
            </a:ext>
          </a:extLst>
        </xdr:cNvPr>
        <xdr:cNvCxnSpPr/>
      </xdr:nvCxnSpPr>
      <xdr:spPr>
        <a:xfrm>
          <a:off x="13849350" y="7197725"/>
          <a:ext cx="1270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25</xdr:row>
      <xdr:rowOff>183515</xdr:rowOff>
    </xdr:from>
    <xdr:to>
      <xdr:col>33</xdr:col>
      <xdr:colOff>88900</xdr:colOff>
      <xdr:row>25</xdr:row>
      <xdr:rowOff>183515</xdr:rowOff>
    </xdr:to>
    <xdr:cxnSp macro="">
      <xdr:nvCxnSpPr>
        <xdr:cNvPr id="1806" name="SCHEMA_T01_TERRA_17_2">
          <a:extLst>
            <a:ext uri="{FF2B5EF4-FFF2-40B4-BE49-F238E27FC236}">
              <a16:creationId xmlns:a16="http://schemas.microsoft.com/office/drawing/2014/main" id="{FB4C03FC-027C-F72D-3DAC-38A3243D91C1}"/>
            </a:ext>
          </a:extLst>
        </xdr:cNvPr>
        <xdr:cNvCxnSpPr/>
      </xdr:nvCxnSpPr>
      <xdr:spPr>
        <a:xfrm>
          <a:off x="13868400" y="7225665"/>
          <a:ext cx="889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19050</xdr:colOff>
      <xdr:row>25</xdr:row>
      <xdr:rowOff>211455</xdr:rowOff>
    </xdr:from>
    <xdr:to>
      <xdr:col>33</xdr:col>
      <xdr:colOff>69850</xdr:colOff>
      <xdr:row>25</xdr:row>
      <xdr:rowOff>211455</xdr:rowOff>
    </xdr:to>
    <xdr:cxnSp macro="">
      <xdr:nvCxnSpPr>
        <xdr:cNvPr id="1807" name="SCHEMA_T01_TERRA_17_3">
          <a:extLst>
            <a:ext uri="{FF2B5EF4-FFF2-40B4-BE49-F238E27FC236}">
              <a16:creationId xmlns:a16="http://schemas.microsoft.com/office/drawing/2014/main" id="{2F186BE5-9784-A1FF-F0AD-F9BC59022ED7}"/>
            </a:ext>
          </a:extLst>
        </xdr:cNvPr>
        <xdr:cNvCxnSpPr/>
      </xdr:nvCxnSpPr>
      <xdr:spPr>
        <a:xfrm>
          <a:off x="13887450" y="7253605"/>
          <a:ext cx="508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44450</xdr:colOff>
      <xdr:row>25</xdr:row>
      <xdr:rowOff>79375</xdr:rowOff>
    </xdr:from>
    <xdr:to>
      <xdr:col>41</xdr:col>
      <xdr:colOff>44450</xdr:colOff>
      <xdr:row>25</xdr:row>
      <xdr:rowOff>155575</xdr:rowOff>
    </xdr:to>
    <xdr:cxnSp macro="">
      <xdr:nvCxnSpPr>
        <xdr:cNvPr id="1808" name="SCHEMA_T01_TERRA_21_V">
          <a:extLst>
            <a:ext uri="{FF2B5EF4-FFF2-40B4-BE49-F238E27FC236}">
              <a16:creationId xmlns:a16="http://schemas.microsoft.com/office/drawing/2014/main" id="{1904CB4D-4467-951B-8F25-DB4E700F3A7F}"/>
            </a:ext>
          </a:extLst>
        </xdr:cNvPr>
        <xdr:cNvCxnSpPr/>
      </xdr:nvCxnSpPr>
      <xdr:spPr>
        <a:xfrm>
          <a:off x="16960850" y="7121525"/>
          <a:ext cx="0" cy="7620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361950</xdr:colOff>
      <xdr:row>25</xdr:row>
      <xdr:rowOff>155575</xdr:rowOff>
    </xdr:from>
    <xdr:to>
      <xdr:col>41</xdr:col>
      <xdr:colOff>107950</xdr:colOff>
      <xdr:row>25</xdr:row>
      <xdr:rowOff>155575</xdr:rowOff>
    </xdr:to>
    <xdr:cxnSp macro="">
      <xdr:nvCxnSpPr>
        <xdr:cNvPr id="1809" name="SCHEMA_T01_TERRA_21_1">
          <a:extLst>
            <a:ext uri="{FF2B5EF4-FFF2-40B4-BE49-F238E27FC236}">
              <a16:creationId xmlns:a16="http://schemas.microsoft.com/office/drawing/2014/main" id="{5D79132D-52AC-EF29-D55E-4992F1F26499}"/>
            </a:ext>
          </a:extLst>
        </xdr:cNvPr>
        <xdr:cNvCxnSpPr/>
      </xdr:nvCxnSpPr>
      <xdr:spPr>
        <a:xfrm>
          <a:off x="16897350" y="7197725"/>
          <a:ext cx="1270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25</xdr:row>
      <xdr:rowOff>183515</xdr:rowOff>
    </xdr:from>
    <xdr:to>
      <xdr:col>41</xdr:col>
      <xdr:colOff>88900</xdr:colOff>
      <xdr:row>25</xdr:row>
      <xdr:rowOff>183515</xdr:rowOff>
    </xdr:to>
    <xdr:cxnSp macro="">
      <xdr:nvCxnSpPr>
        <xdr:cNvPr id="1810" name="SCHEMA_T01_TERRA_21_2">
          <a:extLst>
            <a:ext uri="{FF2B5EF4-FFF2-40B4-BE49-F238E27FC236}">
              <a16:creationId xmlns:a16="http://schemas.microsoft.com/office/drawing/2014/main" id="{0D76FBF3-E8DD-DFC3-4324-A63F7C04A5A6}"/>
            </a:ext>
          </a:extLst>
        </xdr:cNvPr>
        <xdr:cNvCxnSpPr/>
      </xdr:nvCxnSpPr>
      <xdr:spPr>
        <a:xfrm>
          <a:off x="16916400" y="7225665"/>
          <a:ext cx="889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19050</xdr:colOff>
      <xdr:row>25</xdr:row>
      <xdr:rowOff>211455</xdr:rowOff>
    </xdr:from>
    <xdr:to>
      <xdr:col>41</xdr:col>
      <xdr:colOff>69850</xdr:colOff>
      <xdr:row>25</xdr:row>
      <xdr:rowOff>211455</xdr:rowOff>
    </xdr:to>
    <xdr:cxnSp macro="">
      <xdr:nvCxnSpPr>
        <xdr:cNvPr id="1811" name="SCHEMA_T01_TERRA_21_3">
          <a:extLst>
            <a:ext uri="{FF2B5EF4-FFF2-40B4-BE49-F238E27FC236}">
              <a16:creationId xmlns:a16="http://schemas.microsoft.com/office/drawing/2014/main" id="{474C4910-A6CB-D3A0-CE9F-C58AA3B92FDE}"/>
            </a:ext>
          </a:extLst>
        </xdr:cNvPr>
        <xdr:cNvCxnSpPr/>
      </xdr:nvCxnSpPr>
      <xdr:spPr>
        <a:xfrm>
          <a:off x="16935450" y="7253605"/>
          <a:ext cx="508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101600</xdr:colOff>
      <xdr:row>10</xdr:row>
      <xdr:rowOff>88900</xdr:rowOff>
    </xdr:from>
    <xdr:to>
      <xdr:col>3</xdr:col>
      <xdr:colOff>38100</xdr:colOff>
      <xdr:row>10</xdr:row>
      <xdr:rowOff>241300</xdr:rowOff>
    </xdr:to>
    <xdr:sp macro="" textlink="">
      <xdr:nvSpPr>
        <xdr:cNvPr id="1812" name="SCHEMA_T01_LEG_OPGW">
          <a:extLst>
            <a:ext uri="{FF2B5EF4-FFF2-40B4-BE49-F238E27FC236}">
              <a16:creationId xmlns:a16="http://schemas.microsoft.com/office/drawing/2014/main" id="{8B635071-05D6-7003-D001-5535AC1204BB}"/>
            </a:ext>
          </a:extLst>
        </xdr:cNvPr>
        <xdr:cNvSpPr txBox="1"/>
      </xdr:nvSpPr>
      <xdr:spPr>
        <a:xfrm>
          <a:off x="1778000" y="3416300"/>
          <a:ext cx="6985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s-ES" sz="650" b="1">
              <a:solidFill>
                <a:srgbClr val="00A651"/>
              </a:solidFill>
            </a:rPr>
            <a:t>OPGW</a:t>
          </a:r>
        </a:p>
      </xdr:txBody>
    </xdr:sp>
    <xdr:clientData/>
  </xdr:twoCellAnchor>
  <xdr:twoCellAnchor>
    <xdr:from>
      <xdr:col>1</xdr:col>
      <xdr:colOff>101600</xdr:colOff>
      <xdr:row>10</xdr:row>
      <xdr:rowOff>241300</xdr:rowOff>
    </xdr:from>
    <xdr:to>
      <xdr:col>3</xdr:col>
      <xdr:colOff>38100</xdr:colOff>
      <xdr:row>11</xdr:row>
      <xdr:rowOff>146050</xdr:rowOff>
    </xdr:to>
    <xdr:sp macro="" textlink="">
      <xdr:nvSpPr>
        <xdr:cNvPr id="1813" name="SCHEMA_T01_LEG_C1">
          <a:extLst>
            <a:ext uri="{FF2B5EF4-FFF2-40B4-BE49-F238E27FC236}">
              <a16:creationId xmlns:a16="http://schemas.microsoft.com/office/drawing/2014/main" id="{12608402-FF1A-4F9E-3E1B-1E8271E28A29}"/>
            </a:ext>
          </a:extLst>
        </xdr:cNvPr>
        <xdr:cNvSpPr txBox="1"/>
      </xdr:nvSpPr>
      <xdr:spPr>
        <a:xfrm>
          <a:off x="1778000" y="3568700"/>
          <a:ext cx="6985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s-ES" sz="650" b="0">
              <a:solidFill>
                <a:srgbClr val="ED1C24"/>
              </a:solidFill>
            </a:rPr>
            <a:t>CIRCUITO 1</a:t>
          </a:r>
        </a:p>
      </xdr:txBody>
    </xdr:sp>
    <xdr:clientData/>
  </xdr:twoCellAnchor>
  <xdr:twoCellAnchor>
    <xdr:from>
      <xdr:col>1</xdr:col>
      <xdr:colOff>101600</xdr:colOff>
      <xdr:row>11</xdr:row>
      <xdr:rowOff>146050</xdr:rowOff>
    </xdr:from>
    <xdr:to>
      <xdr:col>3</xdr:col>
      <xdr:colOff>38100</xdr:colOff>
      <xdr:row>12</xdr:row>
      <xdr:rowOff>50800</xdr:rowOff>
    </xdr:to>
    <xdr:sp macro="" textlink="">
      <xdr:nvSpPr>
        <xdr:cNvPr id="1814" name="SCHEMA_T01_LEG_C2">
          <a:extLst>
            <a:ext uri="{FF2B5EF4-FFF2-40B4-BE49-F238E27FC236}">
              <a16:creationId xmlns:a16="http://schemas.microsoft.com/office/drawing/2014/main" id="{021B9C4A-390C-9150-6D94-AAB4ED1939D2}"/>
            </a:ext>
          </a:extLst>
        </xdr:cNvPr>
        <xdr:cNvSpPr txBox="1"/>
      </xdr:nvSpPr>
      <xdr:spPr>
        <a:xfrm>
          <a:off x="1778000" y="3721100"/>
          <a:ext cx="6985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s-ES" sz="650" b="0">
              <a:solidFill>
                <a:srgbClr val="315A9B"/>
              </a:solidFill>
            </a:rPr>
            <a:t>CIRCUITO 2</a:t>
          </a:r>
        </a:p>
      </xdr:txBody>
    </xdr:sp>
    <xdr:clientData/>
  </xdr:twoCellAnchor>
  <xdr:twoCellAnchor>
    <xdr:from>
      <xdr:col>7</xdr:col>
      <xdr:colOff>217713</xdr:colOff>
      <xdr:row>22</xdr:row>
      <xdr:rowOff>69850</xdr:rowOff>
    </xdr:from>
    <xdr:to>
      <xdr:col>8</xdr:col>
      <xdr:colOff>263070</xdr:colOff>
      <xdr:row>23</xdr:row>
      <xdr:rowOff>208642</xdr:rowOff>
    </xdr:to>
    <xdr:grpSp>
      <xdr:nvGrpSpPr>
        <xdr:cNvPr id="1816" name="Grupo 1815">
          <a:extLst>
            <a:ext uri="{FF2B5EF4-FFF2-40B4-BE49-F238E27FC236}">
              <a16:creationId xmlns:a16="http://schemas.microsoft.com/office/drawing/2014/main" id="{ACE5410B-8BEF-BC91-ED07-6947C647FEAD}"/>
            </a:ext>
          </a:extLst>
        </xdr:cNvPr>
        <xdr:cNvGrpSpPr/>
      </xdr:nvGrpSpPr>
      <xdr:grpSpPr>
        <a:xfrm>
          <a:off x="4177392" y="6342743"/>
          <a:ext cx="426357" cy="383720"/>
          <a:chOff x="18288000" y="4798786"/>
          <a:chExt cx="334010" cy="311778"/>
        </a:xfrm>
      </xdr:grpSpPr>
      <xdr:sp macro="" textlink="">
        <xdr:nvSpPr>
          <xdr:cNvPr id="3" name="object 64">
            <a:extLst>
              <a:ext uri="{FF2B5EF4-FFF2-40B4-BE49-F238E27FC236}">
                <a16:creationId xmlns:a16="http://schemas.microsoft.com/office/drawing/2014/main" id="{A720E131-73DC-C78B-C699-F0C7FD05A65F}"/>
              </a:ext>
            </a:extLst>
          </xdr:cNvPr>
          <xdr:cNvSpPr/>
        </xdr:nvSpPr>
        <xdr:spPr>
          <a:xfrm>
            <a:off x="18341099" y="4829260"/>
            <a:ext cx="253365" cy="281304"/>
          </a:xfrm>
          <a:custGeom>
            <a:avLst/>
            <a:gdLst/>
            <a:ahLst/>
            <a:cxnLst/>
            <a:rect l="l" t="t" r="r" b="b"/>
            <a:pathLst>
              <a:path w="253364" h="281304">
                <a:moveTo>
                  <a:pt x="101" y="281260"/>
                </a:moveTo>
                <a:lnTo>
                  <a:pt x="35785" y="281260"/>
                </a:lnTo>
                <a:lnTo>
                  <a:pt x="35785" y="67356"/>
                </a:lnTo>
                <a:lnTo>
                  <a:pt x="101" y="67356"/>
                </a:lnTo>
                <a:lnTo>
                  <a:pt x="101" y="281260"/>
                </a:lnTo>
                <a:close/>
              </a:path>
              <a:path w="253364" h="281304">
                <a:moveTo>
                  <a:pt x="35770" y="281260"/>
                </a:moveTo>
                <a:lnTo>
                  <a:pt x="1013" y="257143"/>
                </a:lnTo>
              </a:path>
              <a:path w="253364" h="281304">
                <a:moveTo>
                  <a:pt x="34655" y="236369"/>
                </a:moveTo>
                <a:lnTo>
                  <a:pt x="1013" y="256636"/>
                </a:lnTo>
              </a:path>
              <a:path w="253364" h="281304">
                <a:moveTo>
                  <a:pt x="36378" y="237079"/>
                </a:moveTo>
                <a:lnTo>
                  <a:pt x="1621" y="213063"/>
                </a:lnTo>
              </a:path>
              <a:path w="253364" h="281304">
                <a:moveTo>
                  <a:pt x="35061" y="194924"/>
                </a:moveTo>
                <a:lnTo>
                  <a:pt x="1722" y="212961"/>
                </a:lnTo>
              </a:path>
              <a:path w="253364" h="281304">
                <a:moveTo>
                  <a:pt x="34655" y="195025"/>
                </a:moveTo>
                <a:lnTo>
                  <a:pt x="0" y="171009"/>
                </a:lnTo>
              </a:path>
              <a:path w="253364" h="281304">
                <a:moveTo>
                  <a:pt x="34655" y="152263"/>
                </a:moveTo>
                <a:lnTo>
                  <a:pt x="101" y="170908"/>
                </a:lnTo>
              </a:path>
              <a:path w="253364" h="281304">
                <a:moveTo>
                  <a:pt x="35162" y="152465"/>
                </a:moveTo>
                <a:lnTo>
                  <a:pt x="405" y="128348"/>
                </a:lnTo>
              </a:path>
              <a:path w="253364" h="281304">
                <a:moveTo>
                  <a:pt x="35263" y="109095"/>
                </a:moveTo>
                <a:lnTo>
                  <a:pt x="506" y="128855"/>
                </a:lnTo>
              </a:path>
              <a:path w="253364" h="281304">
                <a:moveTo>
                  <a:pt x="35567" y="109804"/>
                </a:moveTo>
                <a:lnTo>
                  <a:pt x="810" y="85687"/>
                </a:lnTo>
              </a:path>
              <a:path w="253364" h="281304">
                <a:moveTo>
                  <a:pt x="34250" y="67548"/>
                </a:moveTo>
                <a:lnTo>
                  <a:pt x="911" y="85687"/>
                </a:lnTo>
              </a:path>
              <a:path w="253364" h="281304">
                <a:moveTo>
                  <a:pt x="218373" y="235457"/>
                </a:moveTo>
                <a:lnTo>
                  <a:pt x="252302" y="235457"/>
                </a:lnTo>
                <a:lnTo>
                  <a:pt x="252302" y="0"/>
                </a:lnTo>
                <a:lnTo>
                  <a:pt x="218373" y="0"/>
                </a:lnTo>
                <a:lnTo>
                  <a:pt x="218373" y="235457"/>
                </a:lnTo>
                <a:close/>
              </a:path>
              <a:path w="253364" h="281304">
                <a:moveTo>
                  <a:pt x="252218" y="235356"/>
                </a:moveTo>
                <a:lnTo>
                  <a:pt x="219285" y="208807"/>
                </a:lnTo>
              </a:path>
              <a:path w="253364" h="281304">
                <a:moveTo>
                  <a:pt x="251306" y="185905"/>
                </a:moveTo>
                <a:lnTo>
                  <a:pt x="219285" y="208300"/>
                </a:lnTo>
              </a:path>
              <a:path w="253364" h="281304">
                <a:moveTo>
                  <a:pt x="252826" y="186817"/>
                </a:moveTo>
                <a:lnTo>
                  <a:pt x="219893" y="160268"/>
                </a:lnTo>
              </a:path>
              <a:path w="253364" h="281304">
                <a:moveTo>
                  <a:pt x="251610" y="140305"/>
                </a:moveTo>
                <a:lnTo>
                  <a:pt x="219994" y="160268"/>
                </a:lnTo>
              </a:path>
              <a:path w="253364" h="281304">
                <a:moveTo>
                  <a:pt x="251306" y="140508"/>
                </a:moveTo>
                <a:lnTo>
                  <a:pt x="218271" y="114060"/>
                </a:lnTo>
              </a:path>
              <a:path w="253364" h="281304">
                <a:moveTo>
                  <a:pt x="251306" y="93388"/>
                </a:moveTo>
                <a:lnTo>
                  <a:pt x="218373" y="113959"/>
                </a:lnTo>
              </a:path>
              <a:path w="253364" h="281304">
                <a:moveTo>
                  <a:pt x="251711" y="93591"/>
                </a:moveTo>
                <a:lnTo>
                  <a:pt x="218677" y="67042"/>
                </a:lnTo>
              </a:path>
              <a:path w="253364" h="281304">
                <a:moveTo>
                  <a:pt x="251812" y="45863"/>
                </a:moveTo>
                <a:lnTo>
                  <a:pt x="218778" y="67650"/>
                </a:lnTo>
              </a:path>
              <a:path w="253364" h="281304">
                <a:moveTo>
                  <a:pt x="252116" y="46572"/>
                </a:moveTo>
                <a:lnTo>
                  <a:pt x="219082" y="20124"/>
                </a:lnTo>
              </a:path>
              <a:path w="253364" h="281304">
                <a:moveTo>
                  <a:pt x="250900" y="162"/>
                </a:moveTo>
                <a:lnTo>
                  <a:pt x="219183" y="20124"/>
                </a:lnTo>
              </a:path>
            </a:pathLst>
          </a:custGeom>
          <a:ln w="5066">
            <a:solidFill>
              <a:srgbClr val="7E7E7E"/>
            </a:solidFill>
          </a:ln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1815" name="object 66">
            <a:extLst>
              <a:ext uri="{FF2B5EF4-FFF2-40B4-BE49-F238E27FC236}">
                <a16:creationId xmlns:a16="http://schemas.microsoft.com/office/drawing/2014/main" id="{C3283A7D-698E-709D-1BBD-7BEAFAE47754}"/>
              </a:ext>
            </a:extLst>
          </xdr:cNvPr>
          <xdr:cNvSpPr/>
        </xdr:nvSpPr>
        <xdr:spPr>
          <a:xfrm>
            <a:off x="18288000" y="4798786"/>
            <a:ext cx="334010" cy="112395"/>
          </a:xfrm>
          <a:custGeom>
            <a:avLst/>
            <a:gdLst/>
            <a:ahLst/>
            <a:cxnLst/>
            <a:rect l="l" t="t" r="r" b="b"/>
            <a:pathLst>
              <a:path w="330835" h="109220">
                <a:moveTo>
                  <a:pt x="330751" y="14186"/>
                </a:moveTo>
                <a:lnTo>
                  <a:pt x="326596" y="0"/>
                </a:lnTo>
                <a:lnTo>
                  <a:pt x="0" y="94847"/>
                </a:lnTo>
                <a:lnTo>
                  <a:pt x="4053" y="109034"/>
                </a:lnTo>
                <a:lnTo>
                  <a:pt x="330751" y="14186"/>
                </a:lnTo>
                <a:close/>
              </a:path>
            </a:pathLst>
          </a:custGeom>
          <a:ln w="5066">
            <a:solidFill>
              <a:srgbClr val="4471C4"/>
            </a:solidFill>
          </a:ln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</xdr:grpSp>
    <xdr:clientData/>
  </xdr:twoCellAnchor>
  <xdr:twoCellAnchor>
    <xdr:from>
      <xdr:col>5</xdr:col>
      <xdr:colOff>166006</xdr:colOff>
      <xdr:row>22</xdr:row>
      <xdr:rowOff>99786</xdr:rowOff>
    </xdr:from>
    <xdr:to>
      <xdr:col>6</xdr:col>
      <xdr:colOff>211363</xdr:colOff>
      <xdr:row>23</xdr:row>
      <xdr:rowOff>238578</xdr:rowOff>
    </xdr:to>
    <xdr:grpSp>
      <xdr:nvGrpSpPr>
        <xdr:cNvPr id="1817" name="Grupo 1816">
          <a:extLst>
            <a:ext uri="{FF2B5EF4-FFF2-40B4-BE49-F238E27FC236}">
              <a16:creationId xmlns:a16="http://schemas.microsoft.com/office/drawing/2014/main" id="{20F8D7F1-148C-4014-9629-A094547BC2F8}"/>
            </a:ext>
          </a:extLst>
        </xdr:cNvPr>
        <xdr:cNvGrpSpPr/>
      </xdr:nvGrpSpPr>
      <xdr:grpSpPr>
        <a:xfrm>
          <a:off x="3363685" y="6372679"/>
          <a:ext cx="426357" cy="383720"/>
          <a:chOff x="18288000" y="4798786"/>
          <a:chExt cx="334010" cy="311778"/>
        </a:xfrm>
      </xdr:grpSpPr>
      <xdr:sp macro="" textlink="">
        <xdr:nvSpPr>
          <xdr:cNvPr id="1818" name="object 64">
            <a:extLst>
              <a:ext uri="{FF2B5EF4-FFF2-40B4-BE49-F238E27FC236}">
                <a16:creationId xmlns:a16="http://schemas.microsoft.com/office/drawing/2014/main" id="{33A3BF0B-1376-0A33-6310-D8184239764B}"/>
              </a:ext>
            </a:extLst>
          </xdr:cNvPr>
          <xdr:cNvSpPr/>
        </xdr:nvSpPr>
        <xdr:spPr>
          <a:xfrm>
            <a:off x="18341099" y="4829260"/>
            <a:ext cx="253365" cy="281304"/>
          </a:xfrm>
          <a:custGeom>
            <a:avLst/>
            <a:gdLst/>
            <a:ahLst/>
            <a:cxnLst/>
            <a:rect l="l" t="t" r="r" b="b"/>
            <a:pathLst>
              <a:path w="253364" h="281304">
                <a:moveTo>
                  <a:pt x="101" y="281260"/>
                </a:moveTo>
                <a:lnTo>
                  <a:pt x="35785" y="281260"/>
                </a:lnTo>
                <a:lnTo>
                  <a:pt x="35785" y="67356"/>
                </a:lnTo>
                <a:lnTo>
                  <a:pt x="101" y="67356"/>
                </a:lnTo>
                <a:lnTo>
                  <a:pt x="101" y="281260"/>
                </a:lnTo>
                <a:close/>
              </a:path>
              <a:path w="253364" h="281304">
                <a:moveTo>
                  <a:pt x="35770" y="281260"/>
                </a:moveTo>
                <a:lnTo>
                  <a:pt x="1013" y="257143"/>
                </a:lnTo>
              </a:path>
              <a:path w="253364" h="281304">
                <a:moveTo>
                  <a:pt x="34655" y="236369"/>
                </a:moveTo>
                <a:lnTo>
                  <a:pt x="1013" y="256636"/>
                </a:lnTo>
              </a:path>
              <a:path w="253364" h="281304">
                <a:moveTo>
                  <a:pt x="36378" y="237079"/>
                </a:moveTo>
                <a:lnTo>
                  <a:pt x="1621" y="213063"/>
                </a:lnTo>
              </a:path>
              <a:path w="253364" h="281304">
                <a:moveTo>
                  <a:pt x="35061" y="194924"/>
                </a:moveTo>
                <a:lnTo>
                  <a:pt x="1722" y="212961"/>
                </a:lnTo>
              </a:path>
              <a:path w="253364" h="281304">
                <a:moveTo>
                  <a:pt x="34655" y="195025"/>
                </a:moveTo>
                <a:lnTo>
                  <a:pt x="0" y="171009"/>
                </a:lnTo>
              </a:path>
              <a:path w="253364" h="281304">
                <a:moveTo>
                  <a:pt x="34655" y="152263"/>
                </a:moveTo>
                <a:lnTo>
                  <a:pt x="101" y="170908"/>
                </a:lnTo>
              </a:path>
              <a:path w="253364" h="281304">
                <a:moveTo>
                  <a:pt x="35162" y="152465"/>
                </a:moveTo>
                <a:lnTo>
                  <a:pt x="405" y="128348"/>
                </a:lnTo>
              </a:path>
              <a:path w="253364" h="281304">
                <a:moveTo>
                  <a:pt x="35263" y="109095"/>
                </a:moveTo>
                <a:lnTo>
                  <a:pt x="506" y="128855"/>
                </a:lnTo>
              </a:path>
              <a:path w="253364" h="281304">
                <a:moveTo>
                  <a:pt x="35567" y="109804"/>
                </a:moveTo>
                <a:lnTo>
                  <a:pt x="810" y="85687"/>
                </a:lnTo>
              </a:path>
              <a:path w="253364" h="281304">
                <a:moveTo>
                  <a:pt x="34250" y="67548"/>
                </a:moveTo>
                <a:lnTo>
                  <a:pt x="911" y="85687"/>
                </a:lnTo>
              </a:path>
              <a:path w="253364" h="281304">
                <a:moveTo>
                  <a:pt x="218373" y="235457"/>
                </a:moveTo>
                <a:lnTo>
                  <a:pt x="252302" y="235457"/>
                </a:lnTo>
                <a:lnTo>
                  <a:pt x="252302" y="0"/>
                </a:lnTo>
                <a:lnTo>
                  <a:pt x="218373" y="0"/>
                </a:lnTo>
                <a:lnTo>
                  <a:pt x="218373" y="235457"/>
                </a:lnTo>
                <a:close/>
              </a:path>
              <a:path w="253364" h="281304">
                <a:moveTo>
                  <a:pt x="252218" y="235356"/>
                </a:moveTo>
                <a:lnTo>
                  <a:pt x="219285" y="208807"/>
                </a:lnTo>
              </a:path>
              <a:path w="253364" h="281304">
                <a:moveTo>
                  <a:pt x="251306" y="185905"/>
                </a:moveTo>
                <a:lnTo>
                  <a:pt x="219285" y="208300"/>
                </a:lnTo>
              </a:path>
              <a:path w="253364" h="281304">
                <a:moveTo>
                  <a:pt x="252826" y="186817"/>
                </a:moveTo>
                <a:lnTo>
                  <a:pt x="219893" y="160268"/>
                </a:lnTo>
              </a:path>
              <a:path w="253364" h="281304">
                <a:moveTo>
                  <a:pt x="251610" y="140305"/>
                </a:moveTo>
                <a:lnTo>
                  <a:pt x="219994" y="160268"/>
                </a:lnTo>
              </a:path>
              <a:path w="253364" h="281304">
                <a:moveTo>
                  <a:pt x="251306" y="140508"/>
                </a:moveTo>
                <a:lnTo>
                  <a:pt x="218271" y="114060"/>
                </a:lnTo>
              </a:path>
              <a:path w="253364" h="281304">
                <a:moveTo>
                  <a:pt x="251306" y="93388"/>
                </a:moveTo>
                <a:lnTo>
                  <a:pt x="218373" y="113959"/>
                </a:lnTo>
              </a:path>
              <a:path w="253364" h="281304">
                <a:moveTo>
                  <a:pt x="251711" y="93591"/>
                </a:moveTo>
                <a:lnTo>
                  <a:pt x="218677" y="67042"/>
                </a:lnTo>
              </a:path>
              <a:path w="253364" h="281304">
                <a:moveTo>
                  <a:pt x="251812" y="45863"/>
                </a:moveTo>
                <a:lnTo>
                  <a:pt x="218778" y="67650"/>
                </a:lnTo>
              </a:path>
              <a:path w="253364" h="281304">
                <a:moveTo>
                  <a:pt x="252116" y="46572"/>
                </a:moveTo>
                <a:lnTo>
                  <a:pt x="219082" y="20124"/>
                </a:lnTo>
              </a:path>
              <a:path w="253364" h="281304">
                <a:moveTo>
                  <a:pt x="250900" y="162"/>
                </a:moveTo>
                <a:lnTo>
                  <a:pt x="219183" y="20124"/>
                </a:lnTo>
              </a:path>
            </a:pathLst>
          </a:custGeom>
          <a:ln w="5066">
            <a:solidFill>
              <a:srgbClr val="7E7E7E"/>
            </a:solidFill>
          </a:ln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1819" name="object 66">
            <a:extLst>
              <a:ext uri="{FF2B5EF4-FFF2-40B4-BE49-F238E27FC236}">
                <a16:creationId xmlns:a16="http://schemas.microsoft.com/office/drawing/2014/main" id="{59BC4E06-048B-78CD-9542-6D085EF6696B}"/>
              </a:ext>
            </a:extLst>
          </xdr:cNvPr>
          <xdr:cNvSpPr/>
        </xdr:nvSpPr>
        <xdr:spPr>
          <a:xfrm>
            <a:off x="18288000" y="4798786"/>
            <a:ext cx="334010" cy="112395"/>
          </a:xfrm>
          <a:custGeom>
            <a:avLst/>
            <a:gdLst/>
            <a:ahLst/>
            <a:cxnLst/>
            <a:rect l="l" t="t" r="r" b="b"/>
            <a:pathLst>
              <a:path w="330835" h="109220">
                <a:moveTo>
                  <a:pt x="330751" y="14186"/>
                </a:moveTo>
                <a:lnTo>
                  <a:pt x="326596" y="0"/>
                </a:lnTo>
                <a:lnTo>
                  <a:pt x="0" y="94847"/>
                </a:lnTo>
                <a:lnTo>
                  <a:pt x="4053" y="109034"/>
                </a:lnTo>
                <a:lnTo>
                  <a:pt x="330751" y="14186"/>
                </a:lnTo>
                <a:close/>
              </a:path>
            </a:pathLst>
          </a:custGeom>
          <a:ln w="5066">
            <a:solidFill>
              <a:srgbClr val="4471C4"/>
            </a:solidFill>
          </a:ln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</xdr:grpSp>
    <xdr:clientData/>
  </xdr:twoCellAnchor>
  <xdr:twoCellAnchor>
    <xdr:from>
      <xdr:col>15</xdr:col>
      <xdr:colOff>195942</xdr:colOff>
      <xdr:row>22</xdr:row>
      <xdr:rowOff>48079</xdr:rowOff>
    </xdr:from>
    <xdr:to>
      <xdr:col>16</xdr:col>
      <xdr:colOff>241299</xdr:colOff>
      <xdr:row>23</xdr:row>
      <xdr:rowOff>186871</xdr:rowOff>
    </xdr:to>
    <xdr:grpSp>
      <xdr:nvGrpSpPr>
        <xdr:cNvPr id="1820" name="Grupo 1819">
          <a:extLst>
            <a:ext uri="{FF2B5EF4-FFF2-40B4-BE49-F238E27FC236}">
              <a16:creationId xmlns:a16="http://schemas.microsoft.com/office/drawing/2014/main" id="{EC6811CF-A6E2-4D8D-85A4-4DB735A0E958}"/>
            </a:ext>
          </a:extLst>
        </xdr:cNvPr>
        <xdr:cNvGrpSpPr/>
      </xdr:nvGrpSpPr>
      <xdr:grpSpPr>
        <a:xfrm>
          <a:off x="7203621" y="6320972"/>
          <a:ext cx="426357" cy="383720"/>
          <a:chOff x="18288000" y="4798786"/>
          <a:chExt cx="334010" cy="311778"/>
        </a:xfrm>
      </xdr:grpSpPr>
      <xdr:sp macro="" textlink="">
        <xdr:nvSpPr>
          <xdr:cNvPr id="1821" name="object 64">
            <a:extLst>
              <a:ext uri="{FF2B5EF4-FFF2-40B4-BE49-F238E27FC236}">
                <a16:creationId xmlns:a16="http://schemas.microsoft.com/office/drawing/2014/main" id="{CD41937C-D945-8FC9-8D52-DAB1D85E05A3}"/>
              </a:ext>
            </a:extLst>
          </xdr:cNvPr>
          <xdr:cNvSpPr/>
        </xdr:nvSpPr>
        <xdr:spPr>
          <a:xfrm>
            <a:off x="18341099" y="4829260"/>
            <a:ext cx="253365" cy="281304"/>
          </a:xfrm>
          <a:custGeom>
            <a:avLst/>
            <a:gdLst/>
            <a:ahLst/>
            <a:cxnLst/>
            <a:rect l="l" t="t" r="r" b="b"/>
            <a:pathLst>
              <a:path w="253364" h="281304">
                <a:moveTo>
                  <a:pt x="101" y="281260"/>
                </a:moveTo>
                <a:lnTo>
                  <a:pt x="35785" y="281260"/>
                </a:lnTo>
                <a:lnTo>
                  <a:pt x="35785" y="67356"/>
                </a:lnTo>
                <a:lnTo>
                  <a:pt x="101" y="67356"/>
                </a:lnTo>
                <a:lnTo>
                  <a:pt x="101" y="281260"/>
                </a:lnTo>
                <a:close/>
              </a:path>
              <a:path w="253364" h="281304">
                <a:moveTo>
                  <a:pt x="35770" y="281260"/>
                </a:moveTo>
                <a:lnTo>
                  <a:pt x="1013" y="257143"/>
                </a:lnTo>
              </a:path>
              <a:path w="253364" h="281304">
                <a:moveTo>
                  <a:pt x="34655" y="236369"/>
                </a:moveTo>
                <a:lnTo>
                  <a:pt x="1013" y="256636"/>
                </a:lnTo>
              </a:path>
              <a:path w="253364" h="281304">
                <a:moveTo>
                  <a:pt x="36378" y="237079"/>
                </a:moveTo>
                <a:lnTo>
                  <a:pt x="1621" y="213063"/>
                </a:lnTo>
              </a:path>
              <a:path w="253364" h="281304">
                <a:moveTo>
                  <a:pt x="35061" y="194924"/>
                </a:moveTo>
                <a:lnTo>
                  <a:pt x="1722" y="212961"/>
                </a:lnTo>
              </a:path>
              <a:path w="253364" h="281304">
                <a:moveTo>
                  <a:pt x="34655" y="195025"/>
                </a:moveTo>
                <a:lnTo>
                  <a:pt x="0" y="171009"/>
                </a:lnTo>
              </a:path>
              <a:path w="253364" h="281304">
                <a:moveTo>
                  <a:pt x="34655" y="152263"/>
                </a:moveTo>
                <a:lnTo>
                  <a:pt x="101" y="170908"/>
                </a:lnTo>
              </a:path>
              <a:path w="253364" h="281304">
                <a:moveTo>
                  <a:pt x="35162" y="152465"/>
                </a:moveTo>
                <a:lnTo>
                  <a:pt x="405" y="128348"/>
                </a:lnTo>
              </a:path>
              <a:path w="253364" h="281304">
                <a:moveTo>
                  <a:pt x="35263" y="109095"/>
                </a:moveTo>
                <a:lnTo>
                  <a:pt x="506" y="128855"/>
                </a:lnTo>
              </a:path>
              <a:path w="253364" h="281304">
                <a:moveTo>
                  <a:pt x="35567" y="109804"/>
                </a:moveTo>
                <a:lnTo>
                  <a:pt x="810" y="85687"/>
                </a:lnTo>
              </a:path>
              <a:path w="253364" h="281304">
                <a:moveTo>
                  <a:pt x="34250" y="67548"/>
                </a:moveTo>
                <a:lnTo>
                  <a:pt x="911" y="85687"/>
                </a:lnTo>
              </a:path>
              <a:path w="253364" h="281304">
                <a:moveTo>
                  <a:pt x="218373" y="235457"/>
                </a:moveTo>
                <a:lnTo>
                  <a:pt x="252302" y="235457"/>
                </a:lnTo>
                <a:lnTo>
                  <a:pt x="252302" y="0"/>
                </a:lnTo>
                <a:lnTo>
                  <a:pt x="218373" y="0"/>
                </a:lnTo>
                <a:lnTo>
                  <a:pt x="218373" y="235457"/>
                </a:lnTo>
                <a:close/>
              </a:path>
              <a:path w="253364" h="281304">
                <a:moveTo>
                  <a:pt x="252218" y="235356"/>
                </a:moveTo>
                <a:lnTo>
                  <a:pt x="219285" y="208807"/>
                </a:lnTo>
              </a:path>
              <a:path w="253364" h="281304">
                <a:moveTo>
                  <a:pt x="251306" y="185905"/>
                </a:moveTo>
                <a:lnTo>
                  <a:pt x="219285" y="208300"/>
                </a:lnTo>
              </a:path>
              <a:path w="253364" h="281304">
                <a:moveTo>
                  <a:pt x="252826" y="186817"/>
                </a:moveTo>
                <a:lnTo>
                  <a:pt x="219893" y="160268"/>
                </a:lnTo>
              </a:path>
              <a:path w="253364" h="281304">
                <a:moveTo>
                  <a:pt x="251610" y="140305"/>
                </a:moveTo>
                <a:lnTo>
                  <a:pt x="219994" y="160268"/>
                </a:lnTo>
              </a:path>
              <a:path w="253364" h="281304">
                <a:moveTo>
                  <a:pt x="251306" y="140508"/>
                </a:moveTo>
                <a:lnTo>
                  <a:pt x="218271" y="114060"/>
                </a:lnTo>
              </a:path>
              <a:path w="253364" h="281304">
                <a:moveTo>
                  <a:pt x="251306" y="93388"/>
                </a:moveTo>
                <a:lnTo>
                  <a:pt x="218373" y="113959"/>
                </a:lnTo>
              </a:path>
              <a:path w="253364" h="281304">
                <a:moveTo>
                  <a:pt x="251711" y="93591"/>
                </a:moveTo>
                <a:lnTo>
                  <a:pt x="218677" y="67042"/>
                </a:lnTo>
              </a:path>
              <a:path w="253364" h="281304">
                <a:moveTo>
                  <a:pt x="251812" y="45863"/>
                </a:moveTo>
                <a:lnTo>
                  <a:pt x="218778" y="67650"/>
                </a:lnTo>
              </a:path>
              <a:path w="253364" h="281304">
                <a:moveTo>
                  <a:pt x="252116" y="46572"/>
                </a:moveTo>
                <a:lnTo>
                  <a:pt x="219082" y="20124"/>
                </a:lnTo>
              </a:path>
              <a:path w="253364" h="281304">
                <a:moveTo>
                  <a:pt x="250900" y="162"/>
                </a:moveTo>
                <a:lnTo>
                  <a:pt x="219183" y="20124"/>
                </a:lnTo>
              </a:path>
            </a:pathLst>
          </a:custGeom>
          <a:ln w="5066">
            <a:solidFill>
              <a:srgbClr val="7E7E7E"/>
            </a:solidFill>
          </a:ln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1822" name="object 66">
            <a:extLst>
              <a:ext uri="{FF2B5EF4-FFF2-40B4-BE49-F238E27FC236}">
                <a16:creationId xmlns:a16="http://schemas.microsoft.com/office/drawing/2014/main" id="{3AAB241A-FC71-CC26-F5B2-080B6D4EF5F7}"/>
              </a:ext>
            </a:extLst>
          </xdr:cNvPr>
          <xdr:cNvSpPr/>
        </xdr:nvSpPr>
        <xdr:spPr>
          <a:xfrm>
            <a:off x="18288000" y="4798786"/>
            <a:ext cx="334010" cy="112395"/>
          </a:xfrm>
          <a:custGeom>
            <a:avLst/>
            <a:gdLst/>
            <a:ahLst/>
            <a:cxnLst/>
            <a:rect l="l" t="t" r="r" b="b"/>
            <a:pathLst>
              <a:path w="330835" h="109220">
                <a:moveTo>
                  <a:pt x="330751" y="14186"/>
                </a:moveTo>
                <a:lnTo>
                  <a:pt x="326596" y="0"/>
                </a:lnTo>
                <a:lnTo>
                  <a:pt x="0" y="94847"/>
                </a:lnTo>
                <a:lnTo>
                  <a:pt x="4053" y="109034"/>
                </a:lnTo>
                <a:lnTo>
                  <a:pt x="330751" y="14186"/>
                </a:lnTo>
                <a:close/>
              </a:path>
            </a:pathLst>
          </a:custGeom>
          <a:ln w="5066">
            <a:solidFill>
              <a:srgbClr val="4471C4"/>
            </a:solidFill>
          </a:ln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428750" cy="47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absoluteAnchor>
    <xdr:pos x="952500" y="6515100"/>
    <xdr:ext cx="929386" cy="660400"/>
    <xdr:pic>
      <xdr:nvPicPr>
        <xdr:cNvPr id="3" name="MACCHINA_FRENO_T02">
          <a:extLst>
            <a:ext uri="{FF2B5EF4-FFF2-40B4-BE49-F238E27FC236}">
              <a16:creationId xmlns:a16="http://schemas.microsoft.com/office/drawing/2014/main" id="{2B9F37CB-2867-155F-98DA-667378EA6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00" y="6515100"/>
          <a:ext cx="929386" cy="660400"/>
        </a:xfrm>
        <a:prstGeom prst="rect">
          <a:avLst/>
        </a:prstGeom>
      </xdr:spPr>
    </xdr:pic>
    <xdr:clientData/>
  </xdr:absoluteAnchor>
  <xdr:absoluteAnchor>
    <xdr:pos x="16618857" y="6528888"/>
    <xdr:ext cx="929386" cy="660400"/>
    <xdr:pic>
      <xdr:nvPicPr>
        <xdr:cNvPr id="408" name="MACCHINA_ARGANO_T02">
          <a:extLst>
            <a:ext uri="{FF2B5EF4-FFF2-40B4-BE49-F238E27FC236}">
              <a16:creationId xmlns:a16="http://schemas.microsoft.com/office/drawing/2014/main" id="{060299AF-8156-102A-CCC6-0D3360476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18857" y="6528888"/>
          <a:ext cx="929386" cy="660400"/>
        </a:xfrm>
        <a:prstGeom prst="rect">
          <a:avLst/>
        </a:prstGeom>
      </xdr:spPr>
    </xdr:pic>
    <xdr:clientData/>
  </xdr:absoluteAnchor>
  <xdr:absoluteAnchor>
    <xdr:pos x="1421309" y="4594678"/>
    <xdr:ext cx="415290" cy="508000"/>
    <xdr:pic>
      <xdr:nvPicPr>
        <xdr:cNvPr id="409" name="PAT_T02_1">
          <a:extLst>
            <a:ext uri="{FF2B5EF4-FFF2-40B4-BE49-F238E27FC236}">
              <a16:creationId xmlns:a16="http://schemas.microsoft.com/office/drawing/2014/main" id="{925BDDD4-429E-682B-3C89-3E1734668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1309" y="4594678"/>
          <a:ext cx="415290" cy="508000"/>
        </a:xfrm>
        <a:prstGeom prst="rect">
          <a:avLst/>
        </a:prstGeom>
      </xdr:spPr>
    </xdr:pic>
    <xdr:clientData/>
  </xdr:absoluteAnchor>
  <xdr:absoluteAnchor>
    <xdr:pos x="4156344" y="4485821"/>
    <xdr:ext cx="415290" cy="508000"/>
    <xdr:pic>
      <xdr:nvPicPr>
        <xdr:cNvPr id="410" name="PAT_T02_4">
          <a:extLst>
            <a:ext uri="{FF2B5EF4-FFF2-40B4-BE49-F238E27FC236}">
              <a16:creationId xmlns:a16="http://schemas.microsoft.com/office/drawing/2014/main" id="{9D5627A1-0E2B-2C27-CCDE-02A1995E2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56344" y="4485821"/>
          <a:ext cx="415290" cy="508000"/>
        </a:xfrm>
        <a:prstGeom prst="rect">
          <a:avLst/>
        </a:prstGeom>
      </xdr:spPr>
    </xdr:pic>
    <xdr:clientData/>
  </xdr:absoluteAnchor>
  <xdr:absoluteAnchor>
    <xdr:pos x="6864166" y="4472214"/>
    <xdr:ext cx="415290" cy="508000"/>
    <xdr:pic>
      <xdr:nvPicPr>
        <xdr:cNvPr id="411" name="PAT_T02_7">
          <a:extLst>
            <a:ext uri="{FF2B5EF4-FFF2-40B4-BE49-F238E27FC236}">
              <a16:creationId xmlns:a16="http://schemas.microsoft.com/office/drawing/2014/main" id="{6CEAC663-33CC-5B2F-6FCD-8DAAB49D3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64166" y="4472214"/>
          <a:ext cx="415290" cy="508000"/>
        </a:xfrm>
        <a:prstGeom prst="rect">
          <a:avLst/>
        </a:prstGeom>
      </xdr:spPr>
    </xdr:pic>
    <xdr:clientData/>
  </xdr:absoluteAnchor>
  <xdr:absoluteAnchor>
    <xdr:pos x="9503952" y="4227286"/>
    <xdr:ext cx="415290" cy="508000"/>
    <xdr:pic>
      <xdr:nvPicPr>
        <xdr:cNvPr id="413" name="PAT_T02_13">
          <a:extLst>
            <a:ext uri="{FF2B5EF4-FFF2-40B4-BE49-F238E27FC236}">
              <a16:creationId xmlns:a16="http://schemas.microsoft.com/office/drawing/2014/main" id="{0FD73FC4-071D-371C-B7ED-3281ECEB7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03952" y="4227286"/>
          <a:ext cx="415290" cy="508000"/>
        </a:xfrm>
        <a:prstGeom prst="rect">
          <a:avLst/>
        </a:prstGeom>
      </xdr:spPr>
    </xdr:pic>
    <xdr:clientData/>
  </xdr:absoluteAnchor>
  <xdr:absoluteAnchor>
    <xdr:pos x="12347845" y="4322535"/>
    <xdr:ext cx="415290" cy="508000"/>
    <xdr:pic>
      <xdr:nvPicPr>
        <xdr:cNvPr id="414" name="PAT_T02_16">
          <a:extLst>
            <a:ext uri="{FF2B5EF4-FFF2-40B4-BE49-F238E27FC236}">
              <a16:creationId xmlns:a16="http://schemas.microsoft.com/office/drawing/2014/main" id="{1E8CCC0E-E286-F437-70B5-1E9D3CF23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47845" y="4322535"/>
          <a:ext cx="415290" cy="508000"/>
        </a:xfrm>
        <a:prstGeom prst="rect">
          <a:avLst/>
        </a:prstGeom>
      </xdr:spPr>
    </xdr:pic>
    <xdr:clientData/>
  </xdr:absoluteAnchor>
  <xdr:absoluteAnchor>
    <xdr:pos x="15042059" y="4322536"/>
    <xdr:ext cx="415290" cy="508000"/>
    <xdr:pic>
      <xdr:nvPicPr>
        <xdr:cNvPr id="415" name="PAT_T02_19">
          <a:extLst>
            <a:ext uri="{FF2B5EF4-FFF2-40B4-BE49-F238E27FC236}">
              <a16:creationId xmlns:a16="http://schemas.microsoft.com/office/drawing/2014/main" id="{30934A68-E024-CD40-2B15-62C0F91A1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042059" y="4322536"/>
          <a:ext cx="415290" cy="508000"/>
        </a:xfrm>
        <a:prstGeom prst="rect">
          <a:avLst/>
        </a:prstGeom>
      </xdr:spPr>
    </xdr:pic>
    <xdr:clientData/>
  </xdr:absoluteAnchor>
  <xdr:absoluteAnchor>
    <xdr:pos x="16348344" y="3791857"/>
    <xdr:ext cx="415290" cy="508000"/>
    <xdr:pic>
      <xdr:nvPicPr>
        <xdr:cNvPr id="416" name="PAT_T02_22">
          <a:extLst>
            <a:ext uri="{FF2B5EF4-FFF2-40B4-BE49-F238E27FC236}">
              <a16:creationId xmlns:a16="http://schemas.microsoft.com/office/drawing/2014/main" id="{3AD02FAF-7259-8E29-D7D8-1B22ADAB0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348344" y="3791857"/>
          <a:ext cx="415290" cy="508000"/>
        </a:xfrm>
        <a:prstGeom prst="rect">
          <a:avLst/>
        </a:prstGeom>
      </xdr:spPr>
    </xdr:pic>
    <xdr:clientData/>
  </xdr:absoluteAnchor>
  <xdr:twoCellAnchor>
    <xdr:from>
      <xdr:col>0</xdr:col>
      <xdr:colOff>1628775</xdr:colOff>
      <xdr:row>25</xdr:row>
      <xdr:rowOff>130629</xdr:rowOff>
    </xdr:from>
    <xdr:to>
      <xdr:col>46</xdr:col>
      <xdr:colOff>227239</xdr:colOff>
      <xdr:row>25</xdr:row>
      <xdr:rowOff>130629</xdr:rowOff>
    </xdr:to>
    <xdr:cxnSp macro="">
      <xdr:nvCxnSpPr>
        <xdr:cNvPr id="4" name="SCHEMA_T02_TERRENO">
          <a:extLst>
            <a:ext uri="{FF2B5EF4-FFF2-40B4-BE49-F238E27FC236}">
              <a16:creationId xmlns:a16="http://schemas.microsoft.com/office/drawing/2014/main" id="{1D711748-956B-A7A2-D91D-C65D2357A551}"/>
            </a:ext>
          </a:extLst>
        </xdr:cNvPr>
        <xdr:cNvCxnSpPr/>
      </xdr:nvCxnSpPr>
      <xdr:spPr>
        <a:xfrm>
          <a:off x="1628775" y="7124700"/>
          <a:ext cx="15335250" cy="0"/>
        </a:xfrm>
        <a:prstGeom prst="line">
          <a:avLst/>
        </a:prstGeom>
        <a:ln w="15240">
          <a:solidFill>
            <a:srgbClr val="80808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1628775</xdr:colOff>
      <xdr:row>15</xdr:row>
      <xdr:rowOff>223941</xdr:rowOff>
    </xdr:from>
    <xdr:to>
      <xdr:col>1</xdr:col>
      <xdr:colOff>40368</xdr:colOff>
      <xdr:row>25</xdr:row>
      <xdr:rowOff>130629</xdr:rowOff>
    </xdr:to>
    <xdr:cxnSp macro="">
      <xdr:nvCxnSpPr>
        <xdr:cNvPr id="5" name="SCHEMA_T02_SOSTEGNO_01_SX">
          <a:extLst>
            <a:ext uri="{FF2B5EF4-FFF2-40B4-BE49-F238E27FC236}">
              <a16:creationId xmlns:a16="http://schemas.microsoft.com/office/drawing/2014/main" id="{62ED433B-488B-E333-BFB4-174E420EEA58}"/>
            </a:ext>
          </a:extLst>
        </xdr:cNvPr>
        <xdr:cNvCxnSpPr/>
      </xdr:nvCxnSpPr>
      <xdr:spPr>
        <a:xfrm flipV="1">
          <a:off x="1628775" y="4768727"/>
          <a:ext cx="44450" cy="2355973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40368</xdr:colOff>
      <xdr:row>15</xdr:row>
      <xdr:rowOff>223941</xdr:rowOff>
    </xdr:from>
    <xdr:to>
      <xdr:col>1</xdr:col>
      <xdr:colOff>84818</xdr:colOff>
      <xdr:row>25</xdr:row>
      <xdr:rowOff>130629</xdr:rowOff>
    </xdr:to>
    <xdr:cxnSp macro="">
      <xdr:nvCxnSpPr>
        <xdr:cNvPr id="6" name="SCHEMA_T02_SOSTEGNO_01_DX">
          <a:extLst>
            <a:ext uri="{FF2B5EF4-FFF2-40B4-BE49-F238E27FC236}">
              <a16:creationId xmlns:a16="http://schemas.microsoft.com/office/drawing/2014/main" id="{6928474F-BC53-F92D-3009-ED28DCC15B50}"/>
            </a:ext>
          </a:extLst>
        </xdr:cNvPr>
        <xdr:cNvCxnSpPr/>
      </xdr:nvCxnSpPr>
      <xdr:spPr>
        <a:xfrm flipH="1" flipV="1">
          <a:off x="1673225" y="4768727"/>
          <a:ext cx="44450" cy="2355973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1628775</xdr:colOff>
      <xdr:row>17</xdr:row>
      <xdr:rowOff>158159</xdr:rowOff>
    </xdr:from>
    <xdr:to>
      <xdr:col>1</xdr:col>
      <xdr:colOff>84818</xdr:colOff>
      <xdr:row>17</xdr:row>
      <xdr:rowOff>158159</xdr:rowOff>
    </xdr:to>
    <xdr:cxnSp macro="">
      <xdr:nvCxnSpPr>
        <xdr:cNvPr id="7" name="SCHEMA_T02_SOSTEGNO_01_TR1">
          <a:extLst>
            <a:ext uri="{FF2B5EF4-FFF2-40B4-BE49-F238E27FC236}">
              <a16:creationId xmlns:a16="http://schemas.microsoft.com/office/drawing/2014/main" id="{7EBC619C-7F5A-5EDD-E2AF-76372DA3DB0A}"/>
            </a:ext>
          </a:extLst>
        </xdr:cNvPr>
        <xdr:cNvCxnSpPr/>
      </xdr:nvCxnSpPr>
      <xdr:spPr>
        <a:xfrm>
          <a:off x="1628775" y="5192802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1628775</xdr:colOff>
      <xdr:row>18</xdr:row>
      <xdr:rowOff>195948</xdr:rowOff>
    </xdr:from>
    <xdr:to>
      <xdr:col>1</xdr:col>
      <xdr:colOff>84818</xdr:colOff>
      <xdr:row>18</xdr:row>
      <xdr:rowOff>195948</xdr:rowOff>
    </xdr:to>
    <xdr:cxnSp macro="">
      <xdr:nvCxnSpPr>
        <xdr:cNvPr id="8" name="SCHEMA_T02_SOSTEGNO_01_TR2">
          <a:extLst>
            <a:ext uri="{FF2B5EF4-FFF2-40B4-BE49-F238E27FC236}">
              <a16:creationId xmlns:a16="http://schemas.microsoft.com/office/drawing/2014/main" id="{2987A61B-E23A-D351-F583-0C4611DB0559}"/>
            </a:ext>
          </a:extLst>
        </xdr:cNvPr>
        <xdr:cNvCxnSpPr/>
      </xdr:nvCxnSpPr>
      <xdr:spPr>
        <a:xfrm>
          <a:off x="1628775" y="5475519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1628775</xdr:colOff>
      <xdr:row>19</xdr:row>
      <xdr:rowOff>233735</xdr:rowOff>
    </xdr:from>
    <xdr:to>
      <xdr:col>1</xdr:col>
      <xdr:colOff>84818</xdr:colOff>
      <xdr:row>19</xdr:row>
      <xdr:rowOff>233735</xdr:rowOff>
    </xdr:to>
    <xdr:cxnSp macro="">
      <xdr:nvCxnSpPr>
        <xdr:cNvPr id="9" name="SCHEMA_T02_SOSTEGNO_01_TR3">
          <a:extLst>
            <a:ext uri="{FF2B5EF4-FFF2-40B4-BE49-F238E27FC236}">
              <a16:creationId xmlns:a16="http://schemas.microsoft.com/office/drawing/2014/main" id="{7A0D0902-927D-AF03-4834-B14B9E24B412}"/>
            </a:ext>
          </a:extLst>
        </xdr:cNvPr>
        <xdr:cNvCxnSpPr/>
      </xdr:nvCxnSpPr>
      <xdr:spPr>
        <a:xfrm>
          <a:off x="1628775" y="5758235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327025</xdr:colOff>
      <xdr:row>15</xdr:row>
      <xdr:rowOff>71046</xdr:rowOff>
    </xdr:from>
    <xdr:to>
      <xdr:col>3</xdr:col>
      <xdr:colOff>35832</xdr:colOff>
      <xdr:row>25</xdr:row>
      <xdr:rowOff>130629</xdr:rowOff>
    </xdr:to>
    <xdr:cxnSp macro="">
      <xdr:nvCxnSpPr>
        <xdr:cNvPr id="10" name="SCHEMA_T02_SOSTEGNO_02_SX">
          <a:extLst>
            <a:ext uri="{FF2B5EF4-FFF2-40B4-BE49-F238E27FC236}">
              <a16:creationId xmlns:a16="http://schemas.microsoft.com/office/drawing/2014/main" id="{7E521DE0-7AA0-7A07-38D7-7FF2FA73F4AF}"/>
            </a:ext>
          </a:extLst>
        </xdr:cNvPr>
        <xdr:cNvCxnSpPr/>
      </xdr:nvCxnSpPr>
      <xdr:spPr>
        <a:xfrm flipV="1">
          <a:off x="2295525" y="4615832"/>
          <a:ext cx="44450" cy="2508868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35832</xdr:colOff>
      <xdr:row>15</xdr:row>
      <xdr:rowOff>71046</xdr:rowOff>
    </xdr:from>
    <xdr:to>
      <xdr:col>3</xdr:col>
      <xdr:colOff>80282</xdr:colOff>
      <xdr:row>25</xdr:row>
      <xdr:rowOff>130629</xdr:rowOff>
    </xdr:to>
    <xdr:cxnSp macro="">
      <xdr:nvCxnSpPr>
        <xdr:cNvPr id="11" name="SCHEMA_T02_SOSTEGNO_02_DX">
          <a:extLst>
            <a:ext uri="{FF2B5EF4-FFF2-40B4-BE49-F238E27FC236}">
              <a16:creationId xmlns:a16="http://schemas.microsoft.com/office/drawing/2014/main" id="{D6D38E44-2748-F391-6DA3-FCFFBA632911}"/>
            </a:ext>
          </a:extLst>
        </xdr:cNvPr>
        <xdr:cNvCxnSpPr/>
      </xdr:nvCxnSpPr>
      <xdr:spPr>
        <a:xfrm flipH="1" flipV="1">
          <a:off x="2339975" y="4615832"/>
          <a:ext cx="44450" cy="2508868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327025</xdr:colOff>
      <xdr:row>17</xdr:row>
      <xdr:rowOff>32785</xdr:rowOff>
    </xdr:from>
    <xdr:to>
      <xdr:col>3</xdr:col>
      <xdr:colOff>80282</xdr:colOff>
      <xdr:row>17</xdr:row>
      <xdr:rowOff>32785</xdr:rowOff>
    </xdr:to>
    <xdr:cxnSp macro="">
      <xdr:nvCxnSpPr>
        <xdr:cNvPr id="12" name="SCHEMA_T02_SOSTEGNO_02_TR1">
          <a:extLst>
            <a:ext uri="{FF2B5EF4-FFF2-40B4-BE49-F238E27FC236}">
              <a16:creationId xmlns:a16="http://schemas.microsoft.com/office/drawing/2014/main" id="{CCFDFF6A-3B7C-105D-3EBA-7D693E7C3B34}"/>
            </a:ext>
          </a:extLst>
        </xdr:cNvPr>
        <xdr:cNvCxnSpPr/>
      </xdr:nvCxnSpPr>
      <xdr:spPr>
        <a:xfrm>
          <a:off x="2295525" y="5067428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327025</xdr:colOff>
      <xdr:row>18</xdr:row>
      <xdr:rowOff>88921</xdr:rowOff>
    </xdr:from>
    <xdr:to>
      <xdr:col>3</xdr:col>
      <xdr:colOff>80282</xdr:colOff>
      <xdr:row>18</xdr:row>
      <xdr:rowOff>88921</xdr:rowOff>
    </xdr:to>
    <xdr:cxnSp macro="">
      <xdr:nvCxnSpPr>
        <xdr:cNvPr id="13" name="SCHEMA_T02_SOSTEGNO_02_TR2">
          <a:extLst>
            <a:ext uri="{FF2B5EF4-FFF2-40B4-BE49-F238E27FC236}">
              <a16:creationId xmlns:a16="http://schemas.microsoft.com/office/drawing/2014/main" id="{43573F6F-E429-9D30-7DD9-C2B48696435B}"/>
            </a:ext>
          </a:extLst>
        </xdr:cNvPr>
        <xdr:cNvCxnSpPr/>
      </xdr:nvCxnSpPr>
      <xdr:spPr>
        <a:xfrm>
          <a:off x="2295525" y="5368492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327025</xdr:colOff>
      <xdr:row>19</xdr:row>
      <xdr:rowOff>145056</xdr:rowOff>
    </xdr:from>
    <xdr:to>
      <xdr:col>3</xdr:col>
      <xdr:colOff>80282</xdr:colOff>
      <xdr:row>19</xdr:row>
      <xdr:rowOff>145056</xdr:rowOff>
    </xdr:to>
    <xdr:cxnSp macro="">
      <xdr:nvCxnSpPr>
        <xdr:cNvPr id="14" name="SCHEMA_T02_SOSTEGNO_02_TR3">
          <a:extLst>
            <a:ext uri="{FF2B5EF4-FFF2-40B4-BE49-F238E27FC236}">
              <a16:creationId xmlns:a16="http://schemas.microsoft.com/office/drawing/2014/main" id="{035B6674-6636-0D36-8783-BD72AD1E89FA}"/>
            </a:ext>
          </a:extLst>
        </xdr:cNvPr>
        <xdr:cNvCxnSpPr/>
      </xdr:nvCxnSpPr>
      <xdr:spPr>
        <a:xfrm>
          <a:off x="2295525" y="5669556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322489</xdr:colOff>
      <xdr:row>15</xdr:row>
      <xdr:rowOff>234862</xdr:rowOff>
    </xdr:from>
    <xdr:to>
      <xdr:col>5</xdr:col>
      <xdr:colOff>31296</xdr:colOff>
      <xdr:row>25</xdr:row>
      <xdr:rowOff>130629</xdr:rowOff>
    </xdr:to>
    <xdr:cxnSp macro="">
      <xdr:nvCxnSpPr>
        <xdr:cNvPr id="15" name="SCHEMA_T02_SOSTEGNO_03_SX">
          <a:extLst>
            <a:ext uri="{FF2B5EF4-FFF2-40B4-BE49-F238E27FC236}">
              <a16:creationId xmlns:a16="http://schemas.microsoft.com/office/drawing/2014/main" id="{F5952A41-3738-D773-CD9B-95242864C8EA}"/>
            </a:ext>
          </a:extLst>
        </xdr:cNvPr>
        <xdr:cNvCxnSpPr/>
      </xdr:nvCxnSpPr>
      <xdr:spPr>
        <a:xfrm flipV="1">
          <a:off x="2962275" y="4779648"/>
          <a:ext cx="44450" cy="2345052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31296</xdr:colOff>
      <xdr:row>15</xdr:row>
      <xdr:rowOff>234862</xdr:rowOff>
    </xdr:from>
    <xdr:to>
      <xdr:col>5</xdr:col>
      <xdr:colOff>75746</xdr:colOff>
      <xdr:row>25</xdr:row>
      <xdr:rowOff>130629</xdr:rowOff>
    </xdr:to>
    <xdr:cxnSp macro="">
      <xdr:nvCxnSpPr>
        <xdr:cNvPr id="16" name="SCHEMA_T02_SOSTEGNO_03_DX">
          <a:extLst>
            <a:ext uri="{FF2B5EF4-FFF2-40B4-BE49-F238E27FC236}">
              <a16:creationId xmlns:a16="http://schemas.microsoft.com/office/drawing/2014/main" id="{0C1FBE8F-0C45-2CD0-B7F6-3CD6E0D4D782}"/>
            </a:ext>
          </a:extLst>
        </xdr:cNvPr>
        <xdr:cNvCxnSpPr/>
      </xdr:nvCxnSpPr>
      <xdr:spPr>
        <a:xfrm flipH="1" flipV="1">
          <a:off x="3006725" y="4779648"/>
          <a:ext cx="44450" cy="2345052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322489</xdr:colOff>
      <xdr:row>17</xdr:row>
      <xdr:rowOff>167114</xdr:rowOff>
    </xdr:from>
    <xdr:to>
      <xdr:col>5</xdr:col>
      <xdr:colOff>75746</xdr:colOff>
      <xdr:row>17</xdr:row>
      <xdr:rowOff>167114</xdr:rowOff>
    </xdr:to>
    <xdr:cxnSp macro="">
      <xdr:nvCxnSpPr>
        <xdr:cNvPr id="17" name="SCHEMA_T02_SOSTEGNO_03_TR1">
          <a:extLst>
            <a:ext uri="{FF2B5EF4-FFF2-40B4-BE49-F238E27FC236}">
              <a16:creationId xmlns:a16="http://schemas.microsoft.com/office/drawing/2014/main" id="{3D5240C2-E980-3B9E-275A-46370EDEAAC2}"/>
            </a:ext>
          </a:extLst>
        </xdr:cNvPr>
        <xdr:cNvCxnSpPr/>
      </xdr:nvCxnSpPr>
      <xdr:spPr>
        <a:xfrm>
          <a:off x="2962275" y="5201757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322489</xdr:colOff>
      <xdr:row>18</xdr:row>
      <xdr:rowOff>203592</xdr:rowOff>
    </xdr:from>
    <xdr:to>
      <xdr:col>5</xdr:col>
      <xdr:colOff>75746</xdr:colOff>
      <xdr:row>18</xdr:row>
      <xdr:rowOff>203592</xdr:rowOff>
    </xdr:to>
    <xdr:cxnSp macro="">
      <xdr:nvCxnSpPr>
        <xdr:cNvPr id="18" name="SCHEMA_T02_SOSTEGNO_03_TR2">
          <a:extLst>
            <a:ext uri="{FF2B5EF4-FFF2-40B4-BE49-F238E27FC236}">
              <a16:creationId xmlns:a16="http://schemas.microsoft.com/office/drawing/2014/main" id="{A4C2B367-BA4D-4CB7-E619-ACBB7464D9E7}"/>
            </a:ext>
          </a:extLst>
        </xdr:cNvPr>
        <xdr:cNvCxnSpPr/>
      </xdr:nvCxnSpPr>
      <xdr:spPr>
        <a:xfrm>
          <a:off x="2962275" y="5483163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322489</xdr:colOff>
      <xdr:row>19</xdr:row>
      <xdr:rowOff>240070</xdr:rowOff>
    </xdr:from>
    <xdr:to>
      <xdr:col>5</xdr:col>
      <xdr:colOff>75746</xdr:colOff>
      <xdr:row>19</xdr:row>
      <xdr:rowOff>240070</xdr:rowOff>
    </xdr:to>
    <xdr:cxnSp macro="">
      <xdr:nvCxnSpPr>
        <xdr:cNvPr id="19" name="SCHEMA_T02_SOSTEGNO_03_TR3">
          <a:extLst>
            <a:ext uri="{FF2B5EF4-FFF2-40B4-BE49-F238E27FC236}">
              <a16:creationId xmlns:a16="http://schemas.microsoft.com/office/drawing/2014/main" id="{770E5388-9623-E3B6-EAF8-568A1CFE5B9C}"/>
            </a:ext>
          </a:extLst>
        </xdr:cNvPr>
        <xdr:cNvCxnSpPr/>
      </xdr:nvCxnSpPr>
      <xdr:spPr>
        <a:xfrm>
          <a:off x="2962275" y="5764570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317954</xdr:colOff>
      <xdr:row>15</xdr:row>
      <xdr:rowOff>234862</xdr:rowOff>
    </xdr:from>
    <xdr:to>
      <xdr:col>7</xdr:col>
      <xdr:colOff>26761</xdr:colOff>
      <xdr:row>25</xdr:row>
      <xdr:rowOff>130629</xdr:rowOff>
    </xdr:to>
    <xdr:cxnSp macro="">
      <xdr:nvCxnSpPr>
        <xdr:cNvPr id="20" name="SCHEMA_T02_SOSTEGNO_04_SX">
          <a:extLst>
            <a:ext uri="{FF2B5EF4-FFF2-40B4-BE49-F238E27FC236}">
              <a16:creationId xmlns:a16="http://schemas.microsoft.com/office/drawing/2014/main" id="{5D1978CA-C819-C2A9-D512-917E38672EFD}"/>
            </a:ext>
          </a:extLst>
        </xdr:cNvPr>
        <xdr:cNvCxnSpPr/>
      </xdr:nvCxnSpPr>
      <xdr:spPr>
        <a:xfrm flipV="1">
          <a:off x="3629025" y="4779648"/>
          <a:ext cx="44450" cy="2345052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26761</xdr:colOff>
      <xdr:row>15</xdr:row>
      <xdr:rowOff>234862</xdr:rowOff>
    </xdr:from>
    <xdr:to>
      <xdr:col>7</xdr:col>
      <xdr:colOff>71211</xdr:colOff>
      <xdr:row>25</xdr:row>
      <xdr:rowOff>130629</xdr:rowOff>
    </xdr:to>
    <xdr:cxnSp macro="">
      <xdr:nvCxnSpPr>
        <xdr:cNvPr id="21" name="SCHEMA_T02_SOSTEGNO_04_DX">
          <a:extLst>
            <a:ext uri="{FF2B5EF4-FFF2-40B4-BE49-F238E27FC236}">
              <a16:creationId xmlns:a16="http://schemas.microsoft.com/office/drawing/2014/main" id="{741D1AB4-97CF-EE55-C201-69E72A86A72A}"/>
            </a:ext>
          </a:extLst>
        </xdr:cNvPr>
        <xdr:cNvCxnSpPr/>
      </xdr:nvCxnSpPr>
      <xdr:spPr>
        <a:xfrm flipH="1" flipV="1">
          <a:off x="3673475" y="4779648"/>
          <a:ext cx="44450" cy="2345052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317954</xdr:colOff>
      <xdr:row>17</xdr:row>
      <xdr:rowOff>167114</xdr:rowOff>
    </xdr:from>
    <xdr:to>
      <xdr:col>7</xdr:col>
      <xdr:colOff>71211</xdr:colOff>
      <xdr:row>17</xdr:row>
      <xdr:rowOff>167114</xdr:rowOff>
    </xdr:to>
    <xdr:cxnSp macro="">
      <xdr:nvCxnSpPr>
        <xdr:cNvPr id="22" name="SCHEMA_T02_SOSTEGNO_04_TR1">
          <a:extLst>
            <a:ext uri="{FF2B5EF4-FFF2-40B4-BE49-F238E27FC236}">
              <a16:creationId xmlns:a16="http://schemas.microsoft.com/office/drawing/2014/main" id="{09F25495-5F57-3842-8B56-B5862063F565}"/>
            </a:ext>
          </a:extLst>
        </xdr:cNvPr>
        <xdr:cNvCxnSpPr/>
      </xdr:nvCxnSpPr>
      <xdr:spPr>
        <a:xfrm>
          <a:off x="3629025" y="5201757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317954</xdr:colOff>
      <xdr:row>18</xdr:row>
      <xdr:rowOff>203592</xdr:rowOff>
    </xdr:from>
    <xdr:to>
      <xdr:col>7</xdr:col>
      <xdr:colOff>71211</xdr:colOff>
      <xdr:row>18</xdr:row>
      <xdr:rowOff>203592</xdr:rowOff>
    </xdr:to>
    <xdr:cxnSp macro="">
      <xdr:nvCxnSpPr>
        <xdr:cNvPr id="23" name="SCHEMA_T02_SOSTEGNO_04_TR2">
          <a:extLst>
            <a:ext uri="{FF2B5EF4-FFF2-40B4-BE49-F238E27FC236}">
              <a16:creationId xmlns:a16="http://schemas.microsoft.com/office/drawing/2014/main" id="{65D98542-7A79-5470-5F76-5557EF8263B2}"/>
            </a:ext>
          </a:extLst>
        </xdr:cNvPr>
        <xdr:cNvCxnSpPr/>
      </xdr:nvCxnSpPr>
      <xdr:spPr>
        <a:xfrm>
          <a:off x="3629025" y="5483163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317954</xdr:colOff>
      <xdr:row>19</xdr:row>
      <xdr:rowOff>240070</xdr:rowOff>
    </xdr:from>
    <xdr:to>
      <xdr:col>7</xdr:col>
      <xdr:colOff>71211</xdr:colOff>
      <xdr:row>19</xdr:row>
      <xdr:rowOff>240070</xdr:rowOff>
    </xdr:to>
    <xdr:cxnSp macro="">
      <xdr:nvCxnSpPr>
        <xdr:cNvPr id="24" name="SCHEMA_T02_SOSTEGNO_04_TR3">
          <a:extLst>
            <a:ext uri="{FF2B5EF4-FFF2-40B4-BE49-F238E27FC236}">
              <a16:creationId xmlns:a16="http://schemas.microsoft.com/office/drawing/2014/main" id="{2D546A9A-4651-F55E-B0D4-BF387C60A687}"/>
            </a:ext>
          </a:extLst>
        </xdr:cNvPr>
        <xdr:cNvCxnSpPr/>
      </xdr:nvCxnSpPr>
      <xdr:spPr>
        <a:xfrm>
          <a:off x="3629025" y="5764570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313418</xdr:colOff>
      <xdr:row>15</xdr:row>
      <xdr:rowOff>240322</xdr:rowOff>
    </xdr:from>
    <xdr:to>
      <xdr:col>9</xdr:col>
      <xdr:colOff>22225</xdr:colOff>
      <xdr:row>25</xdr:row>
      <xdr:rowOff>130629</xdr:rowOff>
    </xdr:to>
    <xdr:cxnSp macro="">
      <xdr:nvCxnSpPr>
        <xdr:cNvPr id="25" name="SCHEMA_T02_SOSTEGNO_05_SX">
          <a:extLst>
            <a:ext uri="{FF2B5EF4-FFF2-40B4-BE49-F238E27FC236}">
              <a16:creationId xmlns:a16="http://schemas.microsoft.com/office/drawing/2014/main" id="{C4AE95AC-94A0-0B00-D835-8F4A26AA7DD7}"/>
            </a:ext>
          </a:extLst>
        </xdr:cNvPr>
        <xdr:cNvCxnSpPr/>
      </xdr:nvCxnSpPr>
      <xdr:spPr>
        <a:xfrm flipV="1">
          <a:off x="4295775" y="4785108"/>
          <a:ext cx="44450" cy="2339592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22225</xdr:colOff>
      <xdr:row>15</xdr:row>
      <xdr:rowOff>240322</xdr:rowOff>
    </xdr:from>
    <xdr:to>
      <xdr:col>9</xdr:col>
      <xdr:colOff>66675</xdr:colOff>
      <xdr:row>25</xdr:row>
      <xdr:rowOff>130629</xdr:rowOff>
    </xdr:to>
    <xdr:cxnSp macro="">
      <xdr:nvCxnSpPr>
        <xdr:cNvPr id="26" name="SCHEMA_T02_SOSTEGNO_05_DX">
          <a:extLst>
            <a:ext uri="{FF2B5EF4-FFF2-40B4-BE49-F238E27FC236}">
              <a16:creationId xmlns:a16="http://schemas.microsoft.com/office/drawing/2014/main" id="{011940F5-59E6-9924-E40E-F8594577F702}"/>
            </a:ext>
          </a:extLst>
        </xdr:cNvPr>
        <xdr:cNvCxnSpPr/>
      </xdr:nvCxnSpPr>
      <xdr:spPr>
        <a:xfrm flipH="1" flipV="1">
          <a:off x="4340225" y="4785108"/>
          <a:ext cx="44450" cy="2339592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313418</xdr:colOff>
      <xdr:row>17</xdr:row>
      <xdr:rowOff>171592</xdr:rowOff>
    </xdr:from>
    <xdr:to>
      <xdr:col>9</xdr:col>
      <xdr:colOff>66675</xdr:colOff>
      <xdr:row>17</xdr:row>
      <xdr:rowOff>171592</xdr:rowOff>
    </xdr:to>
    <xdr:cxnSp macro="">
      <xdr:nvCxnSpPr>
        <xdr:cNvPr id="27" name="SCHEMA_T02_SOSTEGNO_05_TR1">
          <a:extLst>
            <a:ext uri="{FF2B5EF4-FFF2-40B4-BE49-F238E27FC236}">
              <a16:creationId xmlns:a16="http://schemas.microsoft.com/office/drawing/2014/main" id="{E16B8D24-58F2-CD82-7291-2023A5EF80D1}"/>
            </a:ext>
          </a:extLst>
        </xdr:cNvPr>
        <xdr:cNvCxnSpPr/>
      </xdr:nvCxnSpPr>
      <xdr:spPr>
        <a:xfrm>
          <a:off x="4295775" y="5206235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313418</xdr:colOff>
      <xdr:row>18</xdr:row>
      <xdr:rowOff>207415</xdr:rowOff>
    </xdr:from>
    <xdr:to>
      <xdr:col>9</xdr:col>
      <xdr:colOff>66675</xdr:colOff>
      <xdr:row>18</xdr:row>
      <xdr:rowOff>207415</xdr:rowOff>
    </xdr:to>
    <xdr:cxnSp macro="">
      <xdr:nvCxnSpPr>
        <xdr:cNvPr id="28" name="SCHEMA_T02_SOSTEGNO_05_TR2">
          <a:extLst>
            <a:ext uri="{FF2B5EF4-FFF2-40B4-BE49-F238E27FC236}">
              <a16:creationId xmlns:a16="http://schemas.microsoft.com/office/drawing/2014/main" id="{128B359A-C294-0542-4254-6674FBCA7DD3}"/>
            </a:ext>
          </a:extLst>
        </xdr:cNvPr>
        <xdr:cNvCxnSpPr/>
      </xdr:nvCxnSpPr>
      <xdr:spPr>
        <a:xfrm>
          <a:off x="4295775" y="5486986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313418</xdr:colOff>
      <xdr:row>19</xdr:row>
      <xdr:rowOff>243237</xdr:rowOff>
    </xdr:from>
    <xdr:to>
      <xdr:col>9</xdr:col>
      <xdr:colOff>66675</xdr:colOff>
      <xdr:row>19</xdr:row>
      <xdr:rowOff>243237</xdr:rowOff>
    </xdr:to>
    <xdr:cxnSp macro="">
      <xdr:nvCxnSpPr>
        <xdr:cNvPr id="29" name="SCHEMA_T02_SOSTEGNO_05_TR3">
          <a:extLst>
            <a:ext uri="{FF2B5EF4-FFF2-40B4-BE49-F238E27FC236}">
              <a16:creationId xmlns:a16="http://schemas.microsoft.com/office/drawing/2014/main" id="{9BECEB2E-0048-B939-79EA-799266484C7A}"/>
            </a:ext>
          </a:extLst>
        </xdr:cNvPr>
        <xdr:cNvCxnSpPr/>
      </xdr:nvCxnSpPr>
      <xdr:spPr>
        <a:xfrm>
          <a:off x="4295775" y="5767737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308882</xdr:colOff>
      <xdr:row>15</xdr:row>
      <xdr:rowOff>234862</xdr:rowOff>
    </xdr:from>
    <xdr:to>
      <xdr:col>11</xdr:col>
      <xdr:colOff>17689</xdr:colOff>
      <xdr:row>25</xdr:row>
      <xdr:rowOff>130629</xdr:rowOff>
    </xdr:to>
    <xdr:cxnSp macro="">
      <xdr:nvCxnSpPr>
        <xdr:cNvPr id="30" name="SCHEMA_T02_SOSTEGNO_06_SX">
          <a:extLst>
            <a:ext uri="{FF2B5EF4-FFF2-40B4-BE49-F238E27FC236}">
              <a16:creationId xmlns:a16="http://schemas.microsoft.com/office/drawing/2014/main" id="{A832BE38-F848-0501-CF38-6C5B66C15E3E}"/>
            </a:ext>
          </a:extLst>
        </xdr:cNvPr>
        <xdr:cNvCxnSpPr/>
      </xdr:nvCxnSpPr>
      <xdr:spPr>
        <a:xfrm flipV="1">
          <a:off x="4962525" y="4779648"/>
          <a:ext cx="44450" cy="2345052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17689</xdr:colOff>
      <xdr:row>15</xdr:row>
      <xdr:rowOff>234862</xdr:rowOff>
    </xdr:from>
    <xdr:to>
      <xdr:col>11</xdr:col>
      <xdr:colOff>62139</xdr:colOff>
      <xdr:row>25</xdr:row>
      <xdr:rowOff>130629</xdr:rowOff>
    </xdr:to>
    <xdr:cxnSp macro="">
      <xdr:nvCxnSpPr>
        <xdr:cNvPr id="31" name="SCHEMA_T02_SOSTEGNO_06_DX">
          <a:extLst>
            <a:ext uri="{FF2B5EF4-FFF2-40B4-BE49-F238E27FC236}">
              <a16:creationId xmlns:a16="http://schemas.microsoft.com/office/drawing/2014/main" id="{3C89ACA5-AE2B-86D3-A94B-CD658D26FE13}"/>
            </a:ext>
          </a:extLst>
        </xdr:cNvPr>
        <xdr:cNvCxnSpPr/>
      </xdr:nvCxnSpPr>
      <xdr:spPr>
        <a:xfrm flipH="1" flipV="1">
          <a:off x="5006975" y="4779648"/>
          <a:ext cx="44450" cy="2345052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308882</xdr:colOff>
      <xdr:row>17</xdr:row>
      <xdr:rowOff>167114</xdr:rowOff>
    </xdr:from>
    <xdr:to>
      <xdr:col>11</xdr:col>
      <xdr:colOff>62139</xdr:colOff>
      <xdr:row>17</xdr:row>
      <xdr:rowOff>167114</xdr:rowOff>
    </xdr:to>
    <xdr:cxnSp macro="">
      <xdr:nvCxnSpPr>
        <xdr:cNvPr id="32" name="SCHEMA_T02_SOSTEGNO_06_TR1">
          <a:extLst>
            <a:ext uri="{FF2B5EF4-FFF2-40B4-BE49-F238E27FC236}">
              <a16:creationId xmlns:a16="http://schemas.microsoft.com/office/drawing/2014/main" id="{696C3BAC-1ED4-87DA-3C9E-335B97818B5C}"/>
            </a:ext>
          </a:extLst>
        </xdr:cNvPr>
        <xdr:cNvCxnSpPr/>
      </xdr:nvCxnSpPr>
      <xdr:spPr>
        <a:xfrm>
          <a:off x="4962525" y="5201757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308882</xdr:colOff>
      <xdr:row>18</xdr:row>
      <xdr:rowOff>203592</xdr:rowOff>
    </xdr:from>
    <xdr:to>
      <xdr:col>11</xdr:col>
      <xdr:colOff>62139</xdr:colOff>
      <xdr:row>18</xdr:row>
      <xdr:rowOff>203592</xdr:rowOff>
    </xdr:to>
    <xdr:cxnSp macro="">
      <xdr:nvCxnSpPr>
        <xdr:cNvPr id="33" name="SCHEMA_T02_SOSTEGNO_06_TR2">
          <a:extLst>
            <a:ext uri="{FF2B5EF4-FFF2-40B4-BE49-F238E27FC236}">
              <a16:creationId xmlns:a16="http://schemas.microsoft.com/office/drawing/2014/main" id="{B40F0B50-9D96-3D52-5B86-BBB60B9DBF79}"/>
            </a:ext>
          </a:extLst>
        </xdr:cNvPr>
        <xdr:cNvCxnSpPr/>
      </xdr:nvCxnSpPr>
      <xdr:spPr>
        <a:xfrm>
          <a:off x="4962525" y="5483163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308882</xdr:colOff>
      <xdr:row>19</xdr:row>
      <xdr:rowOff>240070</xdr:rowOff>
    </xdr:from>
    <xdr:to>
      <xdr:col>11</xdr:col>
      <xdr:colOff>62139</xdr:colOff>
      <xdr:row>19</xdr:row>
      <xdr:rowOff>240070</xdr:rowOff>
    </xdr:to>
    <xdr:cxnSp macro="">
      <xdr:nvCxnSpPr>
        <xdr:cNvPr id="34" name="SCHEMA_T02_SOSTEGNO_06_TR3">
          <a:extLst>
            <a:ext uri="{FF2B5EF4-FFF2-40B4-BE49-F238E27FC236}">
              <a16:creationId xmlns:a16="http://schemas.microsoft.com/office/drawing/2014/main" id="{E00C3138-46EB-B2F0-F34B-B7DEF42D40AB}"/>
            </a:ext>
          </a:extLst>
        </xdr:cNvPr>
        <xdr:cNvCxnSpPr/>
      </xdr:nvCxnSpPr>
      <xdr:spPr>
        <a:xfrm>
          <a:off x="4962525" y="5764570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304346</xdr:colOff>
      <xdr:row>15</xdr:row>
      <xdr:rowOff>240322</xdr:rowOff>
    </xdr:from>
    <xdr:to>
      <xdr:col>13</xdr:col>
      <xdr:colOff>13154</xdr:colOff>
      <xdr:row>25</xdr:row>
      <xdr:rowOff>130629</xdr:rowOff>
    </xdr:to>
    <xdr:cxnSp macro="">
      <xdr:nvCxnSpPr>
        <xdr:cNvPr id="35" name="SCHEMA_T02_SOSTEGNO_07_SX">
          <a:extLst>
            <a:ext uri="{FF2B5EF4-FFF2-40B4-BE49-F238E27FC236}">
              <a16:creationId xmlns:a16="http://schemas.microsoft.com/office/drawing/2014/main" id="{5273E0FD-E6C0-3B37-E8F4-62A3396B45E9}"/>
            </a:ext>
          </a:extLst>
        </xdr:cNvPr>
        <xdr:cNvCxnSpPr/>
      </xdr:nvCxnSpPr>
      <xdr:spPr>
        <a:xfrm flipV="1">
          <a:off x="5629275" y="4785108"/>
          <a:ext cx="44450" cy="2339592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13154</xdr:colOff>
      <xdr:row>15</xdr:row>
      <xdr:rowOff>240322</xdr:rowOff>
    </xdr:from>
    <xdr:to>
      <xdr:col>13</xdr:col>
      <xdr:colOff>57604</xdr:colOff>
      <xdr:row>25</xdr:row>
      <xdr:rowOff>130629</xdr:rowOff>
    </xdr:to>
    <xdr:cxnSp macro="">
      <xdr:nvCxnSpPr>
        <xdr:cNvPr id="36" name="SCHEMA_T02_SOSTEGNO_07_DX">
          <a:extLst>
            <a:ext uri="{FF2B5EF4-FFF2-40B4-BE49-F238E27FC236}">
              <a16:creationId xmlns:a16="http://schemas.microsoft.com/office/drawing/2014/main" id="{4BA6CC68-E6E9-2287-A782-175818A60031}"/>
            </a:ext>
          </a:extLst>
        </xdr:cNvPr>
        <xdr:cNvCxnSpPr/>
      </xdr:nvCxnSpPr>
      <xdr:spPr>
        <a:xfrm flipH="1" flipV="1">
          <a:off x="5673725" y="4785108"/>
          <a:ext cx="44450" cy="2339592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304346</xdr:colOff>
      <xdr:row>17</xdr:row>
      <xdr:rowOff>171592</xdr:rowOff>
    </xdr:from>
    <xdr:to>
      <xdr:col>13</xdr:col>
      <xdr:colOff>57604</xdr:colOff>
      <xdr:row>17</xdr:row>
      <xdr:rowOff>171592</xdr:rowOff>
    </xdr:to>
    <xdr:cxnSp macro="">
      <xdr:nvCxnSpPr>
        <xdr:cNvPr id="37" name="SCHEMA_T02_SOSTEGNO_07_TR1">
          <a:extLst>
            <a:ext uri="{FF2B5EF4-FFF2-40B4-BE49-F238E27FC236}">
              <a16:creationId xmlns:a16="http://schemas.microsoft.com/office/drawing/2014/main" id="{7C953694-7404-BF1A-EBD3-26EF6BC0B47C}"/>
            </a:ext>
          </a:extLst>
        </xdr:cNvPr>
        <xdr:cNvCxnSpPr/>
      </xdr:nvCxnSpPr>
      <xdr:spPr>
        <a:xfrm>
          <a:off x="5629275" y="5206235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304346</xdr:colOff>
      <xdr:row>18</xdr:row>
      <xdr:rowOff>207415</xdr:rowOff>
    </xdr:from>
    <xdr:to>
      <xdr:col>13</xdr:col>
      <xdr:colOff>57604</xdr:colOff>
      <xdr:row>18</xdr:row>
      <xdr:rowOff>207415</xdr:rowOff>
    </xdr:to>
    <xdr:cxnSp macro="">
      <xdr:nvCxnSpPr>
        <xdr:cNvPr id="38" name="SCHEMA_T02_SOSTEGNO_07_TR2">
          <a:extLst>
            <a:ext uri="{FF2B5EF4-FFF2-40B4-BE49-F238E27FC236}">
              <a16:creationId xmlns:a16="http://schemas.microsoft.com/office/drawing/2014/main" id="{727C4CB3-63AC-BFEB-59AF-F9EB99CC9EF8}"/>
            </a:ext>
          </a:extLst>
        </xdr:cNvPr>
        <xdr:cNvCxnSpPr/>
      </xdr:nvCxnSpPr>
      <xdr:spPr>
        <a:xfrm>
          <a:off x="5629275" y="5486986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304346</xdr:colOff>
      <xdr:row>19</xdr:row>
      <xdr:rowOff>243237</xdr:rowOff>
    </xdr:from>
    <xdr:to>
      <xdr:col>13</xdr:col>
      <xdr:colOff>57604</xdr:colOff>
      <xdr:row>19</xdr:row>
      <xdr:rowOff>243237</xdr:rowOff>
    </xdr:to>
    <xdr:cxnSp macro="">
      <xdr:nvCxnSpPr>
        <xdr:cNvPr id="39" name="SCHEMA_T02_SOSTEGNO_07_TR3">
          <a:extLst>
            <a:ext uri="{FF2B5EF4-FFF2-40B4-BE49-F238E27FC236}">
              <a16:creationId xmlns:a16="http://schemas.microsoft.com/office/drawing/2014/main" id="{406D25A5-5D81-0A18-1285-04195D70BA83}"/>
            </a:ext>
          </a:extLst>
        </xdr:cNvPr>
        <xdr:cNvCxnSpPr/>
      </xdr:nvCxnSpPr>
      <xdr:spPr>
        <a:xfrm>
          <a:off x="5629275" y="5767737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299811</xdr:colOff>
      <xdr:row>14</xdr:row>
      <xdr:rowOff>135777</xdr:rowOff>
    </xdr:from>
    <xdr:to>
      <xdr:col>15</xdr:col>
      <xdr:colOff>8618</xdr:colOff>
      <xdr:row>25</xdr:row>
      <xdr:rowOff>130629</xdr:rowOff>
    </xdr:to>
    <xdr:cxnSp macro="">
      <xdr:nvCxnSpPr>
        <xdr:cNvPr id="40" name="SCHEMA_T02_SOSTEGNO_08_SX">
          <a:extLst>
            <a:ext uri="{FF2B5EF4-FFF2-40B4-BE49-F238E27FC236}">
              <a16:creationId xmlns:a16="http://schemas.microsoft.com/office/drawing/2014/main" id="{E471F3B1-09CA-20D1-7393-B0313FC811D1}"/>
            </a:ext>
          </a:extLst>
        </xdr:cNvPr>
        <xdr:cNvCxnSpPr/>
      </xdr:nvCxnSpPr>
      <xdr:spPr>
        <a:xfrm flipV="1">
          <a:off x="6296025" y="4435634"/>
          <a:ext cx="44450" cy="2689066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8618</xdr:colOff>
      <xdr:row>14</xdr:row>
      <xdr:rowOff>135777</xdr:rowOff>
    </xdr:from>
    <xdr:to>
      <xdr:col>15</xdr:col>
      <xdr:colOff>53068</xdr:colOff>
      <xdr:row>25</xdr:row>
      <xdr:rowOff>130629</xdr:rowOff>
    </xdr:to>
    <xdr:cxnSp macro="">
      <xdr:nvCxnSpPr>
        <xdr:cNvPr id="41" name="SCHEMA_T02_SOSTEGNO_08_DX">
          <a:extLst>
            <a:ext uri="{FF2B5EF4-FFF2-40B4-BE49-F238E27FC236}">
              <a16:creationId xmlns:a16="http://schemas.microsoft.com/office/drawing/2014/main" id="{D9B49F32-C54D-907A-1BD9-BDFC12DFDAEB}"/>
            </a:ext>
          </a:extLst>
        </xdr:cNvPr>
        <xdr:cNvCxnSpPr/>
      </xdr:nvCxnSpPr>
      <xdr:spPr>
        <a:xfrm flipH="1" flipV="1">
          <a:off x="6340475" y="4435634"/>
          <a:ext cx="44450" cy="2689066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299811</xdr:colOff>
      <xdr:row>16</xdr:row>
      <xdr:rowOff>129952</xdr:rowOff>
    </xdr:from>
    <xdr:to>
      <xdr:col>15</xdr:col>
      <xdr:colOff>53068</xdr:colOff>
      <xdr:row>16</xdr:row>
      <xdr:rowOff>129952</xdr:rowOff>
    </xdr:to>
    <xdr:cxnSp macro="">
      <xdr:nvCxnSpPr>
        <xdr:cNvPr id="42" name="SCHEMA_T02_SOSTEGNO_08_TR1">
          <a:extLst>
            <a:ext uri="{FF2B5EF4-FFF2-40B4-BE49-F238E27FC236}">
              <a16:creationId xmlns:a16="http://schemas.microsoft.com/office/drawing/2014/main" id="{CCB5FB14-EFD7-3AEB-8BAD-40DBCFE75786}"/>
            </a:ext>
          </a:extLst>
        </xdr:cNvPr>
        <xdr:cNvCxnSpPr/>
      </xdr:nvCxnSpPr>
      <xdr:spPr>
        <a:xfrm>
          <a:off x="6296025" y="4919666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299811</xdr:colOff>
      <xdr:row>17</xdr:row>
      <xdr:rowOff>207711</xdr:rowOff>
    </xdr:from>
    <xdr:to>
      <xdr:col>15</xdr:col>
      <xdr:colOff>53068</xdr:colOff>
      <xdr:row>17</xdr:row>
      <xdr:rowOff>207711</xdr:rowOff>
    </xdr:to>
    <xdr:cxnSp macro="">
      <xdr:nvCxnSpPr>
        <xdr:cNvPr id="43" name="SCHEMA_T02_SOSTEGNO_08_TR2">
          <a:extLst>
            <a:ext uri="{FF2B5EF4-FFF2-40B4-BE49-F238E27FC236}">
              <a16:creationId xmlns:a16="http://schemas.microsoft.com/office/drawing/2014/main" id="{9A3AC7A2-75E3-6D47-A11B-5E0BB6E9280C}"/>
            </a:ext>
          </a:extLst>
        </xdr:cNvPr>
        <xdr:cNvCxnSpPr/>
      </xdr:nvCxnSpPr>
      <xdr:spPr>
        <a:xfrm>
          <a:off x="6296025" y="5242354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299811</xdr:colOff>
      <xdr:row>19</xdr:row>
      <xdr:rowOff>40542</xdr:rowOff>
    </xdr:from>
    <xdr:to>
      <xdr:col>15</xdr:col>
      <xdr:colOff>53068</xdr:colOff>
      <xdr:row>19</xdr:row>
      <xdr:rowOff>40542</xdr:rowOff>
    </xdr:to>
    <xdr:cxnSp macro="">
      <xdr:nvCxnSpPr>
        <xdr:cNvPr id="44" name="SCHEMA_T02_SOSTEGNO_08_TR3">
          <a:extLst>
            <a:ext uri="{FF2B5EF4-FFF2-40B4-BE49-F238E27FC236}">
              <a16:creationId xmlns:a16="http://schemas.microsoft.com/office/drawing/2014/main" id="{F72D6CDE-64AD-F8DE-A100-0E0ABE2814D7}"/>
            </a:ext>
          </a:extLst>
        </xdr:cNvPr>
        <xdr:cNvCxnSpPr/>
      </xdr:nvCxnSpPr>
      <xdr:spPr>
        <a:xfrm>
          <a:off x="6296025" y="5565042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295275</xdr:colOff>
      <xdr:row>16</xdr:row>
      <xdr:rowOff>22697</xdr:rowOff>
    </xdr:from>
    <xdr:to>
      <xdr:col>17</xdr:col>
      <xdr:colOff>4082</xdr:colOff>
      <xdr:row>25</xdr:row>
      <xdr:rowOff>130629</xdr:rowOff>
    </xdr:to>
    <xdr:cxnSp macro="">
      <xdr:nvCxnSpPr>
        <xdr:cNvPr id="45" name="SCHEMA_T02_SOSTEGNO_09_SX">
          <a:extLst>
            <a:ext uri="{FF2B5EF4-FFF2-40B4-BE49-F238E27FC236}">
              <a16:creationId xmlns:a16="http://schemas.microsoft.com/office/drawing/2014/main" id="{8C003C82-0468-8955-B52D-CE6447557820}"/>
            </a:ext>
          </a:extLst>
        </xdr:cNvPr>
        <xdr:cNvCxnSpPr/>
      </xdr:nvCxnSpPr>
      <xdr:spPr>
        <a:xfrm flipV="1">
          <a:off x="6962775" y="4812411"/>
          <a:ext cx="44450" cy="2312289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4082</xdr:colOff>
      <xdr:row>16</xdr:row>
      <xdr:rowOff>22697</xdr:rowOff>
    </xdr:from>
    <xdr:to>
      <xdr:col>17</xdr:col>
      <xdr:colOff>48532</xdr:colOff>
      <xdr:row>25</xdr:row>
      <xdr:rowOff>130629</xdr:rowOff>
    </xdr:to>
    <xdr:cxnSp macro="">
      <xdr:nvCxnSpPr>
        <xdr:cNvPr id="46" name="SCHEMA_T02_SOSTEGNO_09_DX">
          <a:extLst>
            <a:ext uri="{FF2B5EF4-FFF2-40B4-BE49-F238E27FC236}">
              <a16:creationId xmlns:a16="http://schemas.microsoft.com/office/drawing/2014/main" id="{E33CE242-CC0A-61FF-981E-F307B6043E53}"/>
            </a:ext>
          </a:extLst>
        </xdr:cNvPr>
        <xdr:cNvCxnSpPr/>
      </xdr:nvCxnSpPr>
      <xdr:spPr>
        <a:xfrm flipH="1" flipV="1">
          <a:off x="7007225" y="4812411"/>
          <a:ext cx="44450" cy="2312289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295275</xdr:colOff>
      <xdr:row>17</xdr:row>
      <xdr:rowOff>193980</xdr:rowOff>
    </xdr:from>
    <xdr:to>
      <xdr:col>17</xdr:col>
      <xdr:colOff>48532</xdr:colOff>
      <xdr:row>17</xdr:row>
      <xdr:rowOff>193980</xdr:rowOff>
    </xdr:to>
    <xdr:cxnSp macro="">
      <xdr:nvCxnSpPr>
        <xdr:cNvPr id="47" name="SCHEMA_T02_SOSTEGNO_09_TR1">
          <a:extLst>
            <a:ext uri="{FF2B5EF4-FFF2-40B4-BE49-F238E27FC236}">
              <a16:creationId xmlns:a16="http://schemas.microsoft.com/office/drawing/2014/main" id="{6427C48C-8286-031D-2F1D-0F672537AFEF}"/>
            </a:ext>
          </a:extLst>
        </xdr:cNvPr>
        <xdr:cNvCxnSpPr/>
      </xdr:nvCxnSpPr>
      <xdr:spPr>
        <a:xfrm>
          <a:off x="6962775" y="5228623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295275</xdr:colOff>
      <xdr:row>18</xdr:row>
      <xdr:rowOff>226527</xdr:rowOff>
    </xdr:from>
    <xdr:to>
      <xdr:col>17</xdr:col>
      <xdr:colOff>48532</xdr:colOff>
      <xdr:row>18</xdr:row>
      <xdr:rowOff>226527</xdr:rowOff>
    </xdr:to>
    <xdr:cxnSp macro="">
      <xdr:nvCxnSpPr>
        <xdr:cNvPr id="48" name="SCHEMA_T02_SOSTEGNO_09_TR2">
          <a:extLst>
            <a:ext uri="{FF2B5EF4-FFF2-40B4-BE49-F238E27FC236}">
              <a16:creationId xmlns:a16="http://schemas.microsoft.com/office/drawing/2014/main" id="{A5B72E18-AF99-F4A7-073F-E6A660C4D8F8}"/>
            </a:ext>
          </a:extLst>
        </xdr:cNvPr>
        <xdr:cNvCxnSpPr/>
      </xdr:nvCxnSpPr>
      <xdr:spPr>
        <a:xfrm>
          <a:off x="6962775" y="5506098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295275</xdr:colOff>
      <xdr:row>20</xdr:row>
      <xdr:rowOff>14144</xdr:rowOff>
    </xdr:from>
    <xdr:to>
      <xdr:col>17</xdr:col>
      <xdr:colOff>48532</xdr:colOff>
      <xdr:row>20</xdr:row>
      <xdr:rowOff>14144</xdr:rowOff>
    </xdr:to>
    <xdr:cxnSp macro="">
      <xdr:nvCxnSpPr>
        <xdr:cNvPr id="49" name="SCHEMA_T02_SOSTEGNO_09_TR3">
          <a:extLst>
            <a:ext uri="{FF2B5EF4-FFF2-40B4-BE49-F238E27FC236}">
              <a16:creationId xmlns:a16="http://schemas.microsoft.com/office/drawing/2014/main" id="{622D1438-6036-0DB4-13F1-B198A5BDD66A}"/>
            </a:ext>
          </a:extLst>
        </xdr:cNvPr>
        <xdr:cNvCxnSpPr/>
      </xdr:nvCxnSpPr>
      <xdr:spPr>
        <a:xfrm>
          <a:off x="6962775" y="5783573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290739</xdr:colOff>
      <xdr:row>15</xdr:row>
      <xdr:rowOff>213020</xdr:rowOff>
    </xdr:from>
    <xdr:to>
      <xdr:col>18</xdr:col>
      <xdr:colOff>335189</xdr:colOff>
      <xdr:row>25</xdr:row>
      <xdr:rowOff>130629</xdr:rowOff>
    </xdr:to>
    <xdr:cxnSp macro="">
      <xdr:nvCxnSpPr>
        <xdr:cNvPr id="50" name="SCHEMA_T02_SOSTEGNO_10_SX">
          <a:extLst>
            <a:ext uri="{FF2B5EF4-FFF2-40B4-BE49-F238E27FC236}">
              <a16:creationId xmlns:a16="http://schemas.microsoft.com/office/drawing/2014/main" id="{8B82BC4C-2FF6-5B79-57A3-67542EA189B6}"/>
            </a:ext>
          </a:extLst>
        </xdr:cNvPr>
        <xdr:cNvCxnSpPr/>
      </xdr:nvCxnSpPr>
      <xdr:spPr>
        <a:xfrm flipV="1">
          <a:off x="7629525" y="4757806"/>
          <a:ext cx="44450" cy="2366894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335189</xdr:colOff>
      <xdr:row>15</xdr:row>
      <xdr:rowOff>213020</xdr:rowOff>
    </xdr:from>
    <xdr:to>
      <xdr:col>19</xdr:col>
      <xdr:colOff>43996</xdr:colOff>
      <xdr:row>25</xdr:row>
      <xdr:rowOff>130629</xdr:rowOff>
    </xdr:to>
    <xdr:cxnSp macro="">
      <xdr:nvCxnSpPr>
        <xdr:cNvPr id="51" name="SCHEMA_T02_SOSTEGNO_10_DX">
          <a:extLst>
            <a:ext uri="{FF2B5EF4-FFF2-40B4-BE49-F238E27FC236}">
              <a16:creationId xmlns:a16="http://schemas.microsoft.com/office/drawing/2014/main" id="{8EE3743A-7656-8CEE-E3DD-2A047CC014B1}"/>
            </a:ext>
          </a:extLst>
        </xdr:cNvPr>
        <xdr:cNvCxnSpPr/>
      </xdr:nvCxnSpPr>
      <xdr:spPr>
        <a:xfrm flipH="1" flipV="1">
          <a:off x="7673975" y="4757806"/>
          <a:ext cx="44450" cy="2366894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290739</xdr:colOff>
      <xdr:row>17</xdr:row>
      <xdr:rowOff>149204</xdr:rowOff>
    </xdr:from>
    <xdr:to>
      <xdr:col>19</xdr:col>
      <xdr:colOff>43996</xdr:colOff>
      <xdr:row>17</xdr:row>
      <xdr:rowOff>149204</xdr:rowOff>
    </xdr:to>
    <xdr:cxnSp macro="">
      <xdr:nvCxnSpPr>
        <xdr:cNvPr id="52" name="SCHEMA_T02_SOSTEGNO_10_TR1">
          <a:extLst>
            <a:ext uri="{FF2B5EF4-FFF2-40B4-BE49-F238E27FC236}">
              <a16:creationId xmlns:a16="http://schemas.microsoft.com/office/drawing/2014/main" id="{EAA8DED6-4176-AC9B-BAA1-A1B7D6FCE8BA}"/>
            </a:ext>
          </a:extLst>
        </xdr:cNvPr>
        <xdr:cNvCxnSpPr/>
      </xdr:nvCxnSpPr>
      <xdr:spPr>
        <a:xfrm>
          <a:off x="7629525" y="5183847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290739</xdr:colOff>
      <xdr:row>18</xdr:row>
      <xdr:rowOff>188303</xdr:rowOff>
    </xdr:from>
    <xdr:to>
      <xdr:col>19</xdr:col>
      <xdr:colOff>43996</xdr:colOff>
      <xdr:row>18</xdr:row>
      <xdr:rowOff>188303</xdr:rowOff>
    </xdr:to>
    <xdr:cxnSp macro="">
      <xdr:nvCxnSpPr>
        <xdr:cNvPr id="53" name="SCHEMA_T02_SOSTEGNO_10_TR2">
          <a:extLst>
            <a:ext uri="{FF2B5EF4-FFF2-40B4-BE49-F238E27FC236}">
              <a16:creationId xmlns:a16="http://schemas.microsoft.com/office/drawing/2014/main" id="{9B2A1D8C-C912-980E-9FF0-1A60439472E2}"/>
            </a:ext>
          </a:extLst>
        </xdr:cNvPr>
        <xdr:cNvCxnSpPr/>
      </xdr:nvCxnSpPr>
      <xdr:spPr>
        <a:xfrm>
          <a:off x="7629525" y="5467874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290739</xdr:colOff>
      <xdr:row>19</xdr:row>
      <xdr:rowOff>227401</xdr:rowOff>
    </xdr:from>
    <xdr:to>
      <xdr:col>19</xdr:col>
      <xdr:colOff>43996</xdr:colOff>
      <xdr:row>19</xdr:row>
      <xdr:rowOff>227401</xdr:rowOff>
    </xdr:to>
    <xdr:cxnSp macro="">
      <xdr:nvCxnSpPr>
        <xdr:cNvPr id="54" name="SCHEMA_T02_SOSTEGNO_10_TR3">
          <a:extLst>
            <a:ext uri="{FF2B5EF4-FFF2-40B4-BE49-F238E27FC236}">
              <a16:creationId xmlns:a16="http://schemas.microsoft.com/office/drawing/2014/main" id="{A04F2944-6740-1002-DE26-ECC6CE209D0B}"/>
            </a:ext>
          </a:extLst>
        </xdr:cNvPr>
        <xdr:cNvCxnSpPr/>
      </xdr:nvCxnSpPr>
      <xdr:spPr>
        <a:xfrm>
          <a:off x="7629525" y="5751901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286204</xdr:colOff>
      <xdr:row>15</xdr:row>
      <xdr:rowOff>21901</xdr:rowOff>
    </xdr:from>
    <xdr:to>
      <xdr:col>20</xdr:col>
      <xdr:colOff>330654</xdr:colOff>
      <xdr:row>25</xdr:row>
      <xdr:rowOff>130629</xdr:rowOff>
    </xdr:to>
    <xdr:cxnSp macro="">
      <xdr:nvCxnSpPr>
        <xdr:cNvPr id="55" name="SCHEMA_T02_SOSTEGNO_11_SX">
          <a:extLst>
            <a:ext uri="{FF2B5EF4-FFF2-40B4-BE49-F238E27FC236}">
              <a16:creationId xmlns:a16="http://schemas.microsoft.com/office/drawing/2014/main" id="{E4773545-059A-DEAC-5720-026770952914}"/>
            </a:ext>
          </a:extLst>
        </xdr:cNvPr>
        <xdr:cNvCxnSpPr/>
      </xdr:nvCxnSpPr>
      <xdr:spPr>
        <a:xfrm flipV="1">
          <a:off x="8296275" y="4566687"/>
          <a:ext cx="44450" cy="2558013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330654</xdr:colOff>
      <xdr:row>15</xdr:row>
      <xdr:rowOff>21901</xdr:rowOff>
    </xdr:from>
    <xdr:to>
      <xdr:col>21</xdr:col>
      <xdr:colOff>39461</xdr:colOff>
      <xdr:row>25</xdr:row>
      <xdr:rowOff>130629</xdr:rowOff>
    </xdr:to>
    <xdr:cxnSp macro="">
      <xdr:nvCxnSpPr>
        <xdr:cNvPr id="56" name="SCHEMA_T02_SOSTEGNO_11_DX">
          <a:extLst>
            <a:ext uri="{FF2B5EF4-FFF2-40B4-BE49-F238E27FC236}">
              <a16:creationId xmlns:a16="http://schemas.microsoft.com/office/drawing/2014/main" id="{A95C46DA-0271-96B1-2EC6-1EA720E89DA3}"/>
            </a:ext>
          </a:extLst>
        </xdr:cNvPr>
        <xdr:cNvCxnSpPr/>
      </xdr:nvCxnSpPr>
      <xdr:spPr>
        <a:xfrm flipH="1" flipV="1">
          <a:off x="8340725" y="4566687"/>
          <a:ext cx="44450" cy="2558013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286204</xdr:colOff>
      <xdr:row>16</xdr:row>
      <xdr:rowOff>237415</xdr:rowOff>
    </xdr:from>
    <xdr:to>
      <xdr:col>21</xdr:col>
      <xdr:colOff>39461</xdr:colOff>
      <xdr:row>16</xdr:row>
      <xdr:rowOff>237415</xdr:rowOff>
    </xdr:to>
    <xdr:cxnSp macro="">
      <xdr:nvCxnSpPr>
        <xdr:cNvPr id="57" name="SCHEMA_T02_SOSTEGNO_11_TR1">
          <a:extLst>
            <a:ext uri="{FF2B5EF4-FFF2-40B4-BE49-F238E27FC236}">
              <a16:creationId xmlns:a16="http://schemas.microsoft.com/office/drawing/2014/main" id="{FED41C11-84F4-8B7C-EEB9-C0630C1B4B4B}"/>
            </a:ext>
          </a:extLst>
        </xdr:cNvPr>
        <xdr:cNvCxnSpPr/>
      </xdr:nvCxnSpPr>
      <xdr:spPr>
        <a:xfrm>
          <a:off x="8296275" y="5027129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286204</xdr:colOff>
      <xdr:row>18</xdr:row>
      <xdr:rowOff>54520</xdr:rowOff>
    </xdr:from>
    <xdr:to>
      <xdr:col>21</xdr:col>
      <xdr:colOff>39461</xdr:colOff>
      <xdr:row>18</xdr:row>
      <xdr:rowOff>54520</xdr:rowOff>
    </xdr:to>
    <xdr:cxnSp macro="">
      <xdr:nvCxnSpPr>
        <xdr:cNvPr id="58" name="SCHEMA_T02_SOSTEGNO_11_TR2">
          <a:extLst>
            <a:ext uri="{FF2B5EF4-FFF2-40B4-BE49-F238E27FC236}">
              <a16:creationId xmlns:a16="http://schemas.microsoft.com/office/drawing/2014/main" id="{862FCE34-B424-D2EB-3B5B-2CA3CF9CB806}"/>
            </a:ext>
          </a:extLst>
        </xdr:cNvPr>
        <xdr:cNvCxnSpPr/>
      </xdr:nvCxnSpPr>
      <xdr:spPr>
        <a:xfrm>
          <a:off x="8296275" y="5334091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286204</xdr:colOff>
      <xdr:row>19</xdr:row>
      <xdr:rowOff>116552</xdr:rowOff>
    </xdr:from>
    <xdr:to>
      <xdr:col>21</xdr:col>
      <xdr:colOff>39461</xdr:colOff>
      <xdr:row>19</xdr:row>
      <xdr:rowOff>116552</xdr:rowOff>
    </xdr:to>
    <xdr:cxnSp macro="">
      <xdr:nvCxnSpPr>
        <xdr:cNvPr id="59" name="SCHEMA_T02_SOSTEGNO_11_TR3">
          <a:extLst>
            <a:ext uri="{FF2B5EF4-FFF2-40B4-BE49-F238E27FC236}">
              <a16:creationId xmlns:a16="http://schemas.microsoft.com/office/drawing/2014/main" id="{2796E19B-C8D2-2C30-BED9-E9B4874AB2A7}"/>
            </a:ext>
          </a:extLst>
        </xdr:cNvPr>
        <xdr:cNvCxnSpPr/>
      </xdr:nvCxnSpPr>
      <xdr:spPr>
        <a:xfrm>
          <a:off x="8296275" y="5641052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281668</xdr:colOff>
      <xdr:row>15</xdr:row>
      <xdr:rowOff>174796</xdr:rowOff>
    </xdr:from>
    <xdr:to>
      <xdr:col>22</xdr:col>
      <xdr:colOff>326118</xdr:colOff>
      <xdr:row>25</xdr:row>
      <xdr:rowOff>130629</xdr:rowOff>
    </xdr:to>
    <xdr:cxnSp macro="">
      <xdr:nvCxnSpPr>
        <xdr:cNvPr id="60" name="SCHEMA_T02_SOSTEGNO_12_SX">
          <a:extLst>
            <a:ext uri="{FF2B5EF4-FFF2-40B4-BE49-F238E27FC236}">
              <a16:creationId xmlns:a16="http://schemas.microsoft.com/office/drawing/2014/main" id="{E0C385E6-B1FF-68BD-CFBD-C92EB3AE21A0}"/>
            </a:ext>
          </a:extLst>
        </xdr:cNvPr>
        <xdr:cNvCxnSpPr/>
      </xdr:nvCxnSpPr>
      <xdr:spPr>
        <a:xfrm flipV="1">
          <a:off x="8963025" y="4719582"/>
          <a:ext cx="44450" cy="2405118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326118</xdr:colOff>
      <xdr:row>15</xdr:row>
      <xdr:rowOff>174796</xdr:rowOff>
    </xdr:from>
    <xdr:to>
      <xdr:col>23</xdr:col>
      <xdr:colOff>34925</xdr:colOff>
      <xdr:row>25</xdr:row>
      <xdr:rowOff>130629</xdr:rowOff>
    </xdr:to>
    <xdr:cxnSp macro="">
      <xdr:nvCxnSpPr>
        <xdr:cNvPr id="61" name="SCHEMA_T02_SOSTEGNO_12_DX">
          <a:extLst>
            <a:ext uri="{FF2B5EF4-FFF2-40B4-BE49-F238E27FC236}">
              <a16:creationId xmlns:a16="http://schemas.microsoft.com/office/drawing/2014/main" id="{B81C6A95-B9C3-AF79-2DF4-9A581472044F}"/>
            </a:ext>
          </a:extLst>
        </xdr:cNvPr>
        <xdr:cNvCxnSpPr/>
      </xdr:nvCxnSpPr>
      <xdr:spPr>
        <a:xfrm flipH="1" flipV="1">
          <a:off x="9007475" y="4719582"/>
          <a:ext cx="44450" cy="2405118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281668</xdr:colOff>
      <xdr:row>17</xdr:row>
      <xdr:rowOff>117860</xdr:rowOff>
    </xdr:from>
    <xdr:to>
      <xdr:col>23</xdr:col>
      <xdr:colOff>34925</xdr:colOff>
      <xdr:row>17</xdr:row>
      <xdr:rowOff>117860</xdr:rowOff>
    </xdr:to>
    <xdr:cxnSp macro="">
      <xdr:nvCxnSpPr>
        <xdr:cNvPr id="62" name="SCHEMA_T02_SOSTEGNO_12_TR1">
          <a:extLst>
            <a:ext uri="{FF2B5EF4-FFF2-40B4-BE49-F238E27FC236}">
              <a16:creationId xmlns:a16="http://schemas.microsoft.com/office/drawing/2014/main" id="{3FDC7534-BD15-658C-4806-FA18DB349607}"/>
            </a:ext>
          </a:extLst>
        </xdr:cNvPr>
        <xdr:cNvCxnSpPr/>
      </xdr:nvCxnSpPr>
      <xdr:spPr>
        <a:xfrm>
          <a:off x="8963025" y="5152503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281668</xdr:colOff>
      <xdr:row>18</xdr:row>
      <xdr:rowOff>161546</xdr:rowOff>
    </xdr:from>
    <xdr:to>
      <xdr:col>23</xdr:col>
      <xdr:colOff>34925</xdr:colOff>
      <xdr:row>18</xdr:row>
      <xdr:rowOff>161546</xdr:rowOff>
    </xdr:to>
    <xdr:cxnSp macro="">
      <xdr:nvCxnSpPr>
        <xdr:cNvPr id="63" name="SCHEMA_T02_SOSTEGNO_12_TR2">
          <a:extLst>
            <a:ext uri="{FF2B5EF4-FFF2-40B4-BE49-F238E27FC236}">
              <a16:creationId xmlns:a16="http://schemas.microsoft.com/office/drawing/2014/main" id="{16F14B74-AC2E-AE2E-FF77-55819FB4909E}"/>
            </a:ext>
          </a:extLst>
        </xdr:cNvPr>
        <xdr:cNvCxnSpPr/>
      </xdr:nvCxnSpPr>
      <xdr:spPr>
        <a:xfrm>
          <a:off x="8963025" y="5441117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281668</xdr:colOff>
      <xdr:row>19</xdr:row>
      <xdr:rowOff>205232</xdr:rowOff>
    </xdr:from>
    <xdr:to>
      <xdr:col>23</xdr:col>
      <xdr:colOff>34925</xdr:colOff>
      <xdr:row>19</xdr:row>
      <xdr:rowOff>205232</xdr:rowOff>
    </xdr:to>
    <xdr:cxnSp macro="">
      <xdr:nvCxnSpPr>
        <xdr:cNvPr id="913" name="SCHEMA_T02_SOSTEGNO_12_TR3">
          <a:extLst>
            <a:ext uri="{FF2B5EF4-FFF2-40B4-BE49-F238E27FC236}">
              <a16:creationId xmlns:a16="http://schemas.microsoft.com/office/drawing/2014/main" id="{6F5B4D26-93B8-35C6-6C53-7E07169FC0FF}"/>
            </a:ext>
          </a:extLst>
        </xdr:cNvPr>
        <xdr:cNvCxnSpPr/>
      </xdr:nvCxnSpPr>
      <xdr:spPr>
        <a:xfrm>
          <a:off x="8963025" y="5729732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277132</xdr:colOff>
      <xdr:row>14</xdr:row>
      <xdr:rowOff>174001</xdr:rowOff>
    </xdr:from>
    <xdr:to>
      <xdr:col>24</xdr:col>
      <xdr:colOff>321582</xdr:colOff>
      <xdr:row>25</xdr:row>
      <xdr:rowOff>130629</xdr:rowOff>
    </xdr:to>
    <xdr:cxnSp macro="">
      <xdr:nvCxnSpPr>
        <xdr:cNvPr id="914" name="SCHEMA_T02_SOSTEGNO_13_SX">
          <a:extLst>
            <a:ext uri="{FF2B5EF4-FFF2-40B4-BE49-F238E27FC236}">
              <a16:creationId xmlns:a16="http://schemas.microsoft.com/office/drawing/2014/main" id="{65976B3B-83F6-991E-0DB9-042F84C4A55A}"/>
            </a:ext>
          </a:extLst>
        </xdr:cNvPr>
        <xdr:cNvCxnSpPr/>
      </xdr:nvCxnSpPr>
      <xdr:spPr>
        <a:xfrm flipV="1">
          <a:off x="9629775" y="4473858"/>
          <a:ext cx="44450" cy="2650842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321582</xdr:colOff>
      <xdr:row>14</xdr:row>
      <xdr:rowOff>174001</xdr:rowOff>
    </xdr:from>
    <xdr:to>
      <xdr:col>25</xdr:col>
      <xdr:colOff>30389</xdr:colOff>
      <xdr:row>25</xdr:row>
      <xdr:rowOff>130629</xdr:rowOff>
    </xdr:to>
    <xdr:cxnSp macro="">
      <xdr:nvCxnSpPr>
        <xdr:cNvPr id="915" name="SCHEMA_T02_SOSTEGNO_13_DX">
          <a:extLst>
            <a:ext uri="{FF2B5EF4-FFF2-40B4-BE49-F238E27FC236}">
              <a16:creationId xmlns:a16="http://schemas.microsoft.com/office/drawing/2014/main" id="{FBDD8555-908C-3993-79C1-0BC080F27347}"/>
            </a:ext>
          </a:extLst>
        </xdr:cNvPr>
        <xdr:cNvCxnSpPr/>
      </xdr:nvCxnSpPr>
      <xdr:spPr>
        <a:xfrm flipH="1" flipV="1">
          <a:off x="9674225" y="4473858"/>
          <a:ext cx="44450" cy="2650842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277132</xdr:colOff>
      <xdr:row>16</xdr:row>
      <xdr:rowOff>161295</xdr:rowOff>
    </xdr:from>
    <xdr:to>
      <xdr:col>25</xdr:col>
      <xdr:colOff>30389</xdr:colOff>
      <xdr:row>16</xdr:row>
      <xdr:rowOff>161295</xdr:rowOff>
    </xdr:to>
    <xdr:cxnSp macro="">
      <xdr:nvCxnSpPr>
        <xdr:cNvPr id="916" name="SCHEMA_T02_SOSTEGNO_13_TR1">
          <a:extLst>
            <a:ext uri="{FF2B5EF4-FFF2-40B4-BE49-F238E27FC236}">
              <a16:creationId xmlns:a16="http://schemas.microsoft.com/office/drawing/2014/main" id="{59FA10F8-D3B2-0B25-E573-12D1EB84FBDC}"/>
            </a:ext>
          </a:extLst>
        </xdr:cNvPr>
        <xdr:cNvCxnSpPr/>
      </xdr:nvCxnSpPr>
      <xdr:spPr>
        <a:xfrm>
          <a:off x="9629775" y="4951009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277132</xdr:colOff>
      <xdr:row>17</xdr:row>
      <xdr:rowOff>234468</xdr:rowOff>
    </xdr:from>
    <xdr:to>
      <xdr:col>25</xdr:col>
      <xdr:colOff>30389</xdr:colOff>
      <xdr:row>17</xdr:row>
      <xdr:rowOff>234468</xdr:rowOff>
    </xdr:to>
    <xdr:cxnSp macro="">
      <xdr:nvCxnSpPr>
        <xdr:cNvPr id="917" name="SCHEMA_T02_SOSTEGNO_13_TR2">
          <a:extLst>
            <a:ext uri="{FF2B5EF4-FFF2-40B4-BE49-F238E27FC236}">
              <a16:creationId xmlns:a16="http://schemas.microsoft.com/office/drawing/2014/main" id="{793BAB07-76DB-07C7-828A-E2E765647355}"/>
            </a:ext>
          </a:extLst>
        </xdr:cNvPr>
        <xdr:cNvCxnSpPr/>
      </xdr:nvCxnSpPr>
      <xdr:spPr>
        <a:xfrm>
          <a:off x="9629775" y="5269111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277132</xdr:colOff>
      <xdr:row>19</xdr:row>
      <xdr:rowOff>62712</xdr:rowOff>
    </xdr:from>
    <xdr:to>
      <xdr:col>25</xdr:col>
      <xdr:colOff>30389</xdr:colOff>
      <xdr:row>19</xdr:row>
      <xdr:rowOff>62712</xdr:rowOff>
    </xdr:to>
    <xdr:cxnSp macro="">
      <xdr:nvCxnSpPr>
        <xdr:cNvPr id="918" name="SCHEMA_T02_SOSTEGNO_13_TR3">
          <a:extLst>
            <a:ext uri="{FF2B5EF4-FFF2-40B4-BE49-F238E27FC236}">
              <a16:creationId xmlns:a16="http://schemas.microsoft.com/office/drawing/2014/main" id="{4A6A64CE-8593-415B-7304-4C20E5BE3BE7}"/>
            </a:ext>
          </a:extLst>
        </xdr:cNvPr>
        <xdr:cNvCxnSpPr/>
      </xdr:nvCxnSpPr>
      <xdr:spPr>
        <a:xfrm>
          <a:off x="9629775" y="5587212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272596</xdr:colOff>
      <xdr:row>15</xdr:row>
      <xdr:rowOff>185717</xdr:rowOff>
    </xdr:from>
    <xdr:to>
      <xdr:col>26</xdr:col>
      <xdr:colOff>317046</xdr:colOff>
      <xdr:row>25</xdr:row>
      <xdr:rowOff>130629</xdr:rowOff>
    </xdr:to>
    <xdr:cxnSp macro="">
      <xdr:nvCxnSpPr>
        <xdr:cNvPr id="919" name="SCHEMA_T02_SOSTEGNO_14_SX">
          <a:extLst>
            <a:ext uri="{FF2B5EF4-FFF2-40B4-BE49-F238E27FC236}">
              <a16:creationId xmlns:a16="http://schemas.microsoft.com/office/drawing/2014/main" id="{FC9624A1-D5F9-424B-6776-ABA71328B91D}"/>
            </a:ext>
          </a:extLst>
        </xdr:cNvPr>
        <xdr:cNvCxnSpPr/>
      </xdr:nvCxnSpPr>
      <xdr:spPr>
        <a:xfrm flipV="1">
          <a:off x="10296525" y="4730503"/>
          <a:ext cx="44450" cy="2394197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317046</xdr:colOff>
      <xdr:row>15</xdr:row>
      <xdr:rowOff>185717</xdr:rowOff>
    </xdr:from>
    <xdr:to>
      <xdr:col>27</xdr:col>
      <xdr:colOff>25854</xdr:colOff>
      <xdr:row>25</xdr:row>
      <xdr:rowOff>130629</xdr:rowOff>
    </xdr:to>
    <xdr:cxnSp macro="">
      <xdr:nvCxnSpPr>
        <xdr:cNvPr id="920" name="SCHEMA_T02_SOSTEGNO_14_DX">
          <a:extLst>
            <a:ext uri="{FF2B5EF4-FFF2-40B4-BE49-F238E27FC236}">
              <a16:creationId xmlns:a16="http://schemas.microsoft.com/office/drawing/2014/main" id="{3A89A8C7-9546-7961-954D-A549A37F6849}"/>
            </a:ext>
          </a:extLst>
        </xdr:cNvPr>
        <xdr:cNvCxnSpPr/>
      </xdr:nvCxnSpPr>
      <xdr:spPr>
        <a:xfrm flipH="1" flipV="1">
          <a:off x="10340975" y="4730503"/>
          <a:ext cx="44450" cy="2394197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272596</xdr:colOff>
      <xdr:row>17</xdr:row>
      <xdr:rowOff>126816</xdr:rowOff>
    </xdr:from>
    <xdr:to>
      <xdr:col>27</xdr:col>
      <xdr:colOff>25854</xdr:colOff>
      <xdr:row>17</xdr:row>
      <xdr:rowOff>126816</xdr:rowOff>
    </xdr:to>
    <xdr:cxnSp macro="">
      <xdr:nvCxnSpPr>
        <xdr:cNvPr id="921" name="SCHEMA_T02_SOSTEGNO_14_TR1">
          <a:extLst>
            <a:ext uri="{FF2B5EF4-FFF2-40B4-BE49-F238E27FC236}">
              <a16:creationId xmlns:a16="http://schemas.microsoft.com/office/drawing/2014/main" id="{99FD491F-9AC3-9A5F-8FE6-4AF1179AC2C6}"/>
            </a:ext>
          </a:extLst>
        </xdr:cNvPr>
        <xdr:cNvCxnSpPr/>
      </xdr:nvCxnSpPr>
      <xdr:spPr>
        <a:xfrm>
          <a:off x="10296525" y="5161459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272596</xdr:colOff>
      <xdr:row>18</xdr:row>
      <xdr:rowOff>169191</xdr:rowOff>
    </xdr:from>
    <xdr:to>
      <xdr:col>27</xdr:col>
      <xdr:colOff>25854</xdr:colOff>
      <xdr:row>18</xdr:row>
      <xdr:rowOff>169191</xdr:rowOff>
    </xdr:to>
    <xdr:cxnSp macro="">
      <xdr:nvCxnSpPr>
        <xdr:cNvPr id="922" name="SCHEMA_T02_SOSTEGNO_14_TR2">
          <a:extLst>
            <a:ext uri="{FF2B5EF4-FFF2-40B4-BE49-F238E27FC236}">
              <a16:creationId xmlns:a16="http://schemas.microsoft.com/office/drawing/2014/main" id="{5D4793FF-EF48-F798-414F-20C282EDC517}"/>
            </a:ext>
          </a:extLst>
        </xdr:cNvPr>
        <xdr:cNvCxnSpPr/>
      </xdr:nvCxnSpPr>
      <xdr:spPr>
        <a:xfrm>
          <a:off x="10296525" y="5448762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272596</xdr:colOff>
      <xdr:row>19</xdr:row>
      <xdr:rowOff>211566</xdr:rowOff>
    </xdr:from>
    <xdr:to>
      <xdr:col>27</xdr:col>
      <xdr:colOff>25854</xdr:colOff>
      <xdr:row>19</xdr:row>
      <xdr:rowOff>211566</xdr:rowOff>
    </xdr:to>
    <xdr:cxnSp macro="">
      <xdr:nvCxnSpPr>
        <xdr:cNvPr id="923" name="SCHEMA_T02_SOSTEGNO_14_TR3">
          <a:extLst>
            <a:ext uri="{FF2B5EF4-FFF2-40B4-BE49-F238E27FC236}">
              <a16:creationId xmlns:a16="http://schemas.microsoft.com/office/drawing/2014/main" id="{EEC880F9-86DD-8A67-485F-AD9B54D79F84}"/>
            </a:ext>
          </a:extLst>
        </xdr:cNvPr>
        <xdr:cNvCxnSpPr/>
      </xdr:nvCxnSpPr>
      <xdr:spPr>
        <a:xfrm>
          <a:off x="10296525" y="5736066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268061</xdr:colOff>
      <xdr:row>16</xdr:row>
      <xdr:rowOff>855</xdr:rowOff>
    </xdr:from>
    <xdr:to>
      <xdr:col>28</xdr:col>
      <xdr:colOff>312511</xdr:colOff>
      <xdr:row>25</xdr:row>
      <xdr:rowOff>130629</xdr:rowOff>
    </xdr:to>
    <xdr:cxnSp macro="">
      <xdr:nvCxnSpPr>
        <xdr:cNvPr id="924" name="SCHEMA_T02_SOSTEGNO_15_SX">
          <a:extLst>
            <a:ext uri="{FF2B5EF4-FFF2-40B4-BE49-F238E27FC236}">
              <a16:creationId xmlns:a16="http://schemas.microsoft.com/office/drawing/2014/main" id="{D501724C-82CD-3B1B-D21A-C209A59E4490}"/>
            </a:ext>
          </a:extLst>
        </xdr:cNvPr>
        <xdr:cNvCxnSpPr/>
      </xdr:nvCxnSpPr>
      <xdr:spPr>
        <a:xfrm flipV="1">
          <a:off x="10963275" y="4790569"/>
          <a:ext cx="44450" cy="2334131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312511</xdr:colOff>
      <xdr:row>16</xdr:row>
      <xdr:rowOff>855</xdr:rowOff>
    </xdr:from>
    <xdr:to>
      <xdr:col>29</xdr:col>
      <xdr:colOff>21318</xdr:colOff>
      <xdr:row>25</xdr:row>
      <xdr:rowOff>130629</xdr:rowOff>
    </xdr:to>
    <xdr:cxnSp macro="">
      <xdr:nvCxnSpPr>
        <xdr:cNvPr id="925" name="SCHEMA_T02_SOSTEGNO_15_DX">
          <a:extLst>
            <a:ext uri="{FF2B5EF4-FFF2-40B4-BE49-F238E27FC236}">
              <a16:creationId xmlns:a16="http://schemas.microsoft.com/office/drawing/2014/main" id="{AE349608-4E43-310D-D949-7C29792F9AFB}"/>
            </a:ext>
          </a:extLst>
        </xdr:cNvPr>
        <xdr:cNvCxnSpPr/>
      </xdr:nvCxnSpPr>
      <xdr:spPr>
        <a:xfrm flipH="1" flipV="1">
          <a:off x="11007725" y="4790569"/>
          <a:ext cx="44450" cy="2334131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268061</xdr:colOff>
      <xdr:row>17</xdr:row>
      <xdr:rowOff>176070</xdr:rowOff>
    </xdr:from>
    <xdr:to>
      <xdr:col>29</xdr:col>
      <xdr:colOff>21318</xdr:colOff>
      <xdr:row>17</xdr:row>
      <xdr:rowOff>176070</xdr:rowOff>
    </xdr:to>
    <xdr:cxnSp macro="">
      <xdr:nvCxnSpPr>
        <xdr:cNvPr id="926" name="SCHEMA_T02_SOSTEGNO_15_TR1">
          <a:extLst>
            <a:ext uri="{FF2B5EF4-FFF2-40B4-BE49-F238E27FC236}">
              <a16:creationId xmlns:a16="http://schemas.microsoft.com/office/drawing/2014/main" id="{1F5794AA-AFE8-1B21-61BD-FD7EC8CF39AA}"/>
            </a:ext>
          </a:extLst>
        </xdr:cNvPr>
        <xdr:cNvCxnSpPr/>
      </xdr:nvCxnSpPr>
      <xdr:spPr>
        <a:xfrm>
          <a:off x="10963275" y="5210713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268061</xdr:colOff>
      <xdr:row>18</xdr:row>
      <xdr:rowOff>211237</xdr:rowOff>
    </xdr:from>
    <xdr:to>
      <xdr:col>29</xdr:col>
      <xdr:colOff>21318</xdr:colOff>
      <xdr:row>18</xdr:row>
      <xdr:rowOff>211237</xdr:rowOff>
    </xdr:to>
    <xdr:cxnSp macro="">
      <xdr:nvCxnSpPr>
        <xdr:cNvPr id="927" name="SCHEMA_T02_SOSTEGNO_15_TR2">
          <a:extLst>
            <a:ext uri="{FF2B5EF4-FFF2-40B4-BE49-F238E27FC236}">
              <a16:creationId xmlns:a16="http://schemas.microsoft.com/office/drawing/2014/main" id="{ACCA2B66-56E1-1621-DCAF-2F6DB5B74C31}"/>
            </a:ext>
          </a:extLst>
        </xdr:cNvPr>
        <xdr:cNvCxnSpPr/>
      </xdr:nvCxnSpPr>
      <xdr:spPr>
        <a:xfrm>
          <a:off x="10963275" y="5490808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268061</xdr:colOff>
      <xdr:row>20</xdr:row>
      <xdr:rowOff>1475</xdr:rowOff>
    </xdr:from>
    <xdr:to>
      <xdr:col>29</xdr:col>
      <xdr:colOff>21318</xdr:colOff>
      <xdr:row>20</xdr:row>
      <xdr:rowOff>1475</xdr:rowOff>
    </xdr:to>
    <xdr:cxnSp macro="">
      <xdr:nvCxnSpPr>
        <xdr:cNvPr id="928" name="SCHEMA_T02_SOSTEGNO_15_TR3">
          <a:extLst>
            <a:ext uri="{FF2B5EF4-FFF2-40B4-BE49-F238E27FC236}">
              <a16:creationId xmlns:a16="http://schemas.microsoft.com/office/drawing/2014/main" id="{D09B2847-67F6-EB01-84D3-486CEA0623EF}"/>
            </a:ext>
          </a:extLst>
        </xdr:cNvPr>
        <xdr:cNvCxnSpPr/>
      </xdr:nvCxnSpPr>
      <xdr:spPr>
        <a:xfrm>
          <a:off x="10963275" y="5770904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263525</xdr:colOff>
      <xdr:row>14</xdr:row>
      <xdr:rowOff>42948</xdr:rowOff>
    </xdr:from>
    <xdr:to>
      <xdr:col>30</xdr:col>
      <xdr:colOff>307975</xdr:colOff>
      <xdr:row>25</xdr:row>
      <xdr:rowOff>130629</xdr:rowOff>
    </xdr:to>
    <xdr:cxnSp macro="">
      <xdr:nvCxnSpPr>
        <xdr:cNvPr id="929" name="SCHEMA_T02_SOSTEGNO_16_SX">
          <a:extLst>
            <a:ext uri="{FF2B5EF4-FFF2-40B4-BE49-F238E27FC236}">
              <a16:creationId xmlns:a16="http://schemas.microsoft.com/office/drawing/2014/main" id="{9A13E539-C111-4929-7239-413BD3A0B79A}"/>
            </a:ext>
          </a:extLst>
        </xdr:cNvPr>
        <xdr:cNvCxnSpPr/>
      </xdr:nvCxnSpPr>
      <xdr:spPr>
        <a:xfrm flipV="1">
          <a:off x="11630025" y="4342805"/>
          <a:ext cx="44450" cy="2781895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307975</xdr:colOff>
      <xdr:row>14</xdr:row>
      <xdr:rowOff>42948</xdr:rowOff>
    </xdr:from>
    <xdr:to>
      <xdr:col>31</xdr:col>
      <xdr:colOff>16782</xdr:colOff>
      <xdr:row>25</xdr:row>
      <xdr:rowOff>130629</xdr:rowOff>
    </xdr:to>
    <xdr:cxnSp macro="">
      <xdr:nvCxnSpPr>
        <xdr:cNvPr id="930" name="SCHEMA_T02_SOSTEGNO_16_DX">
          <a:extLst>
            <a:ext uri="{FF2B5EF4-FFF2-40B4-BE49-F238E27FC236}">
              <a16:creationId xmlns:a16="http://schemas.microsoft.com/office/drawing/2014/main" id="{18059043-34B7-2E6A-3A5B-328EBC0DD8F8}"/>
            </a:ext>
          </a:extLst>
        </xdr:cNvPr>
        <xdr:cNvCxnSpPr/>
      </xdr:nvCxnSpPr>
      <xdr:spPr>
        <a:xfrm flipH="1" flipV="1">
          <a:off x="11674475" y="4342805"/>
          <a:ext cx="44450" cy="2781895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263525</xdr:colOff>
      <xdr:row>16</xdr:row>
      <xdr:rowOff>53832</xdr:rowOff>
    </xdr:from>
    <xdr:to>
      <xdr:col>31</xdr:col>
      <xdr:colOff>16782</xdr:colOff>
      <xdr:row>16</xdr:row>
      <xdr:rowOff>53832</xdr:rowOff>
    </xdr:to>
    <xdr:cxnSp macro="">
      <xdr:nvCxnSpPr>
        <xdr:cNvPr id="931" name="SCHEMA_T02_SOSTEGNO_16_TR1">
          <a:extLst>
            <a:ext uri="{FF2B5EF4-FFF2-40B4-BE49-F238E27FC236}">
              <a16:creationId xmlns:a16="http://schemas.microsoft.com/office/drawing/2014/main" id="{4B6C32D0-C067-F08D-E860-4B5BED60B55B}"/>
            </a:ext>
          </a:extLst>
        </xdr:cNvPr>
        <xdr:cNvCxnSpPr/>
      </xdr:nvCxnSpPr>
      <xdr:spPr>
        <a:xfrm>
          <a:off x="11630025" y="4843546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263525</xdr:colOff>
      <xdr:row>17</xdr:row>
      <xdr:rowOff>142731</xdr:rowOff>
    </xdr:from>
    <xdr:to>
      <xdr:col>31</xdr:col>
      <xdr:colOff>16782</xdr:colOff>
      <xdr:row>17</xdr:row>
      <xdr:rowOff>142731</xdr:rowOff>
    </xdr:to>
    <xdr:cxnSp macro="">
      <xdr:nvCxnSpPr>
        <xdr:cNvPr id="932" name="SCHEMA_T02_SOSTEGNO_16_TR2">
          <a:extLst>
            <a:ext uri="{FF2B5EF4-FFF2-40B4-BE49-F238E27FC236}">
              <a16:creationId xmlns:a16="http://schemas.microsoft.com/office/drawing/2014/main" id="{1EEA288F-5223-416A-4E71-A5D75A7C3E03}"/>
            </a:ext>
          </a:extLst>
        </xdr:cNvPr>
        <xdr:cNvCxnSpPr/>
      </xdr:nvCxnSpPr>
      <xdr:spPr>
        <a:xfrm>
          <a:off x="11630025" y="5177374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263525</xdr:colOff>
      <xdr:row>18</xdr:row>
      <xdr:rowOff>231630</xdr:rowOff>
    </xdr:from>
    <xdr:to>
      <xdr:col>31</xdr:col>
      <xdr:colOff>16782</xdr:colOff>
      <xdr:row>18</xdr:row>
      <xdr:rowOff>231630</xdr:rowOff>
    </xdr:to>
    <xdr:cxnSp macro="">
      <xdr:nvCxnSpPr>
        <xdr:cNvPr id="933" name="SCHEMA_T02_SOSTEGNO_16_TR3">
          <a:extLst>
            <a:ext uri="{FF2B5EF4-FFF2-40B4-BE49-F238E27FC236}">
              <a16:creationId xmlns:a16="http://schemas.microsoft.com/office/drawing/2014/main" id="{896476BA-D505-CE30-05FE-D08B8878AAAD}"/>
            </a:ext>
          </a:extLst>
        </xdr:cNvPr>
        <xdr:cNvCxnSpPr/>
      </xdr:nvCxnSpPr>
      <xdr:spPr>
        <a:xfrm>
          <a:off x="11630025" y="5511201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258989</xdr:colOff>
      <xdr:row>15</xdr:row>
      <xdr:rowOff>240322</xdr:rowOff>
    </xdr:from>
    <xdr:to>
      <xdr:col>32</xdr:col>
      <xdr:colOff>303439</xdr:colOff>
      <xdr:row>25</xdr:row>
      <xdr:rowOff>130629</xdr:rowOff>
    </xdr:to>
    <xdr:cxnSp macro="">
      <xdr:nvCxnSpPr>
        <xdr:cNvPr id="934" name="SCHEMA_T02_SOSTEGNO_17_SX">
          <a:extLst>
            <a:ext uri="{FF2B5EF4-FFF2-40B4-BE49-F238E27FC236}">
              <a16:creationId xmlns:a16="http://schemas.microsoft.com/office/drawing/2014/main" id="{93E79BF8-FE77-D901-DF79-5D9A08009C74}"/>
            </a:ext>
          </a:extLst>
        </xdr:cNvPr>
        <xdr:cNvCxnSpPr/>
      </xdr:nvCxnSpPr>
      <xdr:spPr>
        <a:xfrm flipV="1">
          <a:off x="12296775" y="4785108"/>
          <a:ext cx="44450" cy="2339592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303439</xdr:colOff>
      <xdr:row>15</xdr:row>
      <xdr:rowOff>240322</xdr:rowOff>
    </xdr:from>
    <xdr:to>
      <xdr:col>33</xdr:col>
      <xdr:colOff>12246</xdr:colOff>
      <xdr:row>25</xdr:row>
      <xdr:rowOff>130629</xdr:rowOff>
    </xdr:to>
    <xdr:cxnSp macro="">
      <xdr:nvCxnSpPr>
        <xdr:cNvPr id="935" name="SCHEMA_T02_SOSTEGNO_17_DX">
          <a:extLst>
            <a:ext uri="{FF2B5EF4-FFF2-40B4-BE49-F238E27FC236}">
              <a16:creationId xmlns:a16="http://schemas.microsoft.com/office/drawing/2014/main" id="{676D6274-0EA9-843C-710A-B04F224363BB}"/>
            </a:ext>
          </a:extLst>
        </xdr:cNvPr>
        <xdr:cNvCxnSpPr/>
      </xdr:nvCxnSpPr>
      <xdr:spPr>
        <a:xfrm flipH="1" flipV="1">
          <a:off x="12341225" y="4785108"/>
          <a:ext cx="44450" cy="2339592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258989</xdr:colOff>
      <xdr:row>17</xdr:row>
      <xdr:rowOff>171592</xdr:rowOff>
    </xdr:from>
    <xdr:to>
      <xdr:col>33</xdr:col>
      <xdr:colOff>12246</xdr:colOff>
      <xdr:row>17</xdr:row>
      <xdr:rowOff>171592</xdr:rowOff>
    </xdr:to>
    <xdr:cxnSp macro="">
      <xdr:nvCxnSpPr>
        <xdr:cNvPr id="936" name="SCHEMA_T02_SOSTEGNO_17_TR1">
          <a:extLst>
            <a:ext uri="{FF2B5EF4-FFF2-40B4-BE49-F238E27FC236}">
              <a16:creationId xmlns:a16="http://schemas.microsoft.com/office/drawing/2014/main" id="{F2B85D65-E0FE-76C1-C87B-EFD4B895E168}"/>
            </a:ext>
          </a:extLst>
        </xdr:cNvPr>
        <xdr:cNvCxnSpPr/>
      </xdr:nvCxnSpPr>
      <xdr:spPr>
        <a:xfrm>
          <a:off x="12296775" y="5206235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258989</xdr:colOff>
      <xdr:row>18</xdr:row>
      <xdr:rowOff>207415</xdr:rowOff>
    </xdr:from>
    <xdr:to>
      <xdr:col>33</xdr:col>
      <xdr:colOff>12246</xdr:colOff>
      <xdr:row>18</xdr:row>
      <xdr:rowOff>207415</xdr:rowOff>
    </xdr:to>
    <xdr:cxnSp macro="">
      <xdr:nvCxnSpPr>
        <xdr:cNvPr id="937" name="SCHEMA_T02_SOSTEGNO_17_TR2">
          <a:extLst>
            <a:ext uri="{FF2B5EF4-FFF2-40B4-BE49-F238E27FC236}">
              <a16:creationId xmlns:a16="http://schemas.microsoft.com/office/drawing/2014/main" id="{B02182DA-5D78-7732-E5A4-C6A304F6CDE9}"/>
            </a:ext>
          </a:extLst>
        </xdr:cNvPr>
        <xdr:cNvCxnSpPr/>
      </xdr:nvCxnSpPr>
      <xdr:spPr>
        <a:xfrm>
          <a:off x="12296775" y="5486986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258989</xdr:colOff>
      <xdr:row>19</xdr:row>
      <xdr:rowOff>243237</xdr:rowOff>
    </xdr:from>
    <xdr:to>
      <xdr:col>33</xdr:col>
      <xdr:colOff>12246</xdr:colOff>
      <xdr:row>19</xdr:row>
      <xdr:rowOff>243237</xdr:rowOff>
    </xdr:to>
    <xdr:cxnSp macro="">
      <xdr:nvCxnSpPr>
        <xdr:cNvPr id="938" name="SCHEMA_T02_SOSTEGNO_17_TR3">
          <a:extLst>
            <a:ext uri="{FF2B5EF4-FFF2-40B4-BE49-F238E27FC236}">
              <a16:creationId xmlns:a16="http://schemas.microsoft.com/office/drawing/2014/main" id="{8B5E56F2-425D-AC45-0E8D-410BBA0626BE}"/>
            </a:ext>
          </a:extLst>
        </xdr:cNvPr>
        <xdr:cNvCxnSpPr/>
      </xdr:nvCxnSpPr>
      <xdr:spPr>
        <a:xfrm>
          <a:off x="12296775" y="5767737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254454</xdr:colOff>
      <xdr:row>15</xdr:row>
      <xdr:rowOff>240322</xdr:rowOff>
    </xdr:from>
    <xdr:to>
      <xdr:col>34</xdr:col>
      <xdr:colOff>298904</xdr:colOff>
      <xdr:row>25</xdr:row>
      <xdr:rowOff>130629</xdr:rowOff>
    </xdr:to>
    <xdr:cxnSp macro="">
      <xdr:nvCxnSpPr>
        <xdr:cNvPr id="939" name="SCHEMA_T02_SOSTEGNO_18_SX">
          <a:extLst>
            <a:ext uri="{FF2B5EF4-FFF2-40B4-BE49-F238E27FC236}">
              <a16:creationId xmlns:a16="http://schemas.microsoft.com/office/drawing/2014/main" id="{9E1F5DC8-BF9D-408F-19DF-A30D7ED5FFC2}"/>
            </a:ext>
          </a:extLst>
        </xdr:cNvPr>
        <xdr:cNvCxnSpPr/>
      </xdr:nvCxnSpPr>
      <xdr:spPr>
        <a:xfrm flipV="1">
          <a:off x="12963525" y="4785108"/>
          <a:ext cx="44450" cy="2339592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298904</xdr:colOff>
      <xdr:row>15</xdr:row>
      <xdr:rowOff>240322</xdr:rowOff>
    </xdr:from>
    <xdr:to>
      <xdr:col>35</xdr:col>
      <xdr:colOff>7711</xdr:colOff>
      <xdr:row>25</xdr:row>
      <xdr:rowOff>130629</xdr:rowOff>
    </xdr:to>
    <xdr:cxnSp macro="">
      <xdr:nvCxnSpPr>
        <xdr:cNvPr id="940" name="SCHEMA_T02_SOSTEGNO_18_DX">
          <a:extLst>
            <a:ext uri="{FF2B5EF4-FFF2-40B4-BE49-F238E27FC236}">
              <a16:creationId xmlns:a16="http://schemas.microsoft.com/office/drawing/2014/main" id="{F93A494E-31F5-2E1F-5D78-F453837164B6}"/>
            </a:ext>
          </a:extLst>
        </xdr:cNvPr>
        <xdr:cNvCxnSpPr/>
      </xdr:nvCxnSpPr>
      <xdr:spPr>
        <a:xfrm flipH="1" flipV="1">
          <a:off x="13007975" y="4785108"/>
          <a:ext cx="44450" cy="2339592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254454</xdr:colOff>
      <xdr:row>17</xdr:row>
      <xdr:rowOff>171592</xdr:rowOff>
    </xdr:from>
    <xdr:to>
      <xdr:col>35</xdr:col>
      <xdr:colOff>7711</xdr:colOff>
      <xdr:row>17</xdr:row>
      <xdr:rowOff>171592</xdr:rowOff>
    </xdr:to>
    <xdr:cxnSp macro="">
      <xdr:nvCxnSpPr>
        <xdr:cNvPr id="941" name="SCHEMA_T02_SOSTEGNO_18_TR1">
          <a:extLst>
            <a:ext uri="{FF2B5EF4-FFF2-40B4-BE49-F238E27FC236}">
              <a16:creationId xmlns:a16="http://schemas.microsoft.com/office/drawing/2014/main" id="{9AED3945-E91F-1DE7-319E-948A7FE59982}"/>
            </a:ext>
          </a:extLst>
        </xdr:cNvPr>
        <xdr:cNvCxnSpPr/>
      </xdr:nvCxnSpPr>
      <xdr:spPr>
        <a:xfrm>
          <a:off x="12963525" y="5206235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254454</xdr:colOff>
      <xdr:row>18</xdr:row>
      <xdr:rowOff>207415</xdr:rowOff>
    </xdr:from>
    <xdr:to>
      <xdr:col>35</xdr:col>
      <xdr:colOff>7711</xdr:colOff>
      <xdr:row>18</xdr:row>
      <xdr:rowOff>207415</xdr:rowOff>
    </xdr:to>
    <xdr:cxnSp macro="">
      <xdr:nvCxnSpPr>
        <xdr:cNvPr id="942" name="SCHEMA_T02_SOSTEGNO_18_TR2">
          <a:extLst>
            <a:ext uri="{FF2B5EF4-FFF2-40B4-BE49-F238E27FC236}">
              <a16:creationId xmlns:a16="http://schemas.microsoft.com/office/drawing/2014/main" id="{C2D8BFA8-E901-371B-0DF8-295C0C7B269A}"/>
            </a:ext>
          </a:extLst>
        </xdr:cNvPr>
        <xdr:cNvCxnSpPr/>
      </xdr:nvCxnSpPr>
      <xdr:spPr>
        <a:xfrm>
          <a:off x="12963525" y="5486986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254454</xdr:colOff>
      <xdr:row>19</xdr:row>
      <xdr:rowOff>243237</xdr:rowOff>
    </xdr:from>
    <xdr:to>
      <xdr:col>35</xdr:col>
      <xdr:colOff>7711</xdr:colOff>
      <xdr:row>19</xdr:row>
      <xdr:rowOff>243237</xdr:rowOff>
    </xdr:to>
    <xdr:cxnSp macro="">
      <xdr:nvCxnSpPr>
        <xdr:cNvPr id="943" name="SCHEMA_T02_SOSTEGNO_18_TR3">
          <a:extLst>
            <a:ext uri="{FF2B5EF4-FFF2-40B4-BE49-F238E27FC236}">
              <a16:creationId xmlns:a16="http://schemas.microsoft.com/office/drawing/2014/main" id="{0CC9E0A0-9833-A683-39F4-81786286ADD8}"/>
            </a:ext>
          </a:extLst>
        </xdr:cNvPr>
        <xdr:cNvCxnSpPr/>
      </xdr:nvCxnSpPr>
      <xdr:spPr>
        <a:xfrm>
          <a:off x="12963525" y="5767737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249918</xdr:colOff>
      <xdr:row>14</xdr:row>
      <xdr:rowOff>75711</xdr:rowOff>
    </xdr:from>
    <xdr:to>
      <xdr:col>36</xdr:col>
      <xdr:colOff>294368</xdr:colOff>
      <xdr:row>25</xdr:row>
      <xdr:rowOff>130629</xdr:rowOff>
    </xdr:to>
    <xdr:cxnSp macro="">
      <xdr:nvCxnSpPr>
        <xdr:cNvPr id="944" name="SCHEMA_T02_SOSTEGNO_19_SX">
          <a:extLst>
            <a:ext uri="{FF2B5EF4-FFF2-40B4-BE49-F238E27FC236}">
              <a16:creationId xmlns:a16="http://schemas.microsoft.com/office/drawing/2014/main" id="{A246BD4E-4901-A758-1708-1B3C7512691D}"/>
            </a:ext>
          </a:extLst>
        </xdr:cNvPr>
        <xdr:cNvCxnSpPr/>
      </xdr:nvCxnSpPr>
      <xdr:spPr>
        <a:xfrm flipV="1">
          <a:off x="13630275" y="4375568"/>
          <a:ext cx="44450" cy="2749132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294368</xdr:colOff>
      <xdr:row>14</xdr:row>
      <xdr:rowOff>75711</xdr:rowOff>
    </xdr:from>
    <xdr:to>
      <xdr:col>37</xdr:col>
      <xdr:colOff>3175</xdr:colOff>
      <xdr:row>25</xdr:row>
      <xdr:rowOff>130629</xdr:rowOff>
    </xdr:to>
    <xdr:cxnSp macro="">
      <xdr:nvCxnSpPr>
        <xdr:cNvPr id="945" name="SCHEMA_T02_SOSTEGNO_19_DX">
          <a:extLst>
            <a:ext uri="{FF2B5EF4-FFF2-40B4-BE49-F238E27FC236}">
              <a16:creationId xmlns:a16="http://schemas.microsoft.com/office/drawing/2014/main" id="{51F8FAA6-D718-2A4D-EC0B-9AA8B217B58C}"/>
            </a:ext>
          </a:extLst>
        </xdr:cNvPr>
        <xdr:cNvCxnSpPr/>
      </xdr:nvCxnSpPr>
      <xdr:spPr>
        <a:xfrm flipH="1" flipV="1">
          <a:off x="13674725" y="4375568"/>
          <a:ext cx="44450" cy="2749132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249918</xdr:colOff>
      <xdr:row>16</xdr:row>
      <xdr:rowOff>80698</xdr:rowOff>
    </xdr:from>
    <xdr:to>
      <xdr:col>37</xdr:col>
      <xdr:colOff>3175</xdr:colOff>
      <xdr:row>16</xdr:row>
      <xdr:rowOff>80698</xdr:rowOff>
    </xdr:to>
    <xdr:cxnSp macro="">
      <xdr:nvCxnSpPr>
        <xdr:cNvPr id="946" name="SCHEMA_T02_SOSTEGNO_19_TR1">
          <a:extLst>
            <a:ext uri="{FF2B5EF4-FFF2-40B4-BE49-F238E27FC236}">
              <a16:creationId xmlns:a16="http://schemas.microsoft.com/office/drawing/2014/main" id="{F7F6FC86-57EF-3038-518A-96E69F0C5EBD}"/>
            </a:ext>
          </a:extLst>
        </xdr:cNvPr>
        <xdr:cNvCxnSpPr/>
      </xdr:nvCxnSpPr>
      <xdr:spPr>
        <a:xfrm>
          <a:off x="13630275" y="4870412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249918</xdr:colOff>
      <xdr:row>17</xdr:row>
      <xdr:rowOff>165665</xdr:rowOff>
    </xdr:from>
    <xdr:to>
      <xdr:col>37</xdr:col>
      <xdr:colOff>3175</xdr:colOff>
      <xdr:row>17</xdr:row>
      <xdr:rowOff>165665</xdr:rowOff>
    </xdr:to>
    <xdr:cxnSp macro="">
      <xdr:nvCxnSpPr>
        <xdr:cNvPr id="947" name="SCHEMA_T02_SOSTEGNO_19_TR2">
          <a:extLst>
            <a:ext uri="{FF2B5EF4-FFF2-40B4-BE49-F238E27FC236}">
              <a16:creationId xmlns:a16="http://schemas.microsoft.com/office/drawing/2014/main" id="{C54377DE-2CB5-2F59-D5AC-4D5659931B5D}"/>
            </a:ext>
          </a:extLst>
        </xdr:cNvPr>
        <xdr:cNvCxnSpPr/>
      </xdr:nvCxnSpPr>
      <xdr:spPr>
        <a:xfrm>
          <a:off x="13630275" y="5200308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249918</xdr:colOff>
      <xdr:row>19</xdr:row>
      <xdr:rowOff>5704</xdr:rowOff>
    </xdr:from>
    <xdr:to>
      <xdr:col>37</xdr:col>
      <xdr:colOff>3175</xdr:colOff>
      <xdr:row>19</xdr:row>
      <xdr:rowOff>5704</xdr:rowOff>
    </xdr:to>
    <xdr:cxnSp macro="">
      <xdr:nvCxnSpPr>
        <xdr:cNvPr id="948" name="SCHEMA_T02_SOSTEGNO_19_TR3">
          <a:extLst>
            <a:ext uri="{FF2B5EF4-FFF2-40B4-BE49-F238E27FC236}">
              <a16:creationId xmlns:a16="http://schemas.microsoft.com/office/drawing/2014/main" id="{98D4FA7D-EC02-2ACA-68D9-3E3585DD1764}"/>
            </a:ext>
          </a:extLst>
        </xdr:cNvPr>
        <xdr:cNvCxnSpPr/>
      </xdr:nvCxnSpPr>
      <xdr:spPr>
        <a:xfrm>
          <a:off x="13630275" y="5530204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245382</xdr:colOff>
      <xdr:row>15</xdr:row>
      <xdr:rowOff>223941</xdr:rowOff>
    </xdr:from>
    <xdr:to>
      <xdr:col>38</xdr:col>
      <xdr:colOff>289832</xdr:colOff>
      <xdr:row>25</xdr:row>
      <xdr:rowOff>130629</xdr:rowOff>
    </xdr:to>
    <xdr:cxnSp macro="">
      <xdr:nvCxnSpPr>
        <xdr:cNvPr id="949" name="SCHEMA_T02_SOSTEGNO_20_SX">
          <a:extLst>
            <a:ext uri="{FF2B5EF4-FFF2-40B4-BE49-F238E27FC236}">
              <a16:creationId xmlns:a16="http://schemas.microsoft.com/office/drawing/2014/main" id="{AF1A4152-76F1-95CC-2497-D1BDE8D8B97A}"/>
            </a:ext>
          </a:extLst>
        </xdr:cNvPr>
        <xdr:cNvCxnSpPr/>
      </xdr:nvCxnSpPr>
      <xdr:spPr>
        <a:xfrm flipV="1">
          <a:off x="14297025" y="4768727"/>
          <a:ext cx="44450" cy="2355973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289832</xdr:colOff>
      <xdr:row>15</xdr:row>
      <xdr:rowOff>223941</xdr:rowOff>
    </xdr:from>
    <xdr:to>
      <xdr:col>38</xdr:col>
      <xdr:colOff>334282</xdr:colOff>
      <xdr:row>25</xdr:row>
      <xdr:rowOff>130629</xdr:rowOff>
    </xdr:to>
    <xdr:cxnSp macro="">
      <xdr:nvCxnSpPr>
        <xdr:cNvPr id="950" name="SCHEMA_T02_SOSTEGNO_20_DX">
          <a:extLst>
            <a:ext uri="{FF2B5EF4-FFF2-40B4-BE49-F238E27FC236}">
              <a16:creationId xmlns:a16="http://schemas.microsoft.com/office/drawing/2014/main" id="{740926E0-EB55-3617-067D-F9FAC98DFDFC}"/>
            </a:ext>
          </a:extLst>
        </xdr:cNvPr>
        <xdr:cNvCxnSpPr/>
      </xdr:nvCxnSpPr>
      <xdr:spPr>
        <a:xfrm flipH="1" flipV="1">
          <a:off x="14341475" y="4768727"/>
          <a:ext cx="44450" cy="2355973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245382</xdr:colOff>
      <xdr:row>17</xdr:row>
      <xdr:rowOff>158159</xdr:rowOff>
    </xdr:from>
    <xdr:to>
      <xdr:col>38</xdr:col>
      <xdr:colOff>334282</xdr:colOff>
      <xdr:row>17</xdr:row>
      <xdr:rowOff>158159</xdr:rowOff>
    </xdr:to>
    <xdr:cxnSp macro="">
      <xdr:nvCxnSpPr>
        <xdr:cNvPr id="951" name="SCHEMA_T02_SOSTEGNO_20_TR1">
          <a:extLst>
            <a:ext uri="{FF2B5EF4-FFF2-40B4-BE49-F238E27FC236}">
              <a16:creationId xmlns:a16="http://schemas.microsoft.com/office/drawing/2014/main" id="{5E27E248-B6A3-5DC9-A2BD-79FBCBF56F9F}"/>
            </a:ext>
          </a:extLst>
        </xdr:cNvPr>
        <xdr:cNvCxnSpPr/>
      </xdr:nvCxnSpPr>
      <xdr:spPr>
        <a:xfrm>
          <a:off x="14297025" y="5192802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245382</xdr:colOff>
      <xdr:row>18</xdr:row>
      <xdr:rowOff>195948</xdr:rowOff>
    </xdr:from>
    <xdr:to>
      <xdr:col>38</xdr:col>
      <xdr:colOff>334282</xdr:colOff>
      <xdr:row>18</xdr:row>
      <xdr:rowOff>195948</xdr:rowOff>
    </xdr:to>
    <xdr:cxnSp macro="">
      <xdr:nvCxnSpPr>
        <xdr:cNvPr id="952" name="SCHEMA_T02_SOSTEGNO_20_TR2">
          <a:extLst>
            <a:ext uri="{FF2B5EF4-FFF2-40B4-BE49-F238E27FC236}">
              <a16:creationId xmlns:a16="http://schemas.microsoft.com/office/drawing/2014/main" id="{6D80A068-9F7A-7CE1-64A3-AD9F94777FE3}"/>
            </a:ext>
          </a:extLst>
        </xdr:cNvPr>
        <xdr:cNvCxnSpPr/>
      </xdr:nvCxnSpPr>
      <xdr:spPr>
        <a:xfrm>
          <a:off x="14297025" y="5475519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245382</xdr:colOff>
      <xdr:row>19</xdr:row>
      <xdr:rowOff>233735</xdr:rowOff>
    </xdr:from>
    <xdr:to>
      <xdr:col>38</xdr:col>
      <xdr:colOff>334282</xdr:colOff>
      <xdr:row>19</xdr:row>
      <xdr:rowOff>233735</xdr:rowOff>
    </xdr:to>
    <xdr:cxnSp macro="">
      <xdr:nvCxnSpPr>
        <xdr:cNvPr id="953" name="SCHEMA_T02_SOSTEGNO_20_TR3">
          <a:extLst>
            <a:ext uri="{FF2B5EF4-FFF2-40B4-BE49-F238E27FC236}">
              <a16:creationId xmlns:a16="http://schemas.microsoft.com/office/drawing/2014/main" id="{8314FE79-BD84-FBF7-82F9-4064DE2805E2}"/>
            </a:ext>
          </a:extLst>
        </xdr:cNvPr>
        <xdr:cNvCxnSpPr/>
      </xdr:nvCxnSpPr>
      <xdr:spPr>
        <a:xfrm>
          <a:off x="14297025" y="5758235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240846</xdr:colOff>
      <xdr:row>15</xdr:row>
      <xdr:rowOff>196638</xdr:rowOff>
    </xdr:from>
    <xdr:to>
      <xdr:col>40</xdr:col>
      <xdr:colOff>285296</xdr:colOff>
      <xdr:row>25</xdr:row>
      <xdr:rowOff>130629</xdr:rowOff>
    </xdr:to>
    <xdr:cxnSp macro="">
      <xdr:nvCxnSpPr>
        <xdr:cNvPr id="954" name="SCHEMA_T02_SOSTEGNO_21_SX">
          <a:extLst>
            <a:ext uri="{FF2B5EF4-FFF2-40B4-BE49-F238E27FC236}">
              <a16:creationId xmlns:a16="http://schemas.microsoft.com/office/drawing/2014/main" id="{440C5CC3-CF90-B4B8-7F86-5875E33E1877}"/>
            </a:ext>
          </a:extLst>
        </xdr:cNvPr>
        <xdr:cNvCxnSpPr/>
      </xdr:nvCxnSpPr>
      <xdr:spPr>
        <a:xfrm flipV="1">
          <a:off x="14963775" y="4741424"/>
          <a:ext cx="44450" cy="2383276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285296</xdr:colOff>
      <xdr:row>15</xdr:row>
      <xdr:rowOff>196638</xdr:rowOff>
    </xdr:from>
    <xdr:to>
      <xdr:col>40</xdr:col>
      <xdr:colOff>329746</xdr:colOff>
      <xdr:row>25</xdr:row>
      <xdr:rowOff>130629</xdr:rowOff>
    </xdr:to>
    <xdr:cxnSp macro="">
      <xdr:nvCxnSpPr>
        <xdr:cNvPr id="955" name="SCHEMA_T02_SOSTEGNO_21_DX">
          <a:extLst>
            <a:ext uri="{FF2B5EF4-FFF2-40B4-BE49-F238E27FC236}">
              <a16:creationId xmlns:a16="http://schemas.microsoft.com/office/drawing/2014/main" id="{63F63BE2-D8AA-B856-C042-E0F7827426C4}"/>
            </a:ext>
          </a:extLst>
        </xdr:cNvPr>
        <xdr:cNvCxnSpPr/>
      </xdr:nvCxnSpPr>
      <xdr:spPr>
        <a:xfrm flipH="1" flipV="1">
          <a:off x="15008225" y="4741424"/>
          <a:ext cx="44450" cy="2383276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240846</xdr:colOff>
      <xdr:row>17</xdr:row>
      <xdr:rowOff>135771</xdr:rowOff>
    </xdr:from>
    <xdr:to>
      <xdr:col>40</xdr:col>
      <xdr:colOff>329746</xdr:colOff>
      <xdr:row>17</xdr:row>
      <xdr:rowOff>135771</xdr:rowOff>
    </xdr:to>
    <xdr:cxnSp macro="">
      <xdr:nvCxnSpPr>
        <xdr:cNvPr id="956" name="SCHEMA_T02_SOSTEGNO_21_TR1">
          <a:extLst>
            <a:ext uri="{FF2B5EF4-FFF2-40B4-BE49-F238E27FC236}">
              <a16:creationId xmlns:a16="http://schemas.microsoft.com/office/drawing/2014/main" id="{AFFBCC6C-BE2E-108C-83EA-D4B89FE7F70E}"/>
            </a:ext>
          </a:extLst>
        </xdr:cNvPr>
        <xdr:cNvCxnSpPr/>
      </xdr:nvCxnSpPr>
      <xdr:spPr>
        <a:xfrm>
          <a:off x="14963775" y="5170414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240846</xdr:colOff>
      <xdr:row>18</xdr:row>
      <xdr:rowOff>176836</xdr:rowOff>
    </xdr:from>
    <xdr:to>
      <xdr:col>40</xdr:col>
      <xdr:colOff>329746</xdr:colOff>
      <xdr:row>18</xdr:row>
      <xdr:rowOff>176836</xdr:rowOff>
    </xdr:to>
    <xdr:cxnSp macro="">
      <xdr:nvCxnSpPr>
        <xdr:cNvPr id="957" name="SCHEMA_T02_SOSTEGNO_21_TR2">
          <a:extLst>
            <a:ext uri="{FF2B5EF4-FFF2-40B4-BE49-F238E27FC236}">
              <a16:creationId xmlns:a16="http://schemas.microsoft.com/office/drawing/2014/main" id="{5FB78B46-1FB5-342D-B334-5E90537ABA6D}"/>
            </a:ext>
          </a:extLst>
        </xdr:cNvPr>
        <xdr:cNvCxnSpPr/>
      </xdr:nvCxnSpPr>
      <xdr:spPr>
        <a:xfrm>
          <a:off x="14963775" y="5456407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240846</xdr:colOff>
      <xdr:row>19</xdr:row>
      <xdr:rowOff>217900</xdr:rowOff>
    </xdr:from>
    <xdr:to>
      <xdr:col>40</xdr:col>
      <xdr:colOff>329746</xdr:colOff>
      <xdr:row>19</xdr:row>
      <xdr:rowOff>217900</xdr:rowOff>
    </xdr:to>
    <xdr:cxnSp macro="">
      <xdr:nvCxnSpPr>
        <xdr:cNvPr id="958" name="SCHEMA_T02_SOSTEGNO_21_TR3">
          <a:extLst>
            <a:ext uri="{FF2B5EF4-FFF2-40B4-BE49-F238E27FC236}">
              <a16:creationId xmlns:a16="http://schemas.microsoft.com/office/drawing/2014/main" id="{70C18CF5-AB31-2245-DE46-07CBEEFD9998}"/>
            </a:ext>
          </a:extLst>
        </xdr:cNvPr>
        <xdr:cNvCxnSpPr/>
      </xdr:nvCxnSpPr>
      <xdr:spPr>
        <a:xfrm>
          <a:off x="14963775" y="5742400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236311</xdr:colOff>
      <xdr:row>13</xdr:row>
      <xdr:rowOff>9388</xdr:rowOff>
    </xdr:from>
    <xdr:to>
      <xdr:col>42</xdr:col>
      <xdr:colOff>280761</xdr:colOff>
      <xdr:row>25</xdr:row>
      <xdr:rowOff>130629</xdr:rowOff>
    </xdr:to>
    <xdr:cxnSp macro="">
      <xdr:nvCxnSpPr>
        <xdr:cNvPr id="959" name="SCHEMA_T02_SOSTEGNO_22_SX">
          <a:extLst>
            <a:ext uri="{FF2B5EF4-FFF2-40B4-BE49-F238E27FC236}">
              <a16:creationId xmlns:a16="http://schemas.microsoft.com/office/drawing/2014/main" id="{0D2B2890-3B3F-378F-81FB-A0FA86EA7ED4}"/>
            </a:ext>
          </a:extLst>
        </xdr:cNvPr>
        <xdr:cNvCxnSpPr/>
      </xdr:nvCxnSpPr>
      <xdr:spPr>
        <a:xfrm flipV="1">
          <a:off x="15630525" y="4064317"/>
          <a:ext cx="44450" cy="3060383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280761</xdr:colOff>
      <xdr:row>13</xdr:row>
      <xdr:rowOff>9388</xdr:rowOff>
    </xdr:from>
    <xdr:to>
      <xdr:col>42</xdr:col>
      <xdr:colOff>325211</xdr:colOff>
      <xdr:row>25</xdr:row>
      <xdr:rowOff>130629</xdr:rowOff>
    </xdr:to>
    <xdr:cxnSp macro="">
      <xdr:nvCxnSpPr>
        <xdr:cNvPr id="384" name="SCHEMA_T02_SOSTEGNO_22_DX">
          <a:extLst>
            <a:ext uri="{FF2B5EF4-FFF2-40B4-BE49-F238E27FC236}">
              <a16:creationId xmlns:a16="http://schemas.microsoft.com/office/drawing/2014/main" id="{0BF7A2E9-36C9-E206-F4B6-6D71FF4B2BE5}"/>
            </a:ext>
          </a:extLst>
        </xdr:cNvPr>
        <xdr:cNvCxnSpPr/>
      </xdr:nvCxnSpPr>
      <xdr:spPr>
        <a:xfrm flipH="1" flipV="1">
          <a:off x="15674975" y="4064317"/>
          <a:ext cx="44450" cy="3060383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236311</xdr:colOff>
      <xdr:row>15</xdr:row>
      <xdr:rowOff>70401</xdr:rowOff>
    </xdr:from>
    <xdr:to>
      <xdr:col>42</xdr:col>
      <xdr:colOff>325211</xdr:colOff>
      <xdr:row>15</xdr:row>
      <xdr:rowOff>70401</xdr:rowOff>
    </xdr:to>
    <xdr:cxnSp macro="">
      <xdr:nvCxnSpPr>
        <xdr:cNvPr id="385" name="SCHEMA_T02_SOSTEGNO_22_TR1">
          <a:extLst>
            <a:ext uri="{FF2B5EF4-FFF2-40B4-BE49-F238E27FC236}">
              <a16:creationId xmlns:a16="http://schemas.microsoft.com/office/drawing/2014/main" id="{7DC769A4-E0A4-274D-A279-106838CC1213}"/>
            </a:ext>
          </a:extLst>
        </xdr:cNvPr>
        <xdr:cNvCxnSpPr/>
      </xdr:nvCxnSpPr>
      <xdr:spPr>
        <a:xfrm>
          <a:off x="15630525" y="4615187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236311</xdr:colOff>
      <xdr:row>16</xdr:row>
      <xdr:rowOff>192718</xdr:rowOff>
    </xdr:from>
    <xdr:to>
      <xdr:col>42</xdr:col>
      <xdr:colOff>325211</xdr:colOff>
      <xdr:row>16</xdr:row>
      <xdr:rowOff>192718</xdr:rowOff>
    </xdr:to>
    <xdr:cxnSp macro="">
      <xdr:nvCxnSpPr>
        <xdr:cNvPr id="386" name="SCHEMA_T02_SOSTEGNO_22_TR2">
          <a:extLst>
            <a:ext uri="{FF2B5EF4-FFF2-40B4-BE49-F238E27FC236}">
              <a16:creationId xmlns:a16="http://schemas.microsoft.com/office/drawing/2014/main" id="{A42D775F-BE1F-2CB0-8C15-0693DFE06400}"/>
            </a:ext>
          </a:extLst>
        </xdr:cNvPr>
        <xdr:cNvCxnSpPr/>
      </xdr:nvCxnSpPr>
      <xdr:spPr>
        <a:xfrm>
          <a:off x="15630525" y="4982432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236311</xdr:colOff>
      <xdr:row>18</xdr:row>
      <xdr:rowOff>70107</xdr:rowOff>
    </xdr:from>
    <xdr:to>
      <xdr:col>42</xdr:col>
      <xdr:colOff>325211</xdr:colOff>
      <xdr:row>18</xdr:row>
      <xdr:rowOff>70107</xdr:rowOff>
    </xdr:to>
    <xdr:cxnSp macro="">
      <xdr:nvCxnSpPr>
        <xdr:cNvPr id="387" name="SCHEMA_T02_SOSTEGNO_22_TR3">
          <a:extLst>
            <a:ext uri="{FF2B5EF4-FFF2-40B4-BE49-F238E27FC236}">
              <a16:creationId xmlns:a16="http://schemas.microsoft.com/office/drawing/2014/main" id="{64760F76-F3E9-1ACE-1012-5A36A8A3403C}"/>
            </a:ext>
          </a:extLst>
        </xdr:cNvPr>
        <xdr:cNvCxnSpPr/>
      </xdr:nvCxnSpPr>
      <xdr:spPr>
        <a:xfrm>
          <a:off x="15630525" y="5349678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231775</xdr:colOff>
      <xdr:row>13</xdr:row>
      <xdr:rowOff>9388</xdr:rowOff>
    </xdr:from>
    <xdr:to>
      <xdr:col>44</xdr:col>
      <xdr:colOff>276225</xdr:colOff>
      <xdr:row>25</xdr:row>
      <xdr:rowOff>130629</xdr:rowOff>
    </xdr:to>
    <xdr:cxnSp macro="">
      <xdr:nvCxnSpPr>
        <xdr:cNvPr id="388" name="SCHEMA_T02_SOSTEGNO_23_SX">
          <a:extLst>
            <a:ext uri="{FF2B5EF4-FFF2-40B4-BE49-F238E27FC236}">
              <a16:creationId xmlns:a16="http://schemas.microsoft.com/office/drawing/2014/main" id="{BB90D802-C3D2-BF3F-25D3-B7E0FA965C64}"/>
            </a:ext>
          </a:extLst>
        </xdr:cNvPr>
        <xdr:cNvCxnSpPr/>
      </xdr:nvCxnSpPr>
      <xdr:spPr>
        <a:xfrm flipV="1">
          <a:off x="16297275" y="4064317"/>
          <a:ext cx="44450" cy="3060383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276225</xdr:colOff>
      <xdr:row>13</xdr:row>
      <xdr:rowOff>9388</xdr:rowOff>
    </xdr:from>
    <xdr:to>
      <xdr:col>44</xdr:col>
      <xdr:colOff>320675</xdr:colOff>
      <xdr:row>25</xdr:row>
      <xdr:rowOff>130629</xdr:rowOff>
    </xdr:to>
    <xdr:cxnSp macro="">
      <xdr:nvCxnSpPr>
        <xdr:cNvPr id="389" name="SCHEMA_T02_SOSTEGNO_23_DX">
          <a:extLst>
            <a:ext uri="{FF2B5EF4-FFF2-40B4-BE49-F238E27FC236}">
              <a16:creationId xmlns:a16="http://schemas.microsoft.com/office/drawing/2014/main" id="{7577C00B-F83A-4813-31CA-95DB1C9190EF}"/>
            </a:ext>
          </a:extLst>
        </xdr:cNvPr>
        <xdr:cNvCxnSpPr/>
      </xdr:nvCxnSpPr>
      <xdr:spPr>
        <a:xfrm flipH="1" flipV="1">
          <a:off x="16341725" y="4064317"/>
          <a:ext cx="44450" cy="3060383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231775</xdr:colOff>
      <xdr:row>15</xdr:row>
      <xdr:rowOff>70401</xdr:rowOff>
    </xdr:from>
    <xdr:to>
      <xdr:col>44</xdr:col>
      <xdr:colOff>320675</xdr:colOff>
      <xdr:row>15</xdr:row>
      <xdr:rowOff>70401</xdr:rowOff>
    </xdr:to>
    <xdr:cxnSp macro="">
      <xdr:nvCxnSpPr>
        <xdr:cNvPr id="390" name="SCHEMA_T02_SOSTEGNO_23_TR1">
          <a:extLst>
            <a:ext uri="{FF2B5EF4-FFF2-40B4-BE49-F238E27FC236}">
              <a16:creationId xmlns:a16="http://schemas.microsoft.com/office/drawing/2014/main" id="{1772A794-8D7B-54ED-F53E-5E8B7A82B465}"/>
            </a:ext>
          </a:extLst>
        </xdr:cNvPr>
        <xdr:cNvCxnSpPr/>
      </xdr:nvCxnSpPr>
      <xdr:spPr>
        <a:xfrm>
          <a:off x="16297275" y="4615187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231775</xdr:colOff>
      <xdr:row>16</xdr:row>
      <xdr:rowOff>192718</xdr:rowOff>
    </xdr:from>
    <xdr:to>
      <xdr:col>44</xdr:col>
      <xdr:colOff>320675</xdr:colOff>
      <xdr:row>16</xdr:row>
      <xdr:rowOff>192718</xdr:rowOff>
    </xdr:to>
    <xdr:cxnSp macro="">
      <xdr:nvCxnSpPr>
        <xdr:cNvPr id="391" name="SCHEMA_T02_SOSTEGNO_23_TR2">
          <a:extLst>
            <a:ext uri="{FF2B5EF4-FFF2-40B4-BE49-F238E27FC236}">
              <a16:creationId xmlns:a16="http://schemas.microsoft.com/office/drawing/2014/main" id="{0BAD0000-8D65-E1C5-1B07-7D27B07DBC43}"/>
            </a:ext>
          </a:extLst>
        </xdr:cNvPr>
        <xdr:cNvCxnSpPr/>
      </xdr:nvCxnSpPr>
      <xdr:spPr>
        <a:xfrm>
          <a:off x="16297275" y="4982432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231775</xdr:colOff>
      <xdr:row>18</xdr:row>
      <xdr:rowOff>70107</xdr:rowOff>
    </xdr:from>
    <xdr:to>
      <xdr:col>44</xdr:col>
      <xdr:colOff>320675</xdr:colOff>
      <xdr:row>18</xdr:row>
      <xdr:rowOff>70107</xdr:rowOff>
    </xdr:to>
    <xdr:cxnSp macro="">
      <xdr:nvCxnSpPr>
        <xdr:cNvPr id="392" name="SCHEMA_T02_SOSTEGNO_23_TR3">
          <a:extLst>
            <a:ext uri="{FF2B5EF4-FFF2-40B4-BE49-F238E27FC236}">
              <a16:creationId xmlns:a16="http://schemas.microsoft.com/office/drawing/2014/main" id="{323B2751-39E7-4D75-8334-DE005A0DFDBD}"/>
            </a:ext>
          </a:extLst>
        </xdr:cNvPr>
        <xdr:cNvCxnSpPr/>
      </xdr:nvCxnSpPr>
      <xdr:spPr>
        <a:xfrm>
          <a:off x="16297275" y="5349678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1591582</xdr:colOff>
      <xdr:row>16</xdr:row>
      <xdr:rowOff>91499</xdr:rowOff>
    </xdr:from>
    <xdr:to>
      <xdr:col>1</xdr:col>
      <xdr:colOff>180975</xdr:colOff>
      <xdr:row>16</xdr:row>
      <xdr:rowOff>125200</xdr:rowOff>
    </xdr:to>
    <xdr:cxnSp macro="">
      <xdr:nvCxnSpPr>
        <xdr:cNvPr id="393" name="SCHEMA_T02_COND_0001">
          <a:extLst>
            <a:ext uri="{FF2B5EF4-FFF2-40B4-BE49-F238E27FC236}">
              <a16:creationId xmlns:a16="http://schemas.microsoft.com/office/drawing/2014/main" id="{2FF781AE-19A1-70E7-2E45-8D4FC5DC2AA1}"/>
            </a:ext>
          </a:extLst>
        </xdr:cNvPr>
        <xdr:cNvCxnSpPr/>
      </xdr:nvCxnSpPr>
      <xdr:spPr>
        <a:xfrm>
          <a:off x="1591582" y="4881213"/>
          <a:ext cx="222250" cy="33701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262618</xdr:colOff>
      <xdr:row>15</xdr:row>
      <xdr:rowOff>155877</xdr:rowOff>
    </xdr:from>
    <xdr:to>
      <xdr:col>2</xdr:col>
      <xdr:colOff>149225</xdr:colOff>
      <xdr:row>15</xdr:row>
      <xdr:rowOff>206842</xdr:rowOff>
    </xdr:to>
    <xdr:cxnSp macro="">
      <xdr:nvCxnSpPr>
        <xdr:cNvPr id="394" name="SCHEMA_T02_COND_0002">
          <a:extLst>
            <a:ext uri="{FF2B5EF4-FFF2-40B4-BE49-F238E27FC236}">
              <a16:creationId xmlns:a16="http://schemas.microsoft.com/office/drawing/2014/main" id="{9055892A-6CA2-6A4E-A380-9CAA8DBB2497}"/>
            </a:ext>
          </a:extLst>
        </xdr:cNvPr>
        <xdr:cNvCxnSpPr/>
      </xdr:nvCxnSpPr>
      <xdr:spPr>
        <a:xfrm flipV="1">
          <a:off x="1895475" y="4700663"/>
          <a:ext cx="222250" cy="50965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149225</xdr:colOff>
      <xdr:row>15</xdr:row>
      <xdr:rowOff>20246</xdr:rowOff>
    </xdr:from>
    <xdr:to>
      <xdr:col>3</xdr:col>
      <xdr:colOff>35832</xdr:colOff>
      <xdr:row>15</xdr:row>
      <xdr:rowOff>155877</xdr:rowOff>
    </xdr:to>
    <xdr:cxnSp macro="">
      <xdr:nvCxnSpPr>
        <xdr:cNvPr id="395" name="SCHEMA_T02_COND_0003">
          <a:extLst>
            <a:ext uri="{FF2B5EF4-FFF2-40B4-BE49-F238E27FC236}">
              <a16:creationId xmlns:a16="http://schemas.microsoft.com/office/drawing/2014/main" id="{710D6B9F-3BF0-02C0-28A9-E49D4A728960}"/>
            </a:ext>
          </a:extLst>
        </xdr:cNvPr>
        <xdr:cNvCxnSpPr/>
      </xdr:nvCxnSpPr>
      <xdr:spPr>
        <a:xfrm flipV="1">
          <a:off x="2117725" y="4565032"/>
          <a:ext cx="222250" cy="135631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40368</xdr:colOff>
      <xdr:row>16</xdr:row>
      <xdr:rowOff>93313</xdr:rowOff>
    </xdr:from>
    <xdr:to>
      <xdr:col>1</xdr:col>
      <xdr:colOff>262618</xdr:colOff>
      <xdr:row>16</xdr:row>
      <xdr:rowOff>127014</xdr:rowOff>
    </xdr:to>
    <xdr:cxnSp macro="">
      <xdr:nvCxnSpPr>
        <xdr:cNvPr id="396" name="SCHEMA_T02_COND_0004">
          <a:extLst>
            <a:ext uri="{FF2B5EF4-FFF2-40B4-BE49-F238E27FC236}">
              <a16:creationId xmlns:a16="http://schemas.microsoft.com/office/drawing/2014/main" id="{BFCAE448-963E-B221-5F08-2BCFBC3E8581}"/>
            </a:ext>
          </a:extLst>
        </xdr:cNvPr>
        <xdr:cNvCxnSpPr/>
      </xdr:nvCxnSpPr>
      <xdr:spPr>
        <a:xfrm>
          <a:off x="1673225" y="4883027"/>
          <a:ext cx="222250" cy="3370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262618</xdr:colOff>
      <xdr:row>16</xdr:row>
      <xdr:rowOff>76049</xdr:rowOff>
    </xdr:from>
    <xdr:to>
      <xdr:col>2</xdr:col>
      <xdr:colOff>149225</xdr:colOff>
      <xdr:row>16</xdr:row>
      <xdr:rowOff>127014</xdr:rowOff>
    </xdr:to>
    <xdr:cxnSp macro="">
      <xdr:nvCxnSpPr>
        <xdr:cNvPr id="397" name="SCHEMA_T02_COND_0005">
          <a:extLst>
            <a:ext uri="{FF2B5EF4-FFF2-40B4-BE49-F238E27FC236}">
              <a16:creationId xmlns:a16="http://schemas.microsoft.com/office/drawing/2014/main" id="{1C119D26-89A0-4418-54EF-110A79FD578E}"/>
            </a:ext>
          </a:extLst>
        </xdr:cNvPr>
        <xdr:cNvCxnSpPr/>
      </xdr:nvCxnSpPr>
      <xdr:spPr>
        <a:xfrm flipV="1">
          <a:off x="1895475" y="4865763"/>
          <a:ext cx="222250" cy="5096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149225</xdr:colOff>
      <xdr:row>15</xdr:row>
      <xdr:rowOff>185346</xdr:rowOff>
    </xdr:from>
    <xdr:to>
      <xdr:col>3</xdr:col>
      <xdr:colOff>35832</xdr:colOff>
      <xdr:row>16</xdr:row>
      <xdr:rowOff>76049</xdr:rowOff>
    </xdr:to>
    <xdr:cxnSp macro="">
      <xdr:nvCxnSpPr>
        <xdr:cNvPr id="398" name="SCHEMA_T02_COND_0006">
          <a:extLst>
            <a:ext uri="{FF2B5EF4-FFF2-40B4-BE49-F238E27FC236}">
              <a16:creationId xmlns:a16="http://schemas.microsoft.com/office/drawing/2014/main" id="{8D917B61-A860-57B0-D688-B22714B53107}"/>
            </a:ext>
          </a:extLst>
        </xdr:cNvPr>
        <xdr:cNvCxnSpPr/>
      </xdr:nvCxnSpPr>
      <xdr:spPr>
        <a:xfrm flipV="1">
          <a:off x="2117725" y="4730132"/>
          <a:ext cx="222250" cy="13563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40368</xdr:colOff>
      <xdr:row>16</xdr:row>
      <xdr:rowOff>194913</xdr:rowOff>
    </xdr:from>
    <xdr:to>
      <xdr:col>1</xdr:col>
      <xdr:colOff>262618</xdr:colOff>
      <xdr:row>16</xdr:row>
      <xdr:rowOff>228614</xdr:rowOff>
    </xdr:to>
    <xdr:cxnSp macro="">
      <xdr:nvCxnSpPr>
        <xdr:cNvPr id="399" name="SCHEMA_T02_COND_0007">
          <a:extLst>
            <a:ext uri="{FF2B5EF4-FFF2-40B4-BE49-F238E27FC236}">
              <a16:creationId xmlns:a16="http://schemas.microsoft.com/office/drawing/2014/main" id="{ABDAD78E-E53C-88A7-F77D-8F61B8B0F788}"/>
            </a:ext>
          </a:extLst>
        </xdr:cNvPr>
        <xdr:cNvCxnSpPr/>
      </xdr:nvCxnSpPr>
      <xdr:spPr>
        <a:xfrm>
          <a:off x="1673225" y="4984627"/>
          <a:ext cx="222250" cy="3370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262618</xdr:colOff>
      <xdr:row>16</xdr:row>
      <xdr:rowOff>177649</xdr:rowOff>
    </xdr:from>
    <xdr:to>
      <xdr:col>2</xdr:col>
      <xdr:colOff>149225</xdr:colOff>
      <xdr:row>16</xdr:row>
      <xdr:rowOff>228614</xdr:rowOff>
    </xdr:to>
    <xdr:cxnSp macro="">
      <xdr:nvCxnSpPr>
        <xdr:cNvPr id="400" name="SCHEMA_T02_COND_0008">
          <a:extLst>
            <a:ext uri="{FF2B5EF4-FFF2-40B4-BE49-F238E27FC236}">
              <a16:creationId xmlns:a16="http://schemas.microsoft.com/office/drawing/2014/main" id="{12E5CDFA-6614-B275-12BC-F27EBAD463F8}"/>
            </a:ext>
          </a:extLst>
        </xdr:cNvPr>
        <xdr:cNvCxnSpPr/>
      </xdr:nvCxnSpPr>
      <xdr:spPr>
        <a:xfrm flipV="1">
          <a:off x="1895475" y="4967363"/>
          <a:ext cx="222250" cy="5096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149225</xdr:colOff>
      <xdr:row>16</xdr:row>
      <xdr:rowOff>42018</xdr:rowOff>
    </xdr:from>
    <xdr:to>
      <xdr:col>3</xdr:col>
      <xdr:colOff>35832</xdr:colOff>
      <xdr:row>16</xdr:row>
      <xdr:rowOff>177649</xdr:rowOff>
    </xdr:to>
    <xdr:cxnSp macro="">
      <xdr:nvCxnSpPr>
        <xdr:cNvPr id="401" name="SCHEMA_T02_COND_0009">
          <a:extLst>
            <a:ext uri="{FF2B5EF4-FFF2-40B4-BE49-F238E27FC236}">
              <a16:creationId xmlns:a16="http://schemas.microsoft.com/office/drawing/2014/main" id="{D941192C-0785-CF79-A65C-2E5033424F5B}"/>
            </a:ext>
          </a:extLst>
        </xdr:cNvPr>
        <xdr:cNvCxnSpPr/>
      </xdr:nvCxnSpPr>
      <xdr:spPr>
        <a:xfrm flipV="1">
          <a:off x="2117725" y="4831732"/>
          <a:ext cx="222250" cy="13563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40368</xdr:colOff>
      <xdr:row>17</xdr:row>
      <xdr:rowOff>102384</xdr:rowOff>
    </xdr:from>
    <xdr:to>
      <xdr:col>1</xdr:col>
      <xdr:colOff>262618</xdr:colOff>
      <xdr:row>17</xdr:row>
      <xdr:rowOff>136085</xdr:rowOff>
    </xdr:to>
    <xdr:cxnSp macro="">
      <xdr:nvCxnSpPr>
        <xdr:cNvPr id="402" name="SCHEMA_T02_COND_0010">
          <a:extLst>
            <a:ext uri="{FF2B5EF4-FFF2-40B4-BE49-F238E27FC236}">
              <a16:creationId xmlns:a16="http://schemas.microsoft.com/office/drawing/2014/main" id="{6B09317F-A607-ACE7-3FA3-2E8A453F102E}"/>
            </a:ext>
          </a:extLst>
        </xdr:cNvPr>
        <xdr:cNvCxnSpPr/>
      </xdr:nvCxnSpPr>
      <xdr:spPr>
        <a:xfrm>
          <a:off x="1673225" y="5137027"/>
          <a:ext cx="222250" cy="3370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262618</xdr:colOff>
      <xdr:row>17</xdr:row>
      <xdr:rowOff>85120</xdr:rowOff>
    </xdr:from>
    <xdr:to>
      <xdr:col>2</xdr:col>
      <xdr:colOff>149225</xdr:colOff>
      <xdr:row>17</xdr:row>
      <xdr:rowOff>136085</xdr:rowOff>
    </xdr:to>
    <xdr:cxnSp macro="">
      <xdr:nvCxnSpPr>
        <xdr:cNvPr id="403" name="SCHEMA_T02_COND_0011">
          <a:extLst>
            <a:ext uri="{FF2B5EF4-FFF2-40B4-BE49-F238E27FC236}">
              <a16:creationId xmlns:a16="http://schemas.microsoft.com/office/drawing/2014/main" id="{6B276DC1-8C25-C46B-203E-B1EBA3427E1E}"/>
            </a:ext>
          </a:extLst>
        </xdr:cNvPr>
        <xdr:cNvCxnSpPr/>
      </xdr:nvCxnSpPr>
      <xdr:spPr>
        <a:xfrm flipV="1">
          <a:off x="1895475" y="5119763"/>
          <a:ext cx="222250" cy="5096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149225</xdr:colOff>
      <xdr:row>16</xdr:row>
      <xdr:rowOff>194418</xdr:rowOff>
    </xdr:from>
    <xdr:to>
      <xdr:col>3</xdr:col>
      <xdr:colOff>35832</xdr:colOff>
      <xdr:row>17</xdr:row>
      <xdr:rowOff>85120</xdr:rowOff>
    </xdr:to>
    <xdr:cxnSp macro="">
      <xdr:nvCxnSpPr>
        <xdr:cNvPr id="404" name="SCHEMA_T02_COND_0012">
          <a:extLst>
            <a:ext uri="{FF2B5EF4-FFF2-40B4-BE49-F238E27FC236}">
              <a16:creationId xmlns:a16="http://schemas.microsoft.com/office/drawing/2014/main" id="{EB2547DD-2E98-963B-66AB-7C7A1ED27832}"/>
            </a:ext>
          </a:extLst>
        </xdr:cNvPr>
        <xdr:cNvCxnSpPr/>
      </xdr:nvCxnSpPr>
      <xdr:spPr>
        <a:xfrm flipV="1">
          <a:off x="2117725" y="4984132"/>
          <a:ext cx="222250" cy="13563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40368</xdr:colOff>
      <xdr:row>17</xdr:row>
      <xdr:rowOff>203984</xdr:rowOff>
    </xdr:from>
    <xdr:to>
      <xdr:col>1</xdr:col>
      <xdr:colOff>262618</xdr:colOff>
      <xdr:row>17</xdr:row>
      <xdr:rowOff>237685</xdr:rowOff>
    </xdr:to>
    <xdr:cxnSp macro="">
      <xdr:nvCxnSpPr>
        <xdr:cNvPr id="405" name="SCHEMA_T02_COND_0013">
          <a:extLst>
            <a:ext uri="{FF2B5EF4-FFF2-40B4-BE49-F238E27FC236}">
              <a16:creationId xmlns:a16="http://schemas.microsoft.com/office/drawing/2014/main" id="{81CD09F8-35B8-1DB3-540F-2C6DC1DAFB24}"/>
            </a:ext>
          </a:extLst>
        </xdr:cNvPr>
        <xdr:cNvCxnSpPr/>
      </xdr:nvCxnSpPr>
      <xdr:spPr>
        <a:xfrm>
          <a:off x="1673225" y="5238627"/>
          <a:ext cx="222250" cy="3370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262618</xdr:colOff>
      <xdr:row>17</xdr:row>
      <xdr:rowOff>186720</xdr:rowOff>
    </xdr:from>
    <xdr:to>
      <xdr:col>2</xdr:col>
      <xdr:colOff>149225</xdr:colOff>
      <xdr:row>17</xdr:row>
      <xdr:rowOff>237685</xdr:rowOff>
    </xdr:to>
    <xdr:cxnSp macro="">
      <xdr:nvCxnSpPr>
        <xdr:cNvPr id="406" name="SCHEMA_T02_COND_0014">
          <a:extLst>
            <a:ext uri="{FF2B5EF4-FFF2-40B4-BE49-F238E27FC236}">
              <a16:creationId xmlns:a16="http://schemas.microsoft.com/office/drawing/2014/main" id="{9D7F23B0-7FF1-458E-B18F-8A5D2F0199EE}"/>
            </a:ext>
          </a:extLst>
        </xdr:cNvPr>
        <xdr:cNvCxnSpPr/>
      </xdr:nvCxnSpPr>
      <xdr:spPr>
        <a:xfrm flipV="1">
          <a:off x="1895475" y="5221363"/>
          <a:ext cx="222250" cy="5096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149225</xdr:colOff>
      <xdr:row>17</xdr:row>
      <xdr:rowOff>51089</xdr:rowOff>
    </xdr:from>
    <xdr:to>
      <xdr:col>3</xdr:col>
      <xdr:colOff>35832</xdr:colOff>
      <xdr:row>17</xdr:row>
      <xdr:rowOff>186720</xdr:rowOff>
    </xdr:to>
    <xdr:cxnSp macro="">
      <xdr:nvCxnSpPr>
        <xdr:cNvPr id="407" name="SCHEMA_T02_COND_0015">
          <a:extLst>
            <a:ext uri="{FF2B5EF4-FFF2-40B4-BE49-F238E27FC236}">
              <a16:creationId xmlns:a16="http://schemas.microsoft.com/office/drawing/2014/main" id="{9D4E4DB6-277A-B2BB-4FA8-E14E16A2AA4A}"/>
            </a:ext>
          </a:extLst>
        </xdr:cNvPr>
        <xdr:cNvCxnSpPr/>
      </xdr:nvCxnSpPr>
      <xdr:spPr>
        <a:xfrm flipV="1">
          <a:off x="2117725" y="5085732"/>
          <a:ext cx="222250" cy="13563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25</xdr:row>
      <xdr:rowOff>41729</xdr:rowOff>
    </xdr:from>
    <xdr:to>
      <xdr:col>2</xdr:col>
      <xdr:colOff>76200</xdr:colOff>
      <xdr:row>25</xdr:row>
      <xdr:rowOff>117929</xdr:rowOff>
    </xdr:to>
    <xdr:sp macro="" textlink="">
      <xdr:nvSpPr>
        <xdr:cNvPr id="1773" name="SCHEMA_T02_ATTRAV_01">
          <a:extLst>
            <a:ext uri="{FF2B5EF4-FFF2-40B4-BE49-F238E27FC236}">
              <a16:creationId xmlns:a16="http://schemas.microsoft.com/office/drawing/2014/main" id="{89ECCC66-A2B8-EC6F-59C8-44D988FD6AA1}"/>
            </a:ext>
          </a:extLst>
        </xdr:cNvPr>
        <xdr:cNvSpPr/>
      </xdr:nvSpPr>
      <xdr:spPr>
        <a:xfrm>
          <a:off x="1968500" y="7035800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35832</xdr:colOff>
      <xdr:row>15</xdr:row>
      <xdr:rowOff>20246</xdr:rowOff>
    </xdr:from>
    <xdr:to>
      <xdr:col>3</xdr:col>
      <xdr:colOff>258082</xdr:colOff>
      <xdr:row>15</xdr:row>
      <xdr:rowOff>159518</xdr:rowOff>
    </xdr:to>
    <xdr:cxnSp macro="">
      <xdr:nvCxnSpPr>
        <xdr:cNvPr id="1774" name="SCHEMA_T02_COND_0016">
          <a:extLst>
            <a:ext uri="{FF2B5EF4-FFF2-40B4-BE49-F238E27FC236}">
              <a16:creationId xmlns:a16="http://schemas.microsoft.com/office/drawing/2014/main" id="{A1570088-1E5C-A9CC-28C9-585E6B414399}"/>
            </a:ext>
          </a:extLst>
        </xdr:cNvPr>
        <xdr:cNvCxnSpPr/>
      </xdr:nvCxnSpPr>
      <xdr:spPr>
        <a:xfrm>
          <a:off x="2339975" y="4565032"/>
          <a:ext cx="222250" cy="139272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258082</xdr:colOff>
      <xdr:row>15</xdr:row>
      <xdr:rowOff>159518</xdr:rowOff>
    </xdr:from>
    <xdr:to>
      <xdr:col>4</xdr:col>
      <xdr:colOff>144689</xdr:colOff>
      <xdr:row>15</xdr:row>
      <xdr:rowOff>214123</xdr:rowOff>
    </xdr:to>
    <xdr:cxnSp macro="">
      <xdr:nvCxnSpPr>
        <xdr:cNvPr id="1775" name="SCHEMA_T02_COND_0017">
          <a:extLst>
            <a:ext uri="{FF2B5EF4-FFF2-40B4-BE49-F238E27FC236}">
              <a16:creationId xmlns:a16="http://schemas.microsoft.com/office/drawing/2014/main" id="{52BB2B35-6597-E0E3-6706-3E066EB6A256}"/>
            </a:ext>
          </a:extLst>
        </xdr:cNvPr>
        <xdr:cNvCxnSpPr/>
      </xdr:nvCxnSpPr>
      <xdr:spPr>
        <a:xfrm>
          <a:off x="2562225" y="4704304"/>
          <a:ext cx="222250" cy="54605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144689</xdr:colOff>
      <xdr:row>15</xdr:row>
      <xdr:rowOff>184062</xdr:rowOff>
    </xdr:from>
    <xdr:to>
      <xdr:col>5</xdr:col>
      <xdr:colOff>31296</xdr:colOff>
      <xdr:row>15</xdr:row>
      <xdr:rowOff>214123</xdr:rowOff>
    </xdr:to>
    <xdr:cxnSp macro="">
      <xdr:nvCxnSpPr>
        <xdr:cNvPr id="1776" name="SCHEMA_T02_COND_0018">
          <a:extLst>
            <a:ext uri="{FF2B5EF4-FFF2-40B4-BE49-F238E27FC236}">
              <a16:creationId xmlns:a16="http://schemas.microsoft.com/office/drawing/2014/main" id="{6AE8E793-CC17-1962-25E4-CFF5FE6DAA3A}"/>
            </a:ext>
          </a:extLst>
        </xdr:cNvPr>
        <xdr:cNvCxnSpPr/>
      </xdr:nvCxnSpPr>
      <xdr:spPr>
        <a:xfrm flipV="1">
          <a:off x="2784475" y="4728848"/>
          <a:ext cx="222250" cy="30061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35832</xdr:colOff>
      <xdr:row>15</xdr:row>
      <xdr:rowOff>185346</xdr:rowOff>
    </xdr:from>
    <xdr:to>
      <xdr:col>3</xdr:col>
      <xdr:colOff>258082</xdr:colOff>
      <xdr:row>16</xdr:row>
      <xdr:rowOff>79690</xdr:rowOff>
    </xdr:to>
    <xdr:cxnSp macro="">
      <xdr:nvCxnSpPr>
        <xdr:cNvPr id="1777" name="SCHEMA_T02_COND_0019">
          <a:extLst>
            <a:ext uri="{FF2B5EF4-FFF2-40B4-BE49-F238E27FC236}">
              <a16:creationId xmlns:a16="http://schemas.microsoft.com/office/drawing/2014/main" id="{1733C04B-033F-09A1-3FEC-C22CA2D03E86}"/>
            </a:ext>
          </a:extLst>
        </xdr:cNvPr>
        <xdr:cNvCxnSpPr/>
      </xdr:nvCxnSpPr>
      <xdr:spPr>
        <a:xfrm>
          <a:off x="2339975" y="4730132"/>
          <a:ext cx="222250" cy="13927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258082</xdr:colOff>
      <xdr:row>16</xdr:row>
      <xdr:rowOff>79690</xdr:rowOff>
    </xdr:from>
    <xdr:to>
      <xdr:col>4</xdr:col>
      <xdr:colOff>144689</xdr:colOff>
      <xdr:row>16</xdr:row>
      <xdr:rowOff>134295</xdr:rowOff>
    </xdr:to>
    <xdr:cxnSp macro="">
      <xdr:nvCxnSpPr>
        <xdr:cNvPr id="1778" name="SCHEMA_T02_COND_0020">
          <a:extLst>
            <a:ext uri="{FF2B5EF4-FFF2-40B4-BE49-F238E27FC236}">
              <a16:creationId xmlns:a16="http://schemas.microsoft.com/office/drawing/2014/main" id="{DB82BD42-7993-0557-E40A-7AE3025EE303}"/>
            </a:ext>
          </a:extLst>
        </xdr:cNvPr>
        <xdr:cNvCxnSpPr/>
      </xdr:nvCxnSpPr>
      <xdr:spPr>
        <a:xfrm>
          <a:off x="2562225" y="4869404"/>
          <a:ext cx="222250" cy="5460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144689</xdr:colOff>
      <xdr:row>16</xdr:row>
      <xdr:rowOff>104234</xdr:rowOff>
    </xdr:from>
    <xdr:to>
      <xdr:col>5</xdr:col>
      <xdr:colOff>31296</xdr:colOff>
      <xdr:row>16</xdr:row>
      <xdr:rowOff>134295</xdr:rowOff>
    </xdr:to>
    <xdr:cxnSp macro="">
      <xdr:nvCxnSpPr>
        <xdr:cNvPr id="1779" name="SCHEMA_T02_COND_0021">
          <a:extLst>
            <a:ext uri="{FF2B5EF4-FFF2-40B4-BE49-F238E27FC236}">
              <a16:creationId xmlns:a16="http://schemas.microsoft.com/office/drawing/2014/main" id="{2ADDC2AF-1923-AD7A-0E12-63F35A4DF892}"/>
            </a:ext>
          </a:extLst>
        </xdr:cNvPr>
        <xdr:cNvCxnSpPr/>
      </xdr:nvCxnSpPr>
      <xdr:spPr>
        <a:xfrm flipV="1">
          <a:off x="2784475" y="4893948"/>
          <a:ext cx="222250" cy="3006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35832</xdr:colOff>
      <xdr:row>16</xdr:row>
      <xdr:rowOff>42018</xdr:rowOff>
    </xdr:from>
    <xdr:to>
      <xdr:col>3</xdr:col>
      <xdr:colOff>258082</xdr:colOff>
      <xdr:row>16</xdr:row>
      <xdr:rowOff>181290</xdr:rowOff>
    </xdr:to>
    <xdr:cxnSp macro="">
      <xdr:nvCxnSpPr>
        <xdr:cNvPr id="1780" name="SCHEMA_T02_COND_0022">
          <a:extLst>
            <a:ext uri="{FF2B5EF4-FFF2-40B4-BE49-F238E27FC236}">
              <a16:creationId xmlns:a16="http://schemas.microsoft.com/office/drawing/2014/main" id="{80F18665-CB2A-75FF-611E-85FFCC99705A}"/>
            </a:ext>
          </a:extLst>
        </xdr:cNvPr>
        <xdr:cNvCxnSpPr/>
      </xdr:nvCxnSpPr>
      <xdr:spPr>
        <a:xfrm>
          <a:off x="2339975" y="4831732"/>
          <a:ext cx="222250" cy="13927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258082</xdr:colOff>
      <xdr:row>16</xdr:row>
      <xdr:rowOff>181290</xdr:rowOff>
    </xdr:from>
    <xdr:to>
      <xdr:col>4</xdr:col>
      <xdr:colOff>144689</xdr:colOff>
      <xdr:row>16</xdr:row>
      <xdr:rowOff>235895</xdr:rowOff>
    </xdr:to>
    <xdr:cxnSp macro="">
      <xdr:nvCxnSpPr>
        <xdr:cNvPr id="1781" name="SCHEMA_T02_COND_0023">
          <a:extLst>
            <a:ext uri="{FF2B5EF4-FFF2-40B4-BE49-F238E27FC236}">
              <a16:creationId xmlns:a16="http://schemas.microsoft.com/office/drawing/2014/main" id="{83DAA3E6-295A-2CEC-0E70-AF2AC6C56DA3}"/>
            </a:ext>
          </a:extLst>
        </xdr:cNvPr>
        <xdr:cNvCxnSpPr/>
      </xdr:nvCxnSpPr>
      <xdr:spPr>
        <a:xfrm>
          <a:off x="2562225" y="4971004"/>
          <a:ext cx="222250" cy="5460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144689</xdr:colOff>
      <xdr:row>16</xdr:row>
      <xdr:rowOff>205834</xdr:rowOff>
    </xdr:from>
    <xdr:to>
      <xdr:col>5</xdr:col>
      <xdr:colOff>31296</xdr:colOff>
      <xdr:row>16</xdr:row>
      <xdr:rowOff>235895</xdr:rowOff>
    </xdr:to>
    <xdr:cxnSp macro="">
      <xdr:nvCxnSpPr>
        <xdr:cNvPr id="1782" name="SCHEMA_T02_COND_0024">
          <a:extLst>
            <a:ext uri="{FF2B5EF4-FFF2-40B4-BE49-F238E27FC236}">
              <a16:creationId xmlns:a16="http://schemas.microsoft.com/office/drawing/2014/main" id="{BD246816-0D0C-BDCE-D0FC-CC447C90EFE9}"/>
            </a:ext>
          </a:extLst>
        </xdr:cNvPr>
        <xdr:cNvCxnSpPr/>
      </xdr:nvCxnSpPr>
      <xdr:spPr>
        <a:xfrm flipV="1">
          <a:off x="2784475" y="4995548"/>
          <a:ext cx="222250" cy="3006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35832</xdr:colOff>
      <xdr:row>16</xdr:row>
      <xdr:rowOff>194418</xdr:rowOff>
    </xdr:from>
    <xdr:to>
      <xdr:col>3</xdr:col>
      <xdr:colOff>258082</xdr:colOff>
      <xdr:row>17</xdr:row>
      <xdr:rowOff>88761</xdr:rowOff>
    </xdr:to>
    <xdr:cxnSp macro="">
      <xdr:nvCxnSpPr>
        <xdr:cNvPr id="1783" name="SCHEMA_T02_COND_0025">
          <a:extLst>
            <a:ext uri="{FF2B5EF4-FFF2-40B4-BE49-F238E27FC236}">
              <a16:creationId xmlns:a16="http://schemas.microsoft.com/office/drawing/2014/main" id="{14B48032-9DE0-94A2-3833-07DF9F963EA6}"/>
            </a:ext>
          </a:extLst>
        </xdr:cNvPr>
        <xdr:cNvCxnSpPr/>
      </xdr:nvCxnSpPr>
      <xdr:spPr>
        <a:xfrm>
          <a:off x="2339975" y="4984132"/>
          <a:ext cx="222250" cy="13927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258082</xdr:colOff>
      <xdr:row>17</xdr:row>
      <xdr:rowOff>88761</xdr:rowOff>
    </xdr:from>
    <xdr:to>
      <xdr:col>4</xdr:col>
      <xdr:colOff>144689</xdr:colOff>
      <xdr:row>17</xdr:row>
      <xdr:rowOff>143366</xdr:rowOff>
    </xdr:to>
    <xdr:cxnSp macro="">
      <xdr:nvCxnSpPr>
        <xdr:cNvPr id="1784" name="SCHEMA_T02_COND_0026">
          <a:extLst>
            <a:ext uri="{FF2B5EF4-FFF2-40B4-BE49-F238E27FC236}">
              <a16:creationId xmlns:a16="http://schemas.microsoft.com/office/drawing/2014/main" id="{33D6FE22-FE93-2E85-47BD-3E962F425A24}"/>
            </a:ext>
          </a:extLst>
        </xdr:cNvPr>
        <xdr:cNvCxnSpPr/>
      </xdr:nvCxnSpPr>
      <xdr:spPr>
        <a:xfrm>
          <a:off x="2562225" y="5123404"/>
          <a:ext cx="222250" cy="5460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144689</xdr:colOff>
      <xdr:row>17</xdr:row>
      <xdr:rowOff>113305</xdr:rowOff>
    </xdr:from>
    <xdr:to>
      <xdr:col>5</xdr:col>
      <xdr:colOff>31296</xdr:colOff>
      <xdr:row>17</xdr:row>
      <xdr:rowOff>143366</xdr:rowOff>
    </xdr:to>
    <xdr:cxnSp macro="">
      <xdr:nvCxnSpPr>
        <xdr:cNvPr id="1785" name="SCHEMA_T02_COND_0027">
          <a:extLst>
            <a:ext uri="{FF2B5EF4-FFF2-40B4-BE49-F238E27FC236}">
              <a16:creationId xmlns:a16="http://schemas.microsoft.com/office/drawing/2014/main" id="{80CB1F78-5B98-E87A-0BB6-1FD395AB8311}"/>
            </a:ext>
          </a:extLst>
        </xdr:cNvPr>
        <xdr:cNvCxnSpPr/>
      </xdr:nvCxnSpPr>
      <xdr:spPr>
        <a:xfrm flipV="1">
          <a:off x="2784475" y="5147948"/>
          <a:ext cx="222250" cy="3006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35832</xdr:colOff>
      <xdr:row>17</xdr:row>
      <xdr:rowOff>51089</xdr:rowOff>
    </xdr:from>
    <xdr:to>
      <xdr:col>3</xdr:col>
      <xdr:colOff>258082</xdr:colOff>
      <xdr:row>17</xdr:row>
      <xdr:rowOff>190361</xdr:rowOff>
    </xdr:to>
    <xdr:cxnSp macro="">
      <xdr:nvCxnSpPr>
        <xdr:cNvPr id="1786" name="SCHEMA_T02_COND_0028">
          <a:extLst>
            <a:ext uri="{FF2B5EF4-FFF2-40B4-BE49-F238E27FC236}">
              <a16:creationId xmlns:a16="http://schemas.microsoft.com/office/drawing/2014/main" id="{8B0944DB-A37C-ED47-8127-A6CC6112321B}"/>
            </a:ext>
          </a:extLst>
        </xdr:cNvPr>
        <xdr:cNvCxnSpPr/>
      </xdr:nvCxnSpPr>
      <xdr:spPr>
        <a:xfrm>
          <a:off x="2339975" y="5085732"/>
          <a:ext cx="222250" cy="13927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258082</xdr:colOff>
      <xdr:row>17</xdr:row>
      <xdr:rowOff>190361</xdr:rowOff>
    </xdr:from>
    <xdr:to>
      <xdr:col>4</xdr:col>
      <xdr:colOff>144689</xdr:colOff>
      <xdr:row>18</xdr:row>
      <xdr:rowOff>38</xdr:rowOff>
    </xdr:to>
    <xdr:cxnSp macro="">
      <xdr:nvCxnSpPr>
        <xdr:cNvPr id="1787" name="SCHEMA_T02_COND_0029">
          <a:extLst>
            <a:ext uri="{FF2B5EF4-FFF2-40B4-BE49-F238E27FC236}">
              <a16:creationId xmlns:a16="http://schemas.microsoft.com/office/drawing/2014/main" id="{2D5C4148-FAA9-30EE-DB3A-C525A7280D06}"/>
            </a:ext>
          </a:extLst>
        </xdr:cNvPr>
        <xdr:cNvCxnSpPr/>
      </xdr:nvCxnSpPr>
      <xdr:spPr>
        <a:xfrm>
          <a:off x="2562225" y="5225004"/>
          <a:ext cx="222250" cy="5460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144689</xdr:colOff>
      <xdr:row>17</xdr:row>
      <xdr:rowOff>214905</xdr:rowOff>
    </xdr:from>
    <xdr:to>
      <xdr:col>5</xdr:col>
      <xdr:colOff>31296</xdr:colOff>
      <xdr:row>18</xdr:row>
      <xdr:rowOff>38</xdr:rowOff>
    </xdr:to>
    <xdr:cxnSp macro="">
      <xdr:nvCxnSpPr>
        <xdr:cNvPr id="1788" name="SCHEMA_T02_COND_0030">
          <a:extLst>
            <a:ext uri="{FF2B5EF4-FFF2-40B4-BE49-F238E27FC236}">
              <a16:creationId xmlns:a16="http://schemas.microsoft.com/office/drawing/2014/main" id="{6E834148-B524-A9F8-BCAE-D78FCEF76AF2}"/>
            </a:ext>
          </a:extLst>
        </xdr:cNvPr>
        <xdr:cNvCxnSpPr/>
      </xdr:nvCxnSpPr>
      <xdr:spPr>
        <a:xfrm flipV="1">
          <a:off x="2784475" y="5249548"/>
          <a:ext cx="222250" cy="3006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331107</xdr:colOff>
      <xdr:row>25</xdr:row>
      <xdr:rowOff>41729</xdr:rowOff>
    </xdr:from>
    <xdr:to>
      <xdr:col>4</xdr:col>
      <xdr:colOff>71664</xdr:colOff>
      <xdr:row>25</xdr:row>
      <xdr:rowOff>117929</xdr:rowOff>
    </xdr:to>
    <xdr:sp macro="" textlink="">
      <xdr:nvSpPr>
        <xdr:cNvPr id="1789" name="SCHEMA_T02_ATTRAV_02">
          <a:extLst>
            <a:ext uri="{FF2B5EF4-FFF2-40B4-BE49-F238E27FC236}">
              <a16:creationId xmlns:a16="http://schemas.microsoft.com/office/drawing/2014/main" id="{95A8F93B-088F-C5BE-D182-EF554112EFDC}"/>
            </a:ext>
          </a:extLst>
        </xdr:cNvPr>
        <xdr:cNvSpPr/>
      </xdr:nvSpPr>
      <xdr:spPr>
        <a:xfrm>
          <a:off x="2635250" y="7035800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31296</xdr:colOff>
      <xdr:row>15</xdr:row>
      <xdr:rowOff>184062</xdr:rowOff>
    </xdr:from>
    <xdr:to>
      <xdr:col>5</xdr:col>
      <xdr:colOff>253546</xdr:colOff>
      <xdr:row>16</xdr:row>
      <xdr:rowOff>23800</xdr:rowOff>
    </xdr:to>
    <xdr:cxnSp macro="">
      <xdr:nvCxnSpPr>
        <xdr:cNvPr id="1790" name="SCHEMA_T02_COND_0031">
          <a:extLst>
            <a:ext uri="{FF2B5EF4-FFF2-40B4-BE49-F238E27FC236}">
              <a16:creationId xmlns:a16="http://schemas.microsoft.com/office/drawing/2014/main" id="{4965538E-9FEF-8D1C-2554-C1C3C7C7D61C}"/>
            </a:ext>
          </a:extLst>
        </xdr:cNvPr>
        <xdr:cNvCxnSpPr/>
      </xdr:nvCxnSpPr>
      <xdr:spPr>
        <a:xfrm>
          <a:off x="3006725" y="4728848"/>
          <a:ext cx="222250" cy="84666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253546</xdr:colOff>
      <xdr:row>16</xdr:row>
      <xdr:rowOff>23800</xdr:rowOff>
    </xdr:from>
    <xdr:to>
      <xdr:col>6</xdr:col>
      <xdr:colOff>140154</xdr:colOff>
      <xdr:row>16</xdr:row>
      <xdr:rowOff>23800</xdr:rowOff>
    </xdr:to>
    <xdr:cxnSp macro="">
      <xdr:nvCxnSpPr>
        <xdr:cNvPr id="1791" name="SCHEMA_T02_COND_0032">
          <a:extLst>
            <a:ext uri="{FF2B5EF4-FFF2-40B4-BE49-F238E27FC236}">
              <a16:creationId xmlns:a16="http://schemas.microsoft.com/office/drawing/2014/main" id="{15D2BDA7-A7C8-4965-3F7F-E010F774D7D7}"/>
            </a:ext>
          </a:extLst>
        </xdr:cNvPr>
        <xdr:cNvCxnSpPr/>
      </xdr:nvCxnSpPr>
      <xdr:spPr>
        <a:xfrm>
          <a:off x="3228975" y="4813514"/>
          <a:ext cx="222250" cy="0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140154</xdr:colOff>
      <xdr:row>15</xdr:row>
      <xdr:rowOff>184062</xdr:rowOff>
    </xdr:from>
    <xdr:to>
      <xdr:col>7</xdr:col>
      <xdr:colOff>26761</xdr:colOff>
      <xdr:row>16</xdr:row>
      <xdr:rowOff>23800</xdr:rowOff>
    </xdr:to>
    <xdr:cxnSp macro="">
      <xdr:nvCxnSpPr>
        <xdr:cNvPr id="1280" name="SCHEMA_T02_COND_0033">
          <a:extLst>
            <a:ext uri="{FF2B5EF4-FFF2-40B4-BE49-F238E27FC236}">
              <a16:creationId xmlns:a16="http://schemas.microsoft.com/office/drawing/2014/main" id="{B2E7B17D-A422-CF9E-DACA-B0CF80A73C8E}"/>
            </a:ext>
          </a:extLst>
        </xdr:cNvPr>
        <xdr:cNvCxnSpPr/>
      </xdr:nvCxnSpPr>
      <xdr:spPr>
        <a:xfrm flipV="1">
          <a:off x="3451225" y="4728848"/>
          <a:ext cx="222250" cy="84666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31296</xdr:colOff>
      <xdr:row>16</xdr:row>
      <xdr:rowOff>104234</xdr:rowOff>
    </xdr:from>
    <xdr:to>
      <xdr:col>5</xdr:col>
      <xdr:colOff>253546</xdr:colOff>
      <xdr:row>16</xdr:row>
      <xdr:rowOff>188900</xdr:rowOff>
    </xdr:to>
    <xdr:cxnSp macro="">
      <xdr:nvCxnSpPr>
        <xdr:cNvPr id="1281" name="SCHEMA_T02_COND_0034">
          <a:extLst>
            <a:ext uri="{FF2B5EF4-FFF2-40B4-BE49-F238E27FC236}">
              <a16:creationId xmlns:a16="http://schemas.microsoft.com/office/drawing/2014/main" id="{3CDC217A-E6FD-E9D5-C3EE-84F1C4A5D296}"/>
            </a:ext>
          </a:extLst>
        </xdr:cNvPr>
        <xdr:cNvCxnSpPr/>
      </xdr:nvCxnSpPr>
      <xdr:spPr>
        <a:xfrm>
          <a:off x="3006725" y="4893948"/>
          <a:ext cx="222250" cy="8466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253546</xdr:colOff>
      <xdr:row>16</xdr:row>
      <xdr:rowOff>188900</xdr:rowOff>
    </xdr:from>
    <xdr:to>
      <xdr:col>6</xdr:col>
      <xdr:colOff>140154</xdr:colOff>
      <xdr:row>16</xdr:row>
      <xdr:rowOff>188900</xdr:rowOff>
    </xdr:to>
    <xdr:cxnSp macro="">
      <xdr:nvCxnSpPr>
        <xdr:cNvPr id="1282" name="SCHEMA_T02_COND_0035">
          <a:extLst>
            <a:ext uri="{FF2B5EF4-FFF2-40B4-BE49-F238E27FC236}">
              <a16:creationId xmlns:a16="http://schemas.microsoft.com/office/drawing/2014/main" id="{E5AC02A2-CAE4-D7FE-091A-BB90A44DDFCF}"/>
            </a:ext>
          </a:extLst>
        </xdr:cNvPr>
        <xdr:cNvCxnSpPr/>
      </xdr:nvCxnSpPr>
      <xdr:spPr>
        <a:xfrm>
          <a:off x="3228975" y="4978614"/>
          <a:ext cx="222250" cy="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140154</xdr:colOff>
      <xdr:row>16</xdr:row>
      <xdr:rowOff>104234</xdr:rowOff>
    </xdr:from>
    <xdr:to>
      <xdr:col>7</xdr:col>
      <xdr:colOff>26761</xdr:colOff>
      <xdr:row>16</xdr:row>
      <xdr:rowOff>188900</xdr:rowOff>
    </xdr:to>
    <xdr:cxnSp macro="">
      <xdr:nvCxnSpPr>
        <xdr:cNvPr id="1283" name="SCHEMA_T02_COND_0036">
          <a:extLst>
            <a:ext uri="{FF2B5EF4-FFF2-40B4-BE49-F238E27FC236}">
              <a16:creationId xmlns:a16="http://schemas.microsoft.com/office/drawing/2014/main" id="{E4220184-941D-E93D-7ADF-4C340E43C970}"/>
            </a:ext>
          </a:extLst>
        </xdr:cNvPr>
        <xdr:cNvCxnSpPr/>
      </xdr:nvCxnSpPr>
      <xdr:spPr>
        <a:xfrm flipV="1">
          <a:off x="3451225" y="4893948"/>
          <a:ext cx="222250" cy="8466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31296</xdr:colOff>
      <xdr:row>16</xdr:row>
      <xdr:rowOff>205834</xdr:rowOff>
    </xdr:from>
    <xdr:to>
      <xdr:col>5</xdr:col>
      <xdr:colOff>253546</xdr:colOff>
      <xdr:row>17</xdr:row>
      <xdr:rowOff>45571</xdr:rowOff>
    </xdr:to>
    <xdr:cxnSp macro="">
      <xdr:nvCxnSpPr>
        <xdr:cNvPr id="1284" name="SCHEMA_T02_COND_0037">
          <a:extLst>
            <a:ext uri="{FF2B5EF4-FFF2-40B4-BE49-F238E27FC236}">
              <a16:creationId xmlns:a16="http://schemas.microsoft.com/office/drawing/2014/main" id="{D9130D22-7C9A-1A9C-8C45-6A0F18C35E8A}"/>
            </a:ext>
          </a:extLst>
        </xdr:cNvPr>
        <xdr:cNvCxnSpPr/>
      </xdr:nvCxnSpPr>
      <xdr:spPr>
        <a:xfrm>
          <a:off x="3006725" y="4995548"/>
          <a:ext cx="222250" cy="8466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253546</xdr:colOff>
      <xdr:row>17</xdr:row>
      <xdr:rowOff>45571</xdr:rowOff>
    </xdr:from>
    <xdr:to>
      <xdr:col>6</xdr:col>
      <xdr:colOff>140154</xdr:colOff>
      <xdr:row>17</xdr:row>
      <xdr:rowOff>45571</xdr:rowOff>
    </xdr:to>
    <xdr:cxnSp macro="">
      <xdr:nvCxnSpPr>
        <xdr:cNvPr id="1285" name="SCHEMA_T02_COND_0038">
          <a:extLst>
            <a:ext uri="{FF2B5EF4-FFF2-40B4-BE49-F238E27FC236}">
              <a16:creationId xmlns:a16="http://schemas.microsoft.com/office/drawing/2014/main" id="{CD5BABC7-5FE7-30E9-2EF0-4A2D8ABC40CC}"/>
            </a:ext>
          </a:extLst>
        </xdr:cNvPr>
        <xdr:cNvCxnSpPr/>
      </xdr:nvCxnSpPr>
      <xdr:spPr>
        <a:xfrm>
          <a:off x="3228975" y="5080214"/>
          <a:ext cx="222250" cy="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140154</xdr:colOff>
      <xdr:row>16</xdr:row>
      <xdr:rowOff>205834</xdr:rowOff>
    </xdr:from>
    <xdr:to>
      <xdr:col>7</xdr:col>
      <xdr:colOff>26761</xdr:colOff>
      <xdr:row>17</xdr:row>
      <xdr:rowOff>45571</xdr:rowOff>
    </xdr:to>
    <xdr:cxnSp macro="">
      <xdr:nvCxnSpPr>
        <xdr:cNvPr id="1286" name="SCHEMA_T02_COND_0039">
          <a:extLst>
            <a:ext uri="{FF2B5EF4-FFF2-40B4-BE49-F238E27FC236}">
              <a16:creationId xmlns:a16="http://schemas.microsoft.com/office/drawing/2014/main" id="{DD644346-232D-FA08-6CC7-2AA915DD9C9C}"/>
            </a:ext>
          </a:extLst>
        </xdr:cNvPr>
        <xdr:cNvCxnSpPr/>
      </xdr:nvCxnSpPr>
      <xdr:spPr>
        <a:xfrm flipV="1">
          <a:off x="3451225" y="4995548"/>
          <a:ext cx="222250" cy="8466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31296</xdr:colOff>
      <xdr:row>17</xdr:row>
      <xdr:rowOff>113305</xdr:rowOff>
    </xdr:from>
    <xdr:to>
      <xdr:col>5</xdr:col>
      <xdr:colOff>253546</xdr:colOff>
      <xdr:row>17</xdr:row>
      <xdr:rowOff>197971</xdr:rowOff>
    </xdr:to>
    <xdr:cxnSp macro="">
      <xdr:nvCxnSpPr>
        <xdr:cNvPr id="1287" name="SCHEMA_T02_COND_0040">
          <a:extLst>
            <a:ext uri="{FF2B5EF4-FFF2-40B4-BE49-F238E27FC236}">
              <a16:creationId xmlns:a16="http://schemas.microsoft.com/office/drawing/2014/main" id="{EDFAC702-E545-AFDD-96A6-21366E6F1D6F}"/>
            </a:ext>
          </a:extLst>
        </xdr:cNvPr>
        <xdr:cNvCxnSpPr/>
      </xdr:nvCxnSpPr>
      <xdr:spPr>
        <a:xfrm>
          <a:off x="3006725" y="5147948"/>
          <a:ext cx="222250" cy="8466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253546</xdr:colOff>
      <xdr:row>17</xdr:row>
      <xdr:rowOff>197971</xdr:rowOff>
    </xdr:from>
    <xdr:to>
      <xdr:col>6</xdr:col>
      <xdr:colOff>140154</xdr:colOff>
      <xdr:row>17</xdr:row>
      <xdr:rowOff>197971</xdr:rowOff>
    </xdr:to>
    <xdr:cxnSp macro="">
      <xdr:nvCxnSpPr>
        <xdr:cNvPr id="1288" name="SCHEMA_T02_COND_0041">
          <a:extLst>
            <a:ext uri="{FF2B5EF4-FFF2-40B4-BE49-F238E27FC236}">
              <a16:creationId xmlns:a16="http://schemas.microsoft.com/office/drawing/2014/main" id="{74C8B908-B1A5-77BB-F2CB-EF6FFD18AB54}"/>
            </a:ext>
          </a:extLst>
        </xdr:cNvPr>
        <xdr:cNvCxnSpPr/>
      </xdr:nvCxnSpPr>
      <xdr:spPr>
        <a:xfrm>
          <a:off x="3228975" y="5232614"/>
          <a:ext cx="222250" cy="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140154</xdr:colOff>
      <xdr:row>17</xdr:row>
      <xdr:rowOff>113305</xdr:rowOff>
    </xdr:from>
    <xdr:to>
      <xdr:col>7</xdr:col>
      <xdr:colOff>26761</xdr:colOff>
      <xdr:row>17</xdr:row>
      <xdr:rowOff>197971</xdr:rowOff>
    </xdr:to>
    <xdr:cxnSp macro="">
      <xdr:nvCxnSpPr>
        <xdr:cNvPr id="1289" name="SCHEMA_T02_COND_0042">
          <a:extLst>
            <a:ext uri="{FF2B5EF4-FFF2-40B4-BE49-F238E27FC236}">
              <a16:creationId xmlns:a16="http://schemas.microsoft.com/office/drawing/2014/main" id="{170F6C4D-CDD6-BCE2-8DC8-69A8AFBAF234}"/>
            </a:ext>
          </a:extLst>
        </xdr:cNvPr>
        <xdr:cNvCxnSpPr/>
      </xdr:nvCxnSpPr>
      <xdr:spPr>
        <a:xfrm flipV="1">
          <a:off x="3451225" y="5147948"/>
          <a:ext cx="222250" cy="8466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31296</xdr:colOff>
      <xdr:row>17</xdr:row>
      <xdr:rowOff>214905</xdr:rowOff>
    </xdr:from>
    <xdr:to>
      <xdr:col>5</xdr:col>
      <xdr:colOff>253546</xdr:colOff>
      <xdr:row>18</xdr:row>
      <xdr:rowOff>54643</xdr:rowOff>
    </xdr:to>
    <xdr:cxnSp macro="">
      <xdr:nvCxnSpPr>
        <xdr:cNvPr id="1290" name="SCHEMA_T02_COND_0043">
          <a:extLst>
            <a:ext uri="{FF2B5EF4-FFF2-40B4-BE49-F238E27FC236}">
              <a16:creationId xmlns:a16="http://schemas.microsoft.com/office/drawing/2014/main" id="{0B7EE677-7733-4203-9743-B32D64CEEC59}"/>
            </a:ext>
          </a:extLst>
        </xdr:cNvPr>
        <xdr:cNvCxnSpPr/>
      </xdr:nvCxnSpPr>
      <xdr:spPr>
        <a:xfrm>
          <a:off x="3006725" y="5249548"/>
          <a:ext cx="222250" cy="8466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253546</xdr:colOff>
      <xdr:row>18</xdr:row>
      <xdr:rowOff>54643</xdr:rowOff>
    </xdr:from>
    <xdr:to>
      <xdr:col>6</xdr:col>
      <xdr:colOff>140154</xdr:colOff>
      <xdr:row>18</xdr:row>
      <xdr:rowOff>54643</xdr:rowOff>
    </xdr:to>
    <xdr:cxnSp macro="">
      <xdr:nvCxnSpPr>
        <xdr:cNvPr id="1291" name="SCHEMA_T02_COND_0044">
          <a:extLst>
            <a:ext uri="{FF2B5EF4-FFF2-40B4-BE49-F238E27FC236}">
              <a16:creationId xmlns:a16="http://schemas.microsoft.com/office/drawing/2014/main" id="{F2BD1D77-8141-A8D8-1B6A-3792FFBE9F83}"/>
            </a:ext>
          </a:extLst>
        </xdr:cNvPr>
        <xdr:cNvCxnSpPr/>
      </xdr:nvCxnSpPr>
      <xdr:spPr>
        <a:xfrm>
          <a:off x="3228975" y="5334214"/>
          <a:ext cx="222250" cy="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140154</xdr:colOff>
      <xdr:row>17</xdr:row>
      <xdr:rowOff>214905</xdr:rowOff>
    </xdr:from>
    <xdr:to>
      <xdr:col>7</xdr:col>
      <xdr:colOff>26761</xdr:colOff>
      <xdr:row>18</xdr:row>
      <xdr:rowOff>54643</xdr:rowOff>
    </xdr:to>
    <xdr:cxnSp macro="">
      <xdr:nvCxnSpPr>
        <xdr:cNvPr id="1292" name="SCHEMA_T02_COND_0045">
          <a:extLst>
            <a:ext uri="{FF2B5EF4-FFF2-40B4-BE49-F238E27FC236}">
              <a16:creationId xmlns:a16="http://schemas.microsoft.com/office/drawing/2014/main" id="{89A354F4-4FF4-E633-D0D4-652278FAF3FA}"/>
            </a:ext>
          </a:extLst>
        </xdr:cNvPr>
        <xdr:cNvCxnSpPr/>
      </xdr:nvCxnSpPr>
      <xdr:spPr>
        <a:xfrm flipV="1">
          <a:off x="3451225" y="5249548"/>
          <a:ext cx="222250" cy="8466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26761</xdr:colOff>
      <xdr:row>15</xdr:row>
      <xdr:rowOff>184062</xdr:rowOff>
    </xdr:from>
    <xdr:to>
      <xdr:col>7</xdr:col>
      <xdr:colOff>249011</xdr:colOff>
      <xdr:row>16</xdr:row>
      <xdr:rowOff>25621</xdr:rowOff>
    </xdr:to>
    <xdr:cxnSp macro="">
      <xdr:nvCxnSpPr>
        <xdr:cNvPr id="1293" name="SCHEMA_T02_COND_0046">
          <a:extLst>
            <a:ext uri="{FF2B5EF4-FFF2-40B4-BE49-F238E27FC236}">
              <a16:creationId xmlns:a16="http://schemas.microsoft.com/office/drawing/2014/main" id="{2E61934B-80EA-DB02-DB41-A94BC0687EFA}"/>
            </a:ext>
          </a:extLst>
        </xdr:cNvPr>
        <xdr:cNvCxnSpPr/>
      </xdr:nvCxnSpPr>
      <xdr:spPr>
        <a:xfrm>
          <a:off x="3673475" y="4728848"/>
          <a:ext cx="222250" cy="86487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249011</xdr:colOff>
      <xdr:row>16</xdr:row>
      <xdr:rowOff>25621</xdr:rowOff>
    </xdr:from>
    <xdr:to>
      <xdr:col>8</xdr:col>
      <xdr:colOff>135618</xdr:colOff>
      <xdr:row>16</xdr:row>
      <xdr:rowOff>27441</xdr:rowOff>
    </xdr:to>
    <xdr:cxnSp macro="">
      <xdr:nvCxnSpPr>
        <xdr:cNvPr id="1294" name="SCHEMA_T02_COND_0047">
          <a:extLst>
            <a:ext uri="{FF2B5EF4-FFF2-40B4-BE49-F238E27FC236}">
              <a16:creationId xmlns:a16="http://schemas.microsoft.com/office/drawing/2014/main" id="{75FC97B3-7000-7E53-3E0A-EF90735271C3}"/>
            </a:ext>
          </a:extLst>
        </xdr:cNvPr>
        <xdr:cNvCxnSpPr/>
      </xdr:nvCxnSpPr>
      <xdr:spPr>
        <a:xfrm>
          <a:off x="3895725" y="4815335"/>
          <a:ext cx="222250" cy="1820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135618</xdr:colOff>
      <xdr:row>15</xdr:row>
      <xdr:rowOff>189522</xdr:rowOff>
    </xdr:from>
    <xdr:to>
      <xdr:col>9</xdr:col>
      <xdr:colOff>22225</xdr:colOff>
      <xdr:row>16</xdr:row>
      <xdr:rowOff>27441</xdr:rowOff>
    </xdr:to>
    <xdr:cxnSp macro="">
      <xdr:nvCxnSpPr>
        <xdr:cNvPr id="1295" name="SCHEMA_T02_COND_0048">
          <a:extLst>
            <a:ext uri="{FF2B5EF4-FFF2-40B4-BE49-F238E27FC236}">
              <a16:creationId xmlns:a16="http://schemas.microsoft.com/office/drawing/2014/main" id="{F7930E3E-3389-E443-D63B-E3A9EF6229E4}"/>
            </a:ext>
          </a:extLst>
        </xdr:cNvPr>
        <xdr:cNvCxnSpPr/>
      </xdr:nvCxnSpPr>
      <xdr:spPr>
        <a:xfrm flipV="1">
          <a:off x="4117975" y="4734308"/>
          <a:ext cx="222250" cy="82847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26761</xdr:colOff>
      <xdr:row>16</xdr:row>
      <xdr:rowOff>104234</xdr:rowOff>
    </xdr:from>
    <xdr:to>
      <xdr:col>7</xdr:col>
      <xdr:colOff>249011</xdr:colOff>
      <xdr:row>16</xdr:row>
      <xdr:rowOff>190721</xdr:rowOff>
    </xdr:to>
    <xdr:cxnSp macro="">
      <xdr:nvCxnSpPr>
        <xdr:cNvPr id="1296" name="SCHEMA_T02_COND_0049">
          <a:extLst>
            <a:ext uri="{FF2B5EF4-FFF2-40B4-BE49-F238E27FC236}">
              <a16:creationId xmlns:a16="http://schemas.microsoft.com/office/drawing/2014/main" id="{B0FC05B0-F964-E3AF-A473-A55C30F5AAB6}"/>
            </a:ext>
          </a:extLst>
        </xdr:cNvPr>
        <xdr:cNvCxnSpPr/>
      </xdr:nvCxnSpPr>
      <xdr:spPr>
        <a:xfrm>
          <a:off x="3673475" y="4893948"/>
          <a:ext cx="222250" cy="8648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249011</xdr:colOff>
      <xdr:row>16</xdr:row>
      <xdr:rowOff>190721</xdr:rowOff>
    </xdr:from>
    <xdr:to>
      <xdr:col>8</xdr:col>
      <xdr:colOff>135618</xdr:colOff>
      <xdr:row>16</xdr:row>
      <xdr:rowOff>192541</xdr:rowOff>
    </xdr:to>
    <xdr:cxnSp macro="">
      <xdr:nvCxnSpPr>
        <xdr:cNvPr id="1297" name="SCHEMA_T02_COND_0050">
          <a:extLst>
            <a:ext uri="{FF2B5EF4-FFF2-40B4-BE49-F238E27FC236}">
              <a16:creationId xmlns:a16="http://schemas.microsoft.com/office/drawing/2014/main" id="{74C2910F-B5FB-1BB5-DA78-8ECA2020FEA2}"/>
            </a:ext>
          </a:extLst>
        </xdr:cNvPr>
        <xdr:cNvCxnSpPr/>
      </xdr:nvCxnSpPr>
      <xdr:spPr>
        <a:xfrm>
          <a:off x="3895725" y="4980435"/>
          <a:ext cx="222250" cy="182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135618</xdr:colOff>
      <xdr:row>16</xdr:row>
      <xdr:rowOff>109694</xdr:rowOff>
    </xdr:from>
    <xdr:to>
      <xdr:col>9</xdr:col>
      <xdr:colOff>22225</xdr:colOff>
      <xdr:row>16</xdr:row>
      <xdr:rowOff>192541</xdr:rowOff>
    </xdr:to>
    <xdr:cxnSp macro="">
      <xdr:nvCxnSpPr>
        <xdr:cNvPr id="1298" name="SCHEMA_T02_COND_0051">
          <a:extLst>
            <a:ext uri="{FF2B5EF4-FFF2-40B4-BE49-F238E27FC236}">
              <a16:creationId xmlns:a16="http://schemas.microsoft.com/office/drawing/2014/main" id="{8EA70E24-CC2C-8220-B232-08E1B27879C2}"/>
            </a:ext>
          </a:extLst>
        </xdr:cNvPr>
        <xdr:cNvCxnSpPr/>
      </xdr:nvCxnSpPr>
      <xdr:spPr>
        <a:xfrm flipV="1">
          <a:off x="4117975" y="4899408"/>
          <a:ext cx="222250" cy="8284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26761</xdr:colOff>
      <xdr:row>16</xdr:row>
      <xdr:rowOff>205834</xdr:rowOff>
    </xdr:from>
    <xdr:to>
      <xdr:col>7</xdr:col>
      <xdr:colOff>249011</xdr:colOff>
      <xdr:row>17</xdr:row>
      <xdr:rowOff>47392</xdr:rowOff>
    </xdr:to>
    <xdr:cxnSp macro="">
      <xdr:nvCxnSpPr>
        <xdr:cNvPr id="1299" name="SCHEMA_T02_COND_0052">
          <a:extLst>
            <a:ext uri="{FF2B5EF4-FFF2-40B4-BE49-F238E27FC236}">
              <a16:creationId xmlns:a16="http://schemas.microsoft.com/office/drawing/2014/main" id="{7178778F-D2EE-A8A2-F9CC-087282FBA6E1}"/>
            </a:ext>
          </a:extLst>
        </xdr:cNvPr>
        <xdr:cNvCxnSpPr/>
      </xdr:nvCxnSpPr>
      <xdr:spPr>
        <a:xfrm>
          <a:off x="3673475" y="4995548"/>
          <a:ext cx="222250" cy="8648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249011</xdr:colOff>
      <xdr:row>17</xdr:row>
      <xdr:rowOff>47392</xdr:rowOff>
    </xdr:from>
    <xdr:to>
      <xdr:col>8</xdr:col>
      <xdr:colOff>135618</xdr:colOff>
      <xdr:row>17</xdr:row>
      <xdr:rowOff>49212</xdr:rowOff>
    </xdr:to>
    <xdr:cxnSp macro="">
      <xdr:nvCxnSpPr>
        <xdr:cNvPr id="1300" name="SCHEMA_T02_COND_0053">
          <a:extLst>
            <a:ext uri="{FF2B5EF4-FFF2-40B4-BE49-F238E27FC236}">
              <a16:creationId xmlns:a16="http://schemas.microsoft.com/office/drawing/2014/main" id="{BE70B804-2189-CCD4-4210-C5791885C09A}"/>
            </a:ext>
          </a:extLst>
        </xdr:cNvPr>
        <xdr:cNvCxnSpPr/>
      </xdr:nvCxnSpPr>
      <xdr:spPr>
        <a:xfrm>
          <a:off x="3895725" y="5082035"/>
          <a:ext cx="222250" cy="182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135618</xdr:colOff>
      <xdr:row>16</xdr:row>
      <xdr:rowOff>211294</xdr:rowOff>
    </xdr:from>
    <xdr:to>
      <xdr:col>9</xdr:col>
      <xdr:colOff>22225</xdr:colOff>
      <xdr:row>17</xdr:row>
      <xdr:rowOff>49212</xdr:rowOff>
    </xdr:to>
    <xdr:cxnSp macro="">
      <xdr:nvCxnSpPr>
        <xdr:cNvPr id="1301" name="SCHEMA_T02_COND_0054">
          <a:extLst>
            <a:ext uri="{FF2B5EF4-FFF2-40B4-BE49-F238E27FC236}">
              <a16:creationId xmlns:a16="http://schemas.microsoft.com/office/drawing/2014/main" id="{39619814-C430-A067-9DCE-7DC81AD016C6}"/>
            </a:ext>
          </a:extLst>
        </xdr:cNvPr>
        <xdr:cNvCxnSpPr/>
      </xdr:nvCxnSpPr>
      <xdr:spPr>
        <a:xfrm flipV="1">
          <a:off x="4117975" y="5001008"/>
          <a:ext cx="222250" cy="8284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26761</xdr:colOff>
      <xdr:row>17</xdr:row>
      <xdr:rowOff>113305</xdr:rowOff>
    </xdr:from>
    <xdr:to>
      <xdr:col>7</xdr:col>
      <xdr:colOff>249011</xdr:colOff>
      <xdr:row>17</xdr:row>
      <xdr:rowOff>199792</xdr:rowOff>
    </xdr:to>
    <xdr:cxnSp macro="">
      <xdr:nvCxnSpPr>
        <xdr:cNvPr id="1302" name="SCHEMA_T02_COND_0055">
          <a:extLst>
            <a:ext uri="{FF2B5EF4-FFF2-40B4-BE49-F238E27FC236}">
              <a16:creationId xmlns:a16="http://schemas.microsoft.com/office/drawing/2014/main" id="{1DF74BA8-1506-5174-DFA8-6CEC118D308A}"/>
            </a:ext>
          </a:extLst>
        </xdr:cNvPr>
        <xdr:cNvCxnSpPr/>
      </xdr:nvCxnSpPr>
      <xdr:spPr>
        <a:xfrm>
          <a:off x="3673475" y="5147948"/>
          <a:ext cx="222250" cy="8648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249011</xdr:colOff>
      <xdr:row>17</xdr:row>
      <xdr:rowOff>199792</xdr:rowOff>
    </xdr:from>
    <xdr:to>
      <xdr:col>8</xdr:col>
      <xdr:colOff>135618</xdr:colOff>
      <xdr:row>17</xdr:row>
      <xdr:rowOff>201612</xdr:rowOff>
    </xdr:to>
    <xdr:cxnSp macro="">
      <xdr:nvCxnSpPr>
        <xdr:cNvPr id="1303" name="SCHEMA_T02_COND_0056">
          <a:extLst>
            <a:ext uri="{FF2B5EF4-FFF2-40B4-BE49-F238E27FC236}">
              <a16:creationId xmlns:a16="http://schemas.microsoft.com/office/drawing/2014/main" id="{776BBB05-85F6-5CC7-A7FF-8D01282BD766}"/>
            </a:ext>
          </a:extLst>
        </xdr:cNvPr>
        <xdr:cNvCxnSpPr/>
      </xdr:nvCxnSpPr>
      <xdr:spPr>
        <a:xfrm>
          <a:off x="3895725" y="5234435"/>
          <a:ext cx="222250" cy="182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135618</xdr:colOff>
      <xdr:row>17</xdr:row>
      <xdr:rowOff>118765</xdr:rowOff>
    </xdr:from>
    <xdr:to>
      <xdr:col>9</xdr:col>
      <xdr:colOff>22225</xdr:colOff>
      <xdr:row>17</xdr:row>
      <xdr:rowOff>201612</xdr:rowOff>
    </xdr:to>
    <xdr:cxnSp macro="">
      <xdr:nvCxnSpPr>
        <xdr:cNvPr id="1304" name="SCHEMA_T02_COND_0057">
          <a:extLst>
            <a:ext uri="{FF2B5EF4-FFF2-40B4-BE49-F238E27FC236}">
              <a16:creationId xmlns:a16="http://schemas.microsoft.com/office/drawing/2014/main" id="{7DB43A14-0E7F-AC5B-C14E-2B116759B135}"/>
            </a:ext>
          </a:extLst>
        </xdr:cNvPr>
        <xdr:cNvCxnSpPr/>
      </xdr:nvCxnSpPr>
      <xdr:spPr>
        <a:xfrm flipV="1">
          <a:off x="4117975" y="5153408"/>
          <a:ext cx="222250" cy="8284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26761</xdr:colOff>
      <xdr:row>17</xdr:row>
      <xdr:rowOff>214905</xdr:rowOff>
    </xdr:from>
    <xdr:to>
      <xdr:col>7</xdr:col>
      <xdr:colOff>249011</xdr:colOff>
      <xdr:row>18</xdr:row>
      <xdr:rowOff>56464</xdr:rowOff>
    </xdr:to>
    <xdr:cxnSp macro="">
      <xdr:nvCxnSpPr>
        <xdr:cNvPr id="1305" name="SCHEMA_T02_COND_0058">
          <a:extLst>
            <a:ext uri="{FF2B5EF4-FFF2-40B4-BE49-F238E27FC236}">
              <a16:creationId xmlns:a16="http://schemas.microsoft.com/office/drawing/2014/main" id="{B55CE07F-D808-3F77-D889-E9B411D010A1}"/>
            </a:ext>
          </a:extLst>
        </xdr:cNvPr>
        <xdr:cNvCxnSpPr/>
      </xdr:nvCxnSpPr>
      <xdr:spPr>
        <a:xfrm>
          <a:off x="3673475" y="5249548"/>
          <a:ext cx="222250" cy="8648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249011</xdr:colOff>
      <xdr:row>18</xdr:row>
      <xdr:rowOff>56464</xdr:rowOff>
    </xdr:from>
    <xdr:to>
      <xdr:col>8</xdr:col>
      <xdr:colOff>135618</xdr:colOff>
      <xdr:row>18</xdr:row>
      <xdr:rowOff>58284</xdr:rowOff>
    </xdr:to>
    <xdr:cxnSp macro="">
      <xdr:nvCxnSpPr>
        <xdr:cNvPr id="1306" name="SCHEMA_T02_COND_0059">
          <a:extLst>
            <a:ext uri="{FF2B5EF4-FFF2-40B4-BE49-F238E27FC236}">
              <a16:creationId xmlns:a16="http://schemas.microsoft.com/office/drawing/2014/main" id="{373F3EC4-8B05-45A2-4EB5-377C199A18AB}"/>
            </a:ext>
          </a:extLst>
        </xdr:cNvPr>
        <xdr:cNvCxnSpPr/>
      </xdr:nvCxnSpPr>
      <xdr:spPr>
        <a:xfrm>
          <a:off x="3895725" y="5336035"/>
          <a:ext cx="222250" cy="182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135618</xdr:colOff>
      <xdr:row>17</xdr:row>
      <xdr:rowOff>220365</xdr:rowOff>
    </xdr:from>
    <xdr:to>
      <xdr:col>9</xdr:col>
      <xdr:colOff>22225</xdr:colOff>
      <xdr:row>18</xdr:row>
      <xdr:rowOff>58284</xdr:rowOff>
    </xdr:to>
    <xdr:cxnSp macro="">
      <xdr:nvCxnSpPr>
        <xdr:cNvPr id="1307" name="SCHEMA_T02_COND_0060">
          <a:extLst>
            <a:ext uri="{FF2B5EF4-FFF2-40B4-BE49-F238E27FC236}">
              <a16:creationId xmlns:a16="http://schemas.microsoft.com/office/drawing/2014/main" id="{859980F2-CCA6-C4BD-9145-02452756BD49}"/>
            </a:ext>
          </a:extLst>
        </xdr:cNvPr>
        <xdr:cNvCxnSpPr/>
      </xdr:nvCxnSpPr>
      <xdr:spPr>
        <a:xfrm flipV="1">
          <a:off x="4117975" y="5255008"/>
          <a:ext cx="222250" cy="8284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22225</xdr:colOff>
      <xdr:row>15</xdr:row>
      <xdr:rowOff>189522</xdr:rowOff>
    </xdr:from>
    <xdr:to>
      <xdr:col>9</xdr:col>
      <xdr:colOff>244475</xdr:colOff>
      <xdr:row>16</xdr:row>
      <xdr:rowOff>27441</xdr:rowOff>
    </xdr:to>
    <xdr:cxnSp macro="">
      <xdr:nvCxnSpPr>
        <xdr:cNvPr id="1308" name="SCHEMA_T02_COND_0061">
          <a:extLst>
            <a:ext uri="{FF2B5EF4-FFF2-40B4-BE49-F238E27FC236}">
              <a16:creationId xmlns:a16="http://schemas.microsoft.com/office/drawing/2014/main" id="{1C2D1366-EF7A-B34C-FB88-EE63FF79F2B2}"/>
            </a:ext>
          </a:extLst>
        </xdr:cNvPr>
        <xdr:cNvCxnSpPr/>
      </xdr:nvCxnSpPr>
      <xdr:spPr>
        <a:xfrm>
          <a:off x="4340225" y="4734308"/>
          <a:ext cx="222250" cy="82847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244475</xdr:colOff>
      <xdr:row>16</xdr:row>
      <xdr:rowOff>25621</xdr:rowOff>
    </xdr:from>
    <xdr:to>
      <xdr:col>10</xdr:col>
      <xdr:colOff>131082</xdr:colOff>
      <xdr:row>16</xdr:row>
      <xdr:rowOff>27441</xdr:rowOff>
    </xdr:to>
    <xdr:cxnSp macro="">
      <xdr:nvCxnSpPr>
        <xdr:cNvPr id="1309" name="SCHEMA_T02_COND_0062">
          <a:extLst>
            <a:ext uri="{FF2B5EF4-FFF2-40B4-BE49-F238E27FC236}">
              <a16:creationId xmlns:a16="http://schemas.microsoft.com/office/drawing/2014/main" id="{D71EF892-6C0C-473A-2363-C5DBAF22A036}"/>
            </a:ext>
          </a:extLst>
        </xdr:cNvPr>
        <xdr:cNvCxnSpPr/>
      </xdr:nvCxnSpPr>
      <xdr:spPr>
        <a:xfrm flipV="1">
          <a:off x="4562475" y="4815335"/>
          <a:ext cx="222250" cy="1820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131082</xdr:colOff>
      <xdr:row>15</xdr:row>
      <xdr:rowOff>184062</xdr:rowOff>
    </xdr:from>
    <xdr:to>
      <xdr:col>11</xdr:col>
      <xdr:colOff>17689</xdr:colOff>
      <xdr:row>16</xdr:row>
      <xdr:rowOff>25621</xdr:rowOff>
    </xdr:to>
    <xdr:cxnSp macro="">
      <xdr:nvCxnSpPr>
        <xdr:cNvPr id="1310" name="SCHEMA_T02_COND_0063">
          <a:extLst>
            <a:ext uri="{FF2B5EF4-FFF2-40B4-BE49-F238E27FC236}">
              <a16:creationId xmlns:a16="http://schemas.microsoft.com/office/drawing/2014/main" id="{7C6C27DA-E018-F1BD-046B-85B4A48D0AEA}"/>
            </a:ext>
          </a:extLst>
        </xdr:cNvPr>
        <xdr:cNvCxnSpPr/>
      </xdr:nvCxnSpPr>
      <xdr:spPr>
        <a:xfrm flipV="1">
          <a:off x="4784725" y="4728848"/>
          <a:ext cx="222250" cy="86487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22225</xdr:colOff>
      <xdr:row>16</xdr:row>
      <xdr:rowOff>109694</xdr:rowOff>
    </xdr:from>
    <xdr:to>
      <xdr:col>9</xdr:col>
      <xdr:colOff>244475</xdr:colOff>
      <xdr:row>16</xdr:row>
      <xdr:rowOff>192541</xdr:rowOff>
    </xdr:to>
    <xdr:cxnSp macro="">
      <xdr:nvCxnSpPr>
        <xdr:cNvPr id="1311" name="SCHEMA_T02_COND_0064">
          <a:extLst>
            <a:ext uri="{FF2B5EF4-FFF2-40B4-BE49-F238E27FC236}">
              <a16:creationId xmlns:a16="http://schemas.microsoft.com/office/drawing/2014/main" id="{F953E7AD-09AB-5276-2902-BE8F65B4F89D}"/>
            </a:ext>
          </a:extLst>
        </xdr:cNvPr>
        <xdr:cNvCxnSpPr/>
      </xdr:nvCxnSpPr>
      <xdr:spPr>
        <a:xfrm>
          <a:off x="4340225" y="4899408"/>
          <a:ext cx="222250" cy="8284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244475</xdr:colOff>
      <xdr:row>16</xdr:row>
      <xdr:rowOff>190721</xdr:rowOff>
    </xdr:from>
    <xdr:to>
      <xdr:col>10</xdr:col>
      <xdr:colOff>131082</xdr:colOff>
      <xdr:row>16</xdr:row>
      <xdr:rowOff>192541</xdr:rowOff>
    </xdr:to>
    <xdr:cxnSp macro="">
      <xdr:nvCxnSpPr>
        <xdr:cNvPr id="1312" name="SCHEMA_T02_COND_0065">
          <a:extLst>
            <a:ext uri="{FF2B5EF4-FFF2-40B4-BE49-F238E27FC236}">
              <a16:creationId xmlns:a16="http://schemas.microsoft.com/office/drawing/2014/main" id="{23583457-DE36-11CE-B333-C9B4A9D3C902}"/>
            </a:ext>
          </a:extLst>
        </xdr:cNvPr>
        <xdr:cNvCxnSpPr/>
      </xdr:nvCxnSpPr>
      <xdr:spPr>
        <a:xfrm flipV="1">
          <a:off x="4562475" y="4980435"/>
          <a:ext cx="222250" cy="182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131082</xdr:colOff>
      <xdr:row>16</xdr:row>
      <xdr:rowOff>104234</xdr:rowOff>
    </xdr:from>
    <xdr:to>
      <xdr:col>11</xdr:col>
      <xdr:colOff>17689</xdr:colOff>
      <xdr:row>16</xdr:row>
      <xdr:rowOff>190721</xdr:rowOff>
    </xdr:to>
    <xdr:cxnSp macro="">
      <xdr:nvCxnSpPr>
        <xdr:cNvPr id="1313" name="SCHEMA_T02_COND_0066">
          <a:extLst>
            <a:ext uri="{FF2B5EF4-FFF2-40B4-BE49-F238E27FC236}">
              <a16:creationId xmlns:a16="http://schemas.microsoft.com/office/drawing/2014/main" id="{B24277DE-0E4C-ECFF-C92B-C1E080F2B561}"/>
            </a:ext>
          </a:extLst>
        </xdr:cNvPr>
        <xdr:cNvCxnSpPr/>
      </xdr:nvCxnSpPr>
      <xdr:spPr>
        <a:xfrm flipV="1">
          <a:off x="4784725" y="4893948"/>
          <a:ext cx="222250" cy="8648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22225</xdr:colOff>
      <xdr:row>16</xdr:row>
      <xdr:rowOff>211294</xdr:rowOff>
    </xdr:from>
    <xdr:to>
      <xdr:col>9</xdr:col>
      <xdr:colOff>244475</xdr:colOff>
      <xdr:row>17</xdr:row>
      <xdr:rowOff>49212</xdr:rowOff>
    </xdr:to>
    <xdr:cxnSp macro="">
      <xdr:nvCxnSpPr>
        <xdr:cNvPr id="1314" name="SCHEMA_T02_COND_0067">
          <a:extLst>
            <a:ext uri="{FF2B5EF4-FFF2-40B4-BE49-F238E27FC236}">
              <a16:creationId xmlns:a16="http://schemas.microsoft.com/office/drawing/2014/main" id="{E71BF05F-87E8-57D0-3D57-7F458874A882}"/>
            </a:ext>
          </a:extLst>
        </xdr:cNvPr>
        <xdr:cNvCxnSpPr/>
      </xdr:nvCxnSpPr>
      <xdr:spPr>
        <a:xfrm>
          <a:off x="4340225" y="5001008"/>
          <a:ext cx="222250" cy="8284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244475</xdr:colOff>
      <xdr:row>17</xdr:row>
      <xdr:rowOff>47392</xdr:rowOff>
    </xdr:from>
    <xdr:to>
      <xdr:col>10</xdr:col>
      <xdr:colOff>131082</xdr:colOff>
      <xdr:row>17</xdr:row>
      <xdr:rowOff>49212</xdr:rowOff>
    </xdr:to>
    <xdr:cxnSp macro="">
      <xdr:nvCxnSpPr>
        <xdr:cNvPr id="1315" name="SCHEMA_T02_COND_0068">
          <a:extLst>
            <a:ext uri="{FF2B5EF4-FFF2-40B4-BE49-F238E27FC236}">
              <a16:creationId xmlns:a16="http://schemas.microsoft.com/office/drawing/2014/main" id="{ADF081B7-57A4-2CAE-9D30-BF94CA74CB38}"/>
            </a:ext>
          </a:extLst>
        </xdr:cNvPr>
        <xdr:cNvCxnSpPr/>
      </xdr:nvCxnSpPr>
      <xdr:spPr>
        <a:xfrm flipV="1">
          <a:off x="4562475" y="5082035"/>
          <a:ext cx="222250" cy="182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131082</xdr:colOff>
      <xdr:row>16</xdr:row>
      <xdr:rowOff>205834</xdr:rowOff>
    </xdr:from>
    <xdr:to>
      <xdr:col>11</xdr:col>
      <xdr:colOff>17689</xdr:colOff>
      <xdr:row>17</xdr:row>
      <xdr:rowOff>47392</xdr:rowOff>
    </xdr:to>
    <xdr:cxnSp macro="">
      <xdr:nvCxnSpPr>
        <xdr:cNvPr id="1316" name="SCHEMA_T02_COND_0069">
          <a:extLst>
            <a:ext uri="{FF2B5EF4-FFF2-40B4-BE49-F238E27FC236}">
              <a16:creationId xmlns:a16="http://schemas.microsoft.com/office/drawing/2014/main" id="{A7DC00C5-98C8-7BA6-9CEE-37ECF80D6F02}"/>
            </a:ext>
          </a:extLst>
        </xdr:cNvPr>
        <xdr:cNvCxnSpPr/>
      </xdr:nvCxnSpPr>
      <xdr:spPr>
        <a:xfrm flipV="1">
          <a:off x="4784725" y="4995548"/>
          <a:ext cx="222250" cy="8648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22225</xdr:colOff>
      <xdr:row>17</xdr:row>
      <xdr:rowOff>118765</xdr:rowOff>
    </xdr:from>
    <xdr:to>
      <xdr:col>9</xdr:col>
      <xdr:colOff>244475</xdr:colOff>
      <xdr:row>17</xdr:row>
      <xdr:rowOff>201612</xdr:rowOff>
    </xdr:to>
    <xdr:cxnSp macro="">
      <xdr:nvCxnSpPr>
        <xdr:cNvPr id="1317" name="SCHEMA_T02_COND_0070">
          <a:extLst>
            <a:ext uri="{FF2B5EF4-FFF2-40B4-BE49-F238E27FC236}">
              <a16:creationId xmlns:a16="http://schemas.microsoft.com/office/drawing/2014/main" id="{66A9F58B-BC18-7D12-47D0-A113E42F83C3}"/>
            </a:ext>
          </a:extLst>
        </xdr:cNvPr>
        <xdr:cNvCxnSpPr/>
      </xdr:nvCxnSpPr>
      <xdr:spPr>
        <a:xfrm>
          <a:off x="4340225" y="5153408"/>
          <a:ext cx="222250" cy="8284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244475</xdr:colOff>
      <xdr:row>17</xdr:row>
      <xdr:rowOff>199792</xdr:rowOff>
    </xdr:from>
    <xdr:to>
      <xdr:col>10</xdr:col>
      <xdr:colOff>131082</xdr:colOff>
      <xdr:row>17</xdr:row>
      <xdr:rowOff>201612</xdr:rowOff>
    </xdr:to>
    <xdr:cxnSp macro="">
      <xdr:nvCxnSpPr>
        <xdr:cNvPr id="1318" name="SCHEMA_T02_COND_0071">
          <a:extLst>
            <a:ext uri="{FF2B5EF4-FFF2-40B4-BE49-F238E27FC236}">
              <a16:creationId xmlns:a16="http://schemas.microsoft.com/office/drawing/2014/main" id="{14D56753-CA07-8B5F-C644-C7ADDC4BE1C5}"/>
            </a:ext>
          </a:extLst>
        </xdr:cNvPr>
        <xdr:cNvCxnSpPr/>
      </xdr:nvCxnSpPr>
      <xdr:spPr>
        <a:xfrm flipV="1">
          <a:off x="4562475" y="5234435"/>
          <a:ext cx="222250" cy="182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131082</xdr:colOff>
      <xdr:row>17</xdr:row>
      <xdr:rowOff>113305</xdr:rowOff>
    </xdr:from>
    <xdr:to>
      <xdr:col>11</xdr:col>
      <xdr:colOff>17689</xdr:colOff>
      <xdr:row>17</xdr:row>
      <xdr:rowOff>199792</xdr:rowOff>
    </xdr:to>
    <xdr:cxnSp macro="">
      <xdr:nvCxnSpPr>
        <xdr:cNvPr id="1319" name="SCHEMA_T02_COND_0072">
          <a:extLst>
            <a:ext uri="{FF2B5EF4-FFF2-40B4-BE49-F238E27FC236}">
              <a16:creationId xmlns:a16="http://schemas.microsoft.com/office/drawing/2014/main" id="{8F743E1C-5F70-F628-37DE-528EDB3E3CB9}"/>
            </a:ext>
          </a:extLst>
        </xdr:cNvPr>
        <xdr:cNvCxnSpPr/>
      </xdr:nvCxnSpPr>
      <xdr:spPr>
        <a:xfrm flipV="1">
          <a:off x="4784725" y="5147948"/>
          <a:ext cx="222250" cy="8648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22225</xdr:colOff>
      <xdr:row>17</xdr:row>
      <xdr:rowOff>220365</xdr:rowOff>
    </xdr:from>
    <xdr:to>
      <xdr:col>9</xdr:col>
      <xdr:colOff>244475</xdr:colOff>
      <xdr:row>18</xdr:row>
      <xdr:rowOff>58284</xdr:rowOff>
    </xdr:to>
    <xdr:cxnSp macro="">
      <xdr:nvCxnSpPr>
        <xdr:cNvPr id="1320" name="SCHEMA_T02_COND_0073">
          <a:extLst>
            <a:ext uri="{FF2B5EF4-FFF2-40B4-BE49-F238E27FC236}">
              <a16:creationId xmlns:a16="http://schemas.microsoft.com/office/drawing/2014/main" id="{6A779240-5D89-C45C-C913-A047AB4FCFBB}"/>
            </a:ext>
          </a:extLst>
        </xdr:cNvPr>
        <xdr:cNvCxnSpPr/>
      </xdr:nvCxnSpPr>
      <xdr:spPr>
        <a:xfrm>
          <a:off x="4340225" y="5255008"/>
          <a:ext cx="222250" cy="8284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244475</xdr:colOff>
      <xdr:row>18</xdr:row>
      <xdr:rowOff>56464</xdr:rowOff>
    </xdr:from>
    <xdr:to>
      <xdr:col>10</xdr:col>
      <xdr:colOff>131082</xdr:colOff>
      <xdr:row>18</xdr:row>
      <xdr:rowOff>58284</xdr:rowOff>
    </xdr:to>
    <xdr:cxnSp macro="">
      <xdr:nvCxnSpPr>
        <xdr:cNvPr id="1321" name="SCHEMA_T02_COND_0074">
          <a:extLst>
            <a:ext uri="{FF2B5EF4-FFF2-40B4-BE49-F238E27FC236}">
              <a16:creationId xmlns:a16="http://schemas.microsoft.com/office/drawing/2014/main" id="{4041BEA5-278B-B4AA-51D1-1C86B170E71A}"/>
            </a:ext>
          </a:extLst>
        </xdr:cNvPr>
        <xdr:cNvCxnSpPr/>
      </xdr:nvCxnSpPr>
      <xdr:spPr>
        <a:xfrm flipV="1">
          <a:off x="4562475" y="5336035"/>
          <a:ext cx="222250" cy="182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131082</xdr:colOff>
      <xdr:row>17</xdr:row>
      <xdr:rowOff>214905</xdr:rowOff>
    </xdr:from>
    <xdr:to>
      <xdr:col>11</xdr:col>
      <xdr:colOff>17689</xdr:colOff>
      <xdr:row>18</xdr:row>
      <xdr:rowOff>56464</xdr:rowOff>
    </xdr:to>
    <xdr:cxnSp macro="">
      <xdr:nvCxnSpPr>
        <xdr:cNvPr id="1322" name="SCHEMA_T02_COND_0075">
          <a:extLst>
            <a:ext uri="{FF2B5EF4-FFF2-40B4-BE49-F238E27FC236}">
              <a16:creationId xmlns:a16="http://schemas.microsoft.com/office/drawing/2014/main" id="{EC53A14E-1581-56EA-34BD-BA71B849FAF8}"/>
            </a:ext>
          </a:extLst>
        </xdr:cNvPr>
        <xdr:cNvCxnSpPr/>
      </xdr:nvCxnSpPr>
      <xdr:spPr>
        <a:xfrm flipV="1">
          <a:off x="4784725" y="5249548"/>
          <a:ext cx="222250" cy="8648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17689</xdr:colOff>
      <xdr:row>15</xdr:row>
      <xdr:rowOff>184062</xdr:rowOff>
    </xdr:from>
    <xdr:to>
      <xdr:col>11</xdr:col>
      <xdr:colOff>239939</xdr:colOff>
      <xdr:row>16</xdr:row>
      <xdr:rowOff>25621</xdr:rowOff>
    </xdr:to>
    <xdr:cxnSp macro="">
      <xdr:nvCxnSpPr>
        <xdr:cNvPr id="1323" name="SCHEMA_T02_COND_0076">
          <a:extLst>
            <a:ext uri="{FF2B5EF4-FFF2-40B4-BE49-F238E27FC236}">
              <a16:creationId xmlns:a16="http://schemas.microsoft.com/office/drawing/2014/main" id="{736B4575-F57A-0E28-9430-DB56B1225298}"/>
            </a:ext>
          </a:extLst>
        </xdr:cNvPr>
        <xdr:cNvCxnSpPr/>
      </xdr:nvCxnSpPr>
      <xdr:spPr>
        <a:xfrm>
          <a:off x="5006975" y="4728848"/>
          <a:ext cx="222250" cy="86487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239939</xdr:colOff>
      <xdr:row>16</xdr:row>
      <xdr:rowOff>25621</xdr:rowOff>
    </xdr:from>
    <xdr:to>
      <xdr:col>12</xdr:col>
      <xdr:colOff>126546</xdr:colOff>
      <xdr:row>16</xdr:row>
      <xdr:rowOff>27441</xdr:rowOff>
    </xdr:to>
    <xdr:cxnSp macro="">
      <xdr:nvCxnSpPr>
        <xdr:cNvPr id="1324" name="SCHEMA_T02_COND_0077">
          <a:extLst>
            <a:ext uri="{FF2B5EF4-FFF2-40B4-BE49-F238E27FC236}">
              <a16:creationId xmlns:a16="http://schemas.microsoft.com/office/drawing/2014/main" id="{8BC7C7A9-ECE2-AC50-A912-F41EBBEAC246}"/>
            </a:ext>
          </a:extLst>
        </xdr:cNvPr>
        <xdr:cNvCxnSpPr/>
      </xdr:nvCxnSpPr>
      <xdr:spPr>
        <a:xfrm>
          <a:off x="5229225" y="4815335"/>
          <a:ext cx="222250" cy="1820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126546</xdr:colOff>
      <xdr:row>15</xdr:row>
      <xdr:rowOff>189522</xdr:rowOff>
    </xdr:from>
    <xdr:to>
      <xdr:col>13</xdr:col>
      <xdr:colOff>13154</xdr:colOff>
      <xdr:row>16</xdr:row>
      <xdr:rowOff>27441</xdr:rowOff>
    </xdr:to>
    <xdr:cxnSp macro="">
      <xdr:nvCxnSpPr>
        <xdr:cNvPr id="1792" name="SCHEMA_T02_COND_0078">
          <a:extLst>
            <a:ext uri="{FF2B5EF4-FFF2-40B4-BE49-F238E27FC236}">
              <a16:creationId xmlns:a16="http://schemas.microsoft.com/office/drawing/2014/main" id="{78656774-73E5-25BB-EB5F-92372EE6B06D}"/>
            </a:ext>
          </a:extLst>
        </xdr:cNvPr>
        <xdr:cNvCxnSpPr/>
      </xdr:nvCxnSpPr>
      <xdr:spPr>
        <a:xfrm flipV="1">
          <a:off x="5451475" y="4734308"/>
          <a:ext cx="222250" cy="82847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17689</xdr:colOff>
      <xdr:row>16</xdr:row>
      <xdr:rowOff>104234</xdr:rowOff>
    </xdr:from>
    <xdr:to>
      <xdr:col>11</xdr:col>
      <xdr:colOff>239939</xdr:colOff>
      <xdr:row>16</xdr:row>
      <xdr:rowOff>190721</xdr:rowOff>
    </xdr:to>
    <xdr:cxnSp macro="">
      <xdr:nvCxnSpPr>
        <xdr:cNvPr id="1793" name="SCHEMA_T02_COND_0079">
          <a:extLst>
            <a:ext uri="{FF2B5EF4-FFF2-40B4-BE49-F238E27FC236}">
              <a16:creationId xmlns:a16="http://schemas.microsoft.com/office/drawing/2014/main" id="{8B922502-D7A6-459B-FB2D-04760D315D17}"/>
            </a:ext>
          </a:extLst>
        </xdr:cNvPr>
        <xdr:cNvCxnSpPr/>
      </xdr:nvCxnSpPr>
      <xdr:spPr>
        <a:xfrm>
          <a:off x="5006975" y="4893948"/>
          <a:ext cx="222250" cy="8648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239939</xdr:colOff>
      <xdr:row>16</xdr:row>
      <xdr:rowOff>190721</xdr:rowOff>
    </xdr:from>
    <xdr:to>
      <xdr:col>12</xdr:col>
      <xdr:colOff>126546</xdr:colOff>
      <xdr:row>16</xdr:row>
      <xdr:rowOff>192541</xdr:rowOff>
    </xdr:to>
    <xdr:cxnSp macro="">
      <xdr:nvCxnSpPr>
        <xdr:cNvPr id="1794" name="SCHEMA_T02_COND_0080">
          <a:extLst>
            <a:ext uri="{FF2B5EF4-FFF2-40B4-BE49-F238E27FC236}">
              <a16:creationId xmlns:a16="http://schemas.microsoft.com/office/drawing/2014/main" id="{9E222BDA-EA10-C9E7-221F-8745AD8B6B18}"/>
            </a:ext>
          </a:extLst>
        </xdr:cNvPr>
        <xdr:cNvCxnSpPr/>
      </xdr:nvCxnSpPr>
      <xdr:spPr>
        <a:xfrm>
          <a:off x="5229225" y="4980435"/>
          <a:ext cx="222250" cy="182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126546</xdr:colOff>
      <xdr:row>16</xdr:row>
      <xdr:rowOff>109694</xdr:rowOff>
    </xdr:from>
    <xdr:to>
      <xdr:col>13</xdr:col>
      <xdr:colOff>13154</xdr:colOff>
      <xdr:row>16</xdr:row>
      <xdr:rowOff>192541</xdr:rowOff>
    </xdr:to>
    <xdr:cxnSp macro="">
      <xdr:nvCxnSpPr>
        <xdr:cNvPr id="1795" name="SCHEMA_T02_COND_0081">
          <a:extLst>
            <a:ext uri="{FF2B5EF4-FFF2-40B4-BE49-F238E27FC236}">
              <a16:creationId xmlns:a16="http://schemas.microsoft.com/office/drawing/2014/main" id="{3D70E1A5-DAC6-7E7B-3A2A-C84B7857C613}"/>
            </a:ext>
          </a:extLst>
        </xdr:cNvPr>
        <xdr:cNvCxnSpPr/>
      </xdr:nvCxnSpPr>
      <xdr:spPr>
        <a:xfrm flipV="1">
          <a:off x="5451475" y="4899408"/>
          <a:ext cx="222250" cy="8284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17689</xdr:colOff>
      <xdr:row>16</xdr:row>
      <xdr:rowOff>205834</xdr:rowOff>
    </xdr:from>
    <xdr:to>
      <xdr:col>11</xdr:col>
      <xdr:colOff>239939</xdr:colOff>
      <xdr:row>17</xdr:row>
      <xdr:rowOff>47392</xdr:rowOff>
    </xdr:to>
    <xdr:cxnSp macro="">
      <xdr:nvCxnSpPr>
        <xdr:cNvPr id="1796" name="SCHEMA_T02_COND_0082">
          <a:extLst>
            <a:ext uri="{FF2B5EF4-FFF2-40B4-BE49-F238E27FC236}">
              <a16:creationId xmlns:a16="http://schemas.microsoft.com/office/drawing/2014/main" id="{9EA4CCDE-D33F-450A-1698-172AE8E14D68}"/>
            </a:ext>
          </a:extLst>
        </xdr:cNvPr>
        <xdr:cNvCxnSpPr/>
      </xdr:nvCxnSpPr>
      <xdr:spPr>
        <a:xfrm>
          <a:off x="5006975" y="4995548"/>
          <a:ext cx="222250" cy="8648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239939</xdr:colOff>
      <xdr:row>17</xdr:row>
      <xdr:rowOff>47392</xdr:rowOff>
    </xdr:from>
    <xdr:to>
      <xdr:col>12</xdr:col>
      <xdr:colOff>126546</xdr:colOff>
      <xdr:row>17</xdr:row>
      <xdr:rowOff>49212</xdr:rowOff>
    </xdr:to>
    <xdr:cxnSp macro="">
      <xdr:nvCxnSpPr>
        <xdr:cNvPr id="1797" name="SCHEMA_T02_COND_0083">
          <a:extLst>
            <a:ext uri="{FF2B5EF4-FFF2-40B4-BE49-F238E27FC236}">
              <a16:creationId xmlns:a16="http://schemas.microsoft.com/office/drawing/2014/main" id="{529371DE-4376-9200-A51D-23A7C3730B25}"/>
            </a:ext>
          </a:extLst>
        </xdr:cNvPr>
        <xdr:cNvCxnSpPr/>
      </xdr:nvCxnSpPr>
      <xdr:spPr>
        <a:xfrm>
          <a:off x="5229225" y="5082035"/>
          <a:ext cx="222250" cy="182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126546</xdr:colOff>
      <xdr:row>16</xdr:row>
      <xdr:rowOff>211294</xdr:rowOff>
    </xdr:from>
    <xdr:to>
      <xdr:col>13</xdr:col>
      <xdr:colOff>13154</xdr:colOff>
      <xdr:row>17</xdr:row>
      <xdr:rowOff>49212</xdr:rowOff>
    </xdr:to>
    <xdr:cxnSp macro="">
      <xdr:nvCxnSpPr>
        <xdr:cNvPr id="1798" name="SCHEMA_T02_COND_0084">
          <a:extLst>
            <a:ext uri="{FF2B5EF4-FFF2-40B4-BE49-F238E27FC236}">
              <a16:creationId xmlns:a16="http://schemas.microsoft.com/office/drawing/2014/main" id="{7121FFAC-8245-009A-E46E-B968BCA9FCAF}"/>
            </a:ext>
          </a:extLst>
        </xdr:cNvPr>
        <xdr:cNvCxnSpPr/>
      </xdr:nvCxnSpPr>
      <xdr:spPr>
        <a:xfrm flipV="1">
          <a:off x="5451475" y="5001008"/>
          <a:ext cx="222250" cy="8284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17689</xdr:colOff>
      <xdr:row>17</xdr:row>
      <xdr:rowOff>113305</xdr:rowOff>
    </xdr:from>
    <xdr:to>
      <xdr:col>11</xdr:col>
      <xdr:colOff>239939</xdr:colOff>
      <xdr:row>17</xdr:row>
      <xdr:rowOff>199792</xdr:rowOff>
    </xdr:to>
    <xdr:cxnSp macro="">
      <xdr:nvCxnSpPr>
        <xdr:cNvPr id="1799" name="SCHEMA_T02_COND_0085">
          <a:extLst>
            <a:ext uri="{FF2B5EF4-FFF2-40B4-BE49-F238E27FC236}">
              <a16:creationId xmlns:a16="http://schemas.microsoft.com/office/drawing/2014/main" id="{9123A502-ED65-CBFC-1727-A2B8D46EAFB9}"/>
            </a:ext>
          </a:extLst>
        </xdr:cNvPr>
        <xdr:cNvCxnSpPr/>
      </xdr:nvCxnSpPr>
      <xdr:spPr>
        <a:xfrm>
          <a:off x="5006975" y="5147948"/>
          <a:ext cx="222250" cy="8648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239939</xdr:colOff>
      <xdr:row>17</xdr:row>
      <xdr:rowOff>199792</xdr:rowOff>
    </xdr:from>
    <xdr:to>
      <xdr:col>12</xdr:col>
      <xdr:colOff>126546</xdr:colOff>
      <xdr:row>17</xdr:row>
      <xdr:rowOff>201612</xdr:rowOff>
    </xdr:to>
    <xdr:cxnSp macro="">
      <xdr:nvCxnSpPr>
        <xdr:cNvPr id="1800" name="SCHEMA_T02_COND_0086">
          <a:extLst>
            <a:ext uri="{FF2B5EF4-FFF2-40B4-BE49-F238E27FC236}">
              <a16:creationId xmlns:a16="http://schemas.microsoft.com/office/drawing/2014/main" id="{249D4018-2F47-163E-6729-B92048819DB5}"/>
            </a:ext>
          </a:extLst>
        </xdr:cNvPr>
        <xdr:cNvCxnSpPr/>
      </xdr:nvCxnSpPr>
      <xdr:spPr>
        <a:xfrm>
          <a:off x="5229225" y="5234435"/>
          <a:ext cx="222250" cy="182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126546</xdr:colOff>
      <xdr:row>17</xdr:row>
      <xdr:rowOff>118765</xdr:rowOff>
    </xdr:from>
    <xdr:to>
      <xdr:col>13</xdr:col>
      <xdr:colOff>13154</xdr:colOff>
      <xdr:row>17</xdr:row>
      <xdr:rowOff>201612</xdr:rowOff>
    </xdr:to>
    <xdr:cxnSp macro="">
      <xdr:nvCxnSpPr>
        <xdr:cNvPr id="1801" name="SCHEMA_T02_COND_0087">
          <a:extLst>
            <a:ext uri="{FF2B5EF4-FFF2-40B4-BE49-F238E27FC236}">
              <a16:creationId xmlns:a16="http://schemas.microsoft.com/office/drawing/2014/main" id="{93AB029D-E0EC-B56E-73EA-9FBDED67A015}"/>
            </a:ext>
          </a:extLst>
        </xdr:cNvPr>
        <xdr:cNvCxnSpPr/>
      </xdr:nvCxnSpPr>
      <xdr:spPr>
        <a:xfrm flipV="1">
          <a:off x="5451475" y="5153408"/>
          <a:ext cx="222250" cy="8284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17689</xdr:colOff>
      <xdr:row>17</xdr:row>
      <xdr:rowOff>214905</xdr:rowOff>
    </xdr:from>
    <xdr:to>
      <xdr:col>11</xdr:col>
      <xdr:colOff>239939</xdr:colOff>
      <xdr:row>18</xdr:row>
      <xdr:rowOff>56464</xdr:rowOff>
    </xdr:to>
    <xdr:cxnSp macro="">
      <xdr:nvCxnSpPr>
        <xdr:cNvPr id="1802" name="SCHEMA_T02_COND_0088">
          <a:extLst>
            <a:ext uri="{FF2B5EF4-FFF2-40B4-BE49-F238E27FC236}">
              <a16:creationId xmlns:a16="http://schemas.microsoft.com/office/drawing/2014/main" id="{845982ED-BE7D-6964-B394-E8864264EA12}"/>
            </a:ext>
          </a:extLst>
        </xdr:cNvPr>
        <xdr:cNvCxnSpPr/>
      </xdr:nvCxnSpPr>
      <xdr:spPr>
        <a:xfrm>
          <a:off x="5006975" y="5249548"/>
          <a:ext cx="222250" cy="8648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239939</xdr:colOff>
      <xdr:row>18</xdr:row>
      <xdr:rowOff>56464</xdr:rowOff>
    </xdr:from>
    <xdr:to>
      <xdr:col>12</xdr:col>
      <xdr:colOff>126546</xdr:colOff>
      <xdr:row>18</xdr:row>
      <xdr:rowOff>58284</xdr:rowOff>
    </xdr:to>
    <xdr:cxnSp macro="">
      <xdr:nvCxnSpPr>
        <xdr:cNvPr id="1803" name="SCHEMA_T02_COND_0089">
          <a:extLst>
            <a:ext uri="{FF2B5EF4-FFF2-40B4-BE49-F238E27FC236}">
              <a16:creationId xmlns:a16="http://schemas.microsoft.com/office/drawing/2014/main" id="{727F3E92-77CC-57E9-24EE-D92126D22C42}"/>
            </a:ext>
          </a:extLst>
        </xdr:cNvPr>
        <xdr:cNvCxnSpPr/>
      </xdr:nvCxnSpPr>
      <xdr:spPr>
        <a:xfrm>
          <a:off x="5229225" y="5336035"/>
          <a:ext cx="222250" cy="182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126546</xdr:colOff>
      <xdr:row>17</xdr:row>
      <xdr:rowOff>220365</xdr:rowOff>
    </xdr:from>
    <xdr:to>
      <xdr:col>13</xdr:col>
      <xdr:colOff>13154</xdr:colOff>
      <xdr:row>18</xdr:row>
      <xdr:rowOff>58284</xdr:rowOff>
    </xdr:to>
    <xdr:cxnSp macro="">
      <xdr:nvCxnSpPr>
        <xdr:cNvPr id="1804" name="SCHEMA_T02_COND_0090">
          <a:extLst>
            <a:ext uri="{FF2B5EF4-FFF2-40B4-BE49-F238E27FC236}">
              <a16:creationId xmlns:a16="http://schemas.microsoft.com/office/drawing/2014/main" id="{C1E498CD-5CFE-A00A-B1A0-1F8186AEB903}"/>
            </a:ext>
          </a:extLst>
        </xdr:cNvPr>
        <xdr:cNvCxnSpPr/>
      </xdr:nvCxnSpPr>
      <xdr:spPr>
        <a:xfrm flipV="1">
          <a:off x="5451475" y="5255008"/>
          <a:ext cx="222250" cy="8284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13154</xdr:colOff>
      <xdr:row>15</xdr:row>
      <xdr:rowOff>157698</xdr:rowOff>
    </xdr:from>
    <xdr:to>
      <xdr:col>13</xdr:col>
      <xdr:colOff>235404</xdr:colOff>
      <xdr:row>15</xdr:row>
      <xdr:rowOff>189522</xdr:rowOff>
    </xdr:to>
    <xdr:cxnSp macro="">
      <xdr:nvCxnSpPr>
        <xdr:cNvPr id="1805" name="SCHEMA_T02_COND_0091">
          <a:extLst>
            <a:ext uri="{FF2B5EF4-FFF2-40B4-BE49-F238E27FC236}">
              <a16:creationId xmlns:a16="http://schemas.microsoft.com/office/drawing/2014/main" id="{6FD16E0D-69AC-FD46-C5AB-964C2BA38C01}"/>
            </a:ext>
          </a:extLst>
        </xdr:cNvPr>
        <xdr:cNvCxnSpPr/>
      </xdr:nvCxnSpPr>
      <xdr:spPr>
        <a:xfrm flipV="1">
          <a:off x="5673725" y="4702484"/>
          <a:ext cx="222250" cy="31824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235404</xdr:colOff>
      <xdr:row>15</xdr:row>
      <xdr:rowOff>41206</xdr:rowOff>
    </xdr:from>
    <xdr:to>
      <xdr:col>14</xdr:col>
      <xdr:colOff>122011</xdr:colOff>
      <xdr:row>15</xdr:row>
      <xdr:rowOff>157698</xdr:rowOff>
    </xdr:to>
    <xdr:cxnSp macro="">
      <xdr:nvCxnSpPr>
        <xdr:cNvPr id="1806" name="SCHEMA_T02_COND_0092">
          <a:extLst>
            <a:ext uri="{FF2B5EF4-FFF2-40B4-BE49-F238E27FC236}">
              <a16:creationId xmlns:a16="http://schemas.microsoft.com/office/drawing/2014/main" id="{0431BEE8-9A9D-7249-998D-83C5A0C5D797}"/>
            </a:ext>
          </a:extLst>
        </xdr:cNvPr>
        <xdr:cNvCxnSpPr/>
      </xdr:nvCxnSpPr>
      <xdr:spPr>
        <a:xfrm flipV="1">
          <a:off x="5895975" y="4585992"/>
          <a:ext cx="222250" cy="116492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122011</xdr:colOff>
      <xdr:row>14</xdr:row>
      <xdr:rowOff>84977</xdr:rowOff>
    </xdr:from>
    <xdr:to>
      <xdr:col>15</xdr:col>
      <xdr:colOff>8618</xdr:colOff>
      <xdr:row>15</xdr:row>
      <xdr:rowOff>41206</xdr:rowOff>
    </xdr:to>
    <xdr:cxnSp macro="">
      <xdr:nvCxnSpPr>
        <xdr:cNvPr id="1807" name="SCHEMA_T02_COND_0093">
          <a:extLst>
            <a:ext uri="{FF2B5EF4-FFF2-40B4-BE49-F238E27FC236}">
              <a16:creationId xmlns:a16="http://schemas.microsoft.com/office/drawing/2014/main" id="{A4534E7F-2B3E-53FD-832C-3DA0E841402E}"/>
            </a:ext>
          </a:extLst>
        </xdr:cNvPr>
        <xdr:cNvCxnSpPr/>
      </xdr:nvCxnSpPr>
      <xdr:spPr>
        <a:xfrm flipV="1">
          <a:off x="6118225" y="4384834"/>
          <a:ext cx="222250" cy="201158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13154</xdr:colOff>
      <xdr:row>16</xdr:row>
      <xdr:rowOff>77870</xdr:rowOff>
    </xdr:from>
    <xdr:to>
      <xdr:col>13</xdr:col>
      <xdr:colOff>235404</xdr:colOff>
      <xdr:row>16</xdr:row>
      <xdr:rowOff>109694</xdr:rowOff>
    </xdr:to>
    <xdr:cxnSp macro="">
      <xdr:nvCxnSpPr>
        <xdr:cNvPr id="1808" name="SCHEMA_T02_COND_0094">
          <a:extLst>
            <a:ext uri="{FF2B5EF4-FFF2-40B4-BE49-F238E27FC236}">
              <a16:creationId xmlns:a16="http://schemas.microsoft.com/office/drawing/2014/main" id="{B51FEF85-10A6-3523-E67C-A998E1EFC119}"/>
            </a:ext>
          </a:extLst>
        </xdr:cNvPr>
        <xdr:cNvCxnSpPr/>
      </xdr:nvCxnSpPr>
      <xdr:spPr>
        <a:xfrm flipV="1">
          <a:off x="5673725" y="4867584"/>
          <a:ext cx="222250" cy="31824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235404</xdr:colOff>
      <xdr:row>15</xdr:row>
      <xdr:rowOff>206306</xdr:rowOff>
    </xdr:from>
    <xdr:to>
      <xdr:col>14</xdr:col>
      <xdr:colOff>122011</xdr:colOff>
      <xdr:row>16</xdr:row>
      <xdr:rowOff>77870</xdr:rowOff>
    </xdr:to>
    <xdr:cxnSp macro="">
      <xdr:nvCxnSpPr>
        <xdr:cNvPr id="1809" name="SCHEMA_T02_COND_0095">
          <a:extLst>
            <a:ext uri="{FF2B5EF4-FFF2-40B4-BE49-F238E27FC236}">
              <a16:creationId xmlns:a16="http://schemas.microsoft.com/office/drawing/2014/main" id="{21065253-89D3-8AAE-A944-880E5C50C6EB}"/>
            </a:ext>
          </a:extLst>
        </xdr:cNvPr>
        <xdr:cNvCxnSpPr/>
      </xdr:nvCxnSpPr>
      <xdr:spPr>
        <a:xfrm flipV="1">
          <a:off x="5895975" y="4751092"/>
          <a:ext cx="222250" cy="11649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122011</xdr:colOff>
      <xdr:row>15</xdr:row>
      <xdr:rowOff>5148</xdr:rowOff>
    </xdr:from>
    <xdr:to>
      <xdr:col>15</xdr:col>
      <xdr:colOff>8618</xdr:colOff>
      <xdr:row>15</xdr:row>
      <xdr:rowOff>206306</xdr:rowOff>
    </xdr:to>
    <xdr:cxnSp macro="">
      <xdr:nvCxnSpPr>
        <xdr:cNvPr id="1810" name="SCHEMA_T02_COND_0096">
          <a:extLst>
            <a:ext uri="{FF2B5EF4-FFF2-40B4-BE49-F238E27FC236}">
              <a16:creationId xmlns:a16="http://schemas.microsoft.com/office/drawing/2014/main" id="{05034B8E-294C-3330-9D7F-77780889DFC5}"/>
            </a:ext>
          </a:extLst>
        </xdr:cNvPr>
        <xdr:cNvCxnSpPr/>
      </xdr:nvCxnSpPr>
      <xdr:spPr>
        <a:xfrm flipV="1">
          <a:off x="6118225" y="4549934"/>
          <a:ext cx="222250" cy="20115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13154</xdr:colOff>
      <xdr:row>16</xdr:row>
      <xdr:rowOff>179470</xdr:rowOff>
    </xdr:from>
    <xdr:to>
      <xdr:col>13</xdr:col>
      <xdr:colOff>235404</xdr:colOff>
      <xdr:row>16</xdr:row>
      <xdr:rowOff>211294</xdr:rowOff>
    </xdr:to>
    <xdr:cxnSp macro="">
      <xdr:nvCxnSpPr>
        <xdr:cNvPr id="1811" name="SCHEMA_T02_COND_0097">
          <a:extLst>
            <a:ext uri="{FF2B5EF4-FFF2-40B4-BE49-F238E27FC236}">
              <a16:creationId xmlns:a16="http://schemas.microsoft.com/office/drawing/2014/main" id="{C47D6E0F-45B5-7597-81E0-5EF76630B696}"/>
            </a:ext>
          </a:extLst>
        </xdr:cNvPr>
        <xdr:cNvCxnSpPr/>
      </xdr:nvCxnSpPr>
      <xdr:spPr>
        <a:xfrm flipV="1">
          <a:off x="5673725" y="4969184"/>
          <a:ext cx="222250" cy="31824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235404</xdr:colOff>
      <xdr:row>16</xdr:row>
      <xdr:rowOff>62978</xdr:rowOff>
    </xdr:from>
    <xdr:to>
      <xdr:col>14</xdr:col>
      <xdr:colOff>122011</xdr:colOff>
      <xdr:row>16</xdr:row>
      <xdr:rowOff>179470</xdr:rowOff>
    </xdr:to>
    <xdr:cxnSp macro="">
      <xdr:nvCxnSpPr>
        <xdr:cNvPr id="1812" name="SCHEMA_T02_COND_0098">
          <a:extLst>
            <a:ext uri="{FF2B5EF4-FFF2-40B4-BE49-F238E27FC236}">
              <a16:creationId xmlns:a16="http://schemas.microsoft.com/office/drawing/2014/main" id="{5789B2E5-496D-90D4-6947-C0ADC40269F3}"/>
            </a:ext>
          </a:extLst>
        </xdr:cNvPr>
        <xdr:cNvCxnSpPr/>
      </xdr:nvCxnSpPr>
      <xdr:spPr>
        <a:xfrm flipV="1">
          <a:off x="5895975" y="4852692"/>
          <a:ext cx="222250" cy="11649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122011</xdr:colOff>
      <xdr:row>15</xdr:row>
      <xdr:rowOff>106748</xdr:rowOff>
    </xdr:from>
    <xdr:to>
      <xdr:col>15</xdr:col>
      <xdr:colOff>8618</xdr:colOff>
      <xdr:row>16</xdr:row>
      <xdr:rowOff>62978</xdr:rowOff>
    </xdr:to>
    <xdr:cxnSp macro="">
      <xdr:nvCxnSpPr>
        <xdr:cNvPr id="1813" name="SCHEMA_T02_COND_0099">
          <a:extLst>
            <a:ext uri="{FF2B5EF4-FFF2-40B4-BE49-F238E27FC236}">
              <a16:creationId xmlns:a16="http://schemas.microsoft.com/office/drawing/2014/main" id="{D9921D46-149E-7C7A-B345-6D76B6F560BA}"/>
            </a:ext>
          </a:extLst>
        </xdr:cNvPr>
        <xdr:cNvCxnSpPr/>
      </xdr:nvCxnSpPr>
      <xdr:spPr>
        <a:xfrm flipV="1">
          <a:off x="6118225" y="4651534"/>
          <a:ext cx="222250" cy="20115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13154</xdr:colOff>
      <xdr:row>17</xdr:row>
      <xdr:rowOff>86941</xdr:rowOff>
    </xdr:from>
    <xdr:to>
      <xdr:col>13</xdr:col>
      <xdr:colOff>235404</xdr:colOff>
      <xdr:row>17</xdr:row>
      <xdr:rowOff>118765</xdr:rowOff>
    </xdr:to>
    <xdr:cxnSp macro="">
      <xdr:nvCxnSpPr>
        <xdr:cNvPr id="1814" name="SCHEMA_T02_COND_0100">
          <a:extLst>
            <a:ext uri="{FF2B5EF4-FFF2-40B4-BE49-F238E27FC236}">
              <a16:creationId xmlns:a16="http://schemas.microsoft.com/office/drawing/2014/main" id="{D28F3290-389B-F910-2FC9-7722D7200842}"/>
            </a:ext>
          </a:extLst>
        </xdr:cNvPr>
        <xdr:cNvCxnSpPr/>
      </xdr:nvCxnSpPr>
      <xdr:spPr>
        <a:xfrm flipV="1">
          <a:off x="5673725" y="5121584"/>
          <a:ext cx="222250" cy="31824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235404</xdr:colOff>
      <xdr:row>16</xdr:row>
      <xdr:rowOff>215378</xdr:rowOff>
    </xdr:from>
    <xdr:to>
      <xdr:col>14</xdr:col>
      <xdr:colOff>122011</xdr:colOff>
      <xdr:row>17</xdr:row>
      <xdr:rowOff>86941</xdr:rowOff>
    </xdr:to>
    <xdr:cxnSp macro="">
      <xdr:nvCxnSpPr>
        <xdr:cNvPr id="1815" name="SCHEMA_T02_COND_0101">
          <a:extLst>
            <a:ext uri="{FF2B5EF4-FFF2-40B4-BE49-F238E27FC236}">
              <a16:creationId xmlns:a16="http://schemas.microsoft.com/office/drawing/2014/main" id="{0293664A-4134-1FD7-738F-4BEF3D645467}"/>
            </a:ext>
          </a:extLst>
        </xdr:cNvPr>
        <xdr:cNvCxnSpPr/>
      </xdr:nvCxnSpPr>
      <xdr:spPr>
        <a:xfrm flipV="1">
          <a:off x="5895975" y="5005092"/>
          <a:ext cx="222250" cy="11649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122011</xdr:colOff>
      <xdr:row>16</xdr:row>
      <xdr:rowOff>14220</xdr:rowOff>
    </xdr:from>
    <xdr:to>
      <xdr:col>15</xdr:col>
      <xdr:colOff>8618</xdr:colOff>
      <xdr:row>16</xdr:row>
      <xdr:rowOff>215378</xdr:rowOff>
    </xdr:to>
    <xdr:cxnSp macro="">
      <xdr:nvCxnSpPr>
        <xdr:cNvPr id="1816" name="SCHEMA_T02_COND_0102">
          <a:extLst>
            <a:ext uri="{FF2B5EF4-FFF2-40B4-BE49-F238E27FC236}">
              <a16:creationId xmlns:a16="http://schemas.microsoft.com/office/drawing/2014/main" id="{DBAAB6B0-1A52-BA98-CC0C-EB58F1FB714D}"/>
            </a:ext>
          </a:extLst>
        </xdr:cNvPr>
        <xdr:cNvCxnSpPr/>
      </xdr:nvCxnSpPr>
      <xdr:spPr>
        <a:xfrm flipV="1">
          <a:off x="6118225" y="4803934"/>
          <a:ext cx="222250" cy="20115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13154</xdr:colOff>
      <xdr:row>17</xdr:row>
      <xdr:rowOff>188541</xdr:rowOff>
    </xdr:from>
    <xdr:to>
      <xdr:col>13</xdr:col>
      <xdr:colOff>235404</xdr:colOff>
      <xdr:row>17</xdr:row>
      <xdr:rowOff>220365</xdr:rowOff>
    </xdr:to>
    <xdr:cxnSp macro="">
      <xdr:nvCxnSpPr>
        <xdr:cNvPr id="1817" name="SCHEMA_T02_COND_0103">
          <a:extLst>
            <a:ext uri="{FF2B5EF4-FFF2-40B4-BE49-F238E27FC236}">
              <a16:creationId xmlns:a16="http://schemas.microsoft.com/office/drawing/2014/main" id="{C0640E82-401B-5B68-BDD4-B4EFF405AF40}"/>
            </a:ext>
          </a:extLst>
        </xdr:cNvPr>
        <xdr:cNvCxnSpPr/>
      </xdr:nvCxnSpPr>
      <xdr:spPr>
        <a:xfrm flipV="1">
          <a:off x="5673725" y="5223184"/>
          <a:ext cx="222250" cy="31824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235404</xdr:colOff>
      <xdr:row>17</xdr:row>
      <xdr:rowOff>72049</xdr:rowOff>
    </xdr:from>
    <xdr:to>
      <xdr:col>14</xdr:col>
      <xdr:colOff>122011</xdr:colOff>
      <xdr:row>17</xdr:row>
      <xdr:rowOff>188541</xdr:rowOff>
    </xdr:to>
    <xdr:cxnSp macro="">
      <xdr:nvCxnSpPr>
        <xdr:cNvPr id="1818" name="SCHEMA_T02_COND_0104">
          <a:extLst>
            <a:ext uri="{FF2B5EF4-FFF2-40B4-BE49-F238E27FC236}">
              <a16:creationId xmlns:a16="http://schemas.microsoft.com/office/drawing/2014/main" id="{54C45BCD-B897-8880-39D2-9770BB6BBF30}"/>
            </a:ext>
          </a:extLst>
        </xdr:cNvPr>
        <xdr:cNvCxnSpPr/>
      </xdr:nvCxnSpPr>
      <xdr:spPr>
        <a:xfrm flipV="1">
          <a:off x="5895975" y="5106692"/>
          <a:ext cx="222250" cy="11649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122011</xdr:colOff>
      <xdr:row>16</xdr:row>
      <xdr:rowOff>115820</xdr:rowOff>
    </xdr:from>
    <xdr:to>
      <xdr:col>15</xdr:col>
      <xdr:colOff>8618</xdr:colOff>
      <xdr:row>17</xdr:row>
      <xdr:rowOff>72049</xdr:rowOff>
    </xdr:to>
    <xdr:cxnSp macro="">
      <xdr:nvCxnSpPr>
        <xdr:cNvPr id="1819" name="SCHEMA_T02_COND_0105">
          <a:extLst>
            <a:ext uri="{FF2B5EF4-FFF2-40B4-BE49-F238E27FC236}">
              <a16:creationId xmlns:a16="http://schemas.microsoft.com/office/drawing/2014/main" id="{8EF8182D-82EC-A753-68E3-3B1620F9FFDA}"/>
            </a:ext>
          </a:extLst>
        </xdr:cNvPr>
        <xdr:cNvCxnSpPr/>
      </xdr:nvCxnSpPr>
      <xdr:spPr>
        <a:xfrm flipV="1">
          <a:off x="6118225" y="4905534"/>
          <a:ext cx="222250" cy="20115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308429</xdr:colOff>
      <xdr:row>25</xdr:row>
      <xdr:rowOff>41729</xdr:rowOff>
    </xdr:from>
    <xdr:to>
      <xdr:col>14</xdr:col>
      <xdr:colOff>48986</xdr:colOff>
      <xdr:row>25</xdr:row>
      <xdr:rowOff>117929</xdr:rowOff>
    </xdr:to>
    <xdr:sp macro="" textlink="">
      <xdr:nvSpPr>
        <xdr:cNvPr id="1820" name="SCHEMA_T02_ATTRAV_07">
          <a:extLst>
            <a:ext uri="{FF2B5EF4-FFF2-40B4-BE49-F238E27FC236}">
              <a16:creationId xmlns:a16="http://schemas.microsoft.com/office/drawing/2014/main" id="{B7EEB7F4-1397-60A1-5C02-0BB05F80FADF}"/>
            </a:ext>
          </a:extLst>
        </xdr:cNvPr>
        <xdr:cNvSpPr/>
      </xdr:nvSpPr>
      <xdr:spPr>
        <a:xfrm>
          <a:off x="5969000" y="7035800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15</xdr:col>
      <xdr:colOff>8618</xdr:colOff>
      <xdr:row>14</xdr:row>
      <xdr:rowOff>84977</xdr:rowOff>
    </xdr:from>
    <xdr:to>
      <xdr:col>15</xdr:col>
      <xdr:colOff>230868</xdr:colOff>
      <xdr:row>15</xdr:row>
      <xdr:rowOff>50307</xdr:rowOff>
    </xdr:to>
    <xdr:cxnSp macro="">
      <xdr:nvCxnSpPr>
        <xdr:cNvPr id="1821" name="SCHEMA_T02_COND_0106">
          <a:extLst>
            <a:ext uri="{FF2B5EF4-FFF2-40B4-BE49-F238E27FC236}">
              <a16:creationId xmlns:a16="http://schemas.microsoft.com/office/drawing/2014/main" id="{662942AC-B57E-E5A2-CBDE-B6D938C59C42}"/>
            </a:ext>
          </a:extLst>
        </xdr:cNvPr>
        <xdr:cNvCxnSpPr/>
      </xdr:nvCxnSpPr>
      <xdr:spPr>
        <a:xfrm>
          <a:off x="6340475" y="4384834"/>
          <a:ext cx="222250" cy="210259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230868</xdr:colOff>
      <xdr:row>15</xdr:row>
      <xdr:rowOff>50307</xdr:rowOff>
    </xdr:from>
    <xdr:to>
      <xdr:col>16</xdr:col>
      <xdr:colOff>117475</xdr:colOff>
      <xdr:row>15</xdr:row>
      <xdr:rowOff>175899</xdr:rowOff>
    </xdr:to>
    <xdr:cxnSp macro="">
      <xdr:nvCxnSpPr>
        <xdr:cNvPr id="1822" name="SCHEMA_T02_COND_0107">
          <a:extLst>
            <a:ext uri="{FF2B5EF4-FFF2-40B4-BE49-F238E27FC236}">
              <a16:creationId xmlns:a16="http://schemas.microsoft.com/office/drawing/2014/main" id="{BB3F2F37-91B1-2733-354C-666D35DEB585}"/>
            </a:ext>
          </a:extLst>
        </xdr:cNvPr>
        <xdr:cNvCxnSpPr/>
      </xdr:nvCxnSpPr>
      <xdr:spPr>
        <a:xfrm>
          <a:off x="6562725" y="4595093"/>
          <a:ext cx="222250" cy="125592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117475</xdr:colOff>
      <xdr:row>15</xdr:row>
      <xdr:rowOff>175899</xdr:rowOff>
    </xdr:from>
    <xdr:to>
      <xdr:col>17</xdr:col>
      <xdr:colOff>4082</xdr:colOff>
      <xdr:row>15</xdr:row>
      <xdr:rowOff>216825</xdr:rowOff>
    </xdr:to>
    <xdr:cxnSp macro="">
      <xdr:nvCxnSpPr>
        <xdr:cNvPr id="1823" name="SCHEMA_T02_COND_0108">
          <a:extLst>
            <a:ext uri="{FF2B5EF4-FFF2-40B4-BE49-F238E27FC236}">
              <a16:creationId xmlns:a16="http://schemas.microsoft.com/office/drawing/2014/main" id="{BC82F604-0074-D027-35C0-DC98CEB593B3}"/>
            </a:ext>
          </a:extLst>
        </xdr:cNvPr>
        <xdr:cNvCxnSpPr/>
      </xdr:nvCxnSpPr>
      <xdr:spPr>
        <a:xfrm>
          <a:off x="6784975" y="4720685"/>
          <a:ext cx="222250" cy="40926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8618</xdr:colOff>
      <xdr:row>15</xdr:row>
      <xdr:rowOff>5148</xdr:rowOff>
    </xdr:from>
    <xdr:to>
      <xdr:col>15</xdr:col>
      <xdr:colOff>230868</xdr:colOff>
      <xdr:row>15</xdr:row>
      <xdr:rowOff>215407</xdr:rowOff>
    </xdr:to>
    <xdr:cxnSp macro="">
      <xdr:nvCxnSpPr>
        <xdr:cNvPr id="1824" name="SCHEMA_T02_COND_0109">
          <a:extLst>
            <a:ext uri="{FF2B5EF4-FFF2-40B4-BE49-F238E27FC236}">
              <a16:creationId xmlns:a16="http://schemas.microsoft.com/office/drawing/2014/main" id="{98AECD21-2B9E-1067-785F-D66AF9AB0513}"/>
            </a:ext>
          </a:extLst>
        </xdr:cNvPr>
        <xdr:cNvCxnSpPr/>
      </xdr:nvCxnSpPr>
      <xdr:spPr>
        <a:xfrm>
          <a:off x="6340475" y="4549934"/>
          <a:ext cx="222250" cy="21025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230868</xdr:colOff>
      <xdr:row>15</xdr:row>
      <xdr:rowOff>215407</xdr:rowOff>
    </xdr:from>
    <xdr:to>
      <xdr:col>16</xdr:col>
      <xdr:colOff>117475</xdr:colOff>
      <xdr:row>16</xdr:row>
      <xdr:rowOff>96071</xdr:rowOff>
    </xdr:to>
    <xdr:cxnSp macro="">
      <xdr:nvCxnSpPr>
        <xdr:cNvPr id="1825" name="SCHEMA_T02_COND_0110">
          <a:extLst>
            <a:ext uri="{FF2B5EF4-FFF2-40B4-BE49-F238E27FC236}">
              <a16:creationId xmlns:a16="http://schemas.microsoft.com/office/drawing/2014/main" id="{CAEC56F7-BCF6-BCD7-4ADD-DB51184CD0FA}"/>
            </a:ext>
          </a:extLst>
        </xdr:cNvPr>
        <xdr:cNvCxnSpPr/>
      </xdr:nvCxnSpPr>
      <xdr:spPr>
        <a:xfrm>
          <a:off x="6562725" y="4760193"/>
          <a:ext cx="222250" cy="12559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117475</xdr:colOff>
      <xdr:row>16</xdr:row>
      <xdr:rowOff>96071</xdr:rowOff>
    </xdr:from>
    <xdr:to>
      <xdr:col>17</xdr:col>
      <xdr:colOff>4082</xdr:colOff>
      <xdr:row>16</xdr:row>
      <xdr:rowOff>136997</xdr:rowOff>
    </xdr:to>
    <xdr:cxnSp macro="">
      <xdr:nvCxnSpPr>
        <xdr:cNvPr id="1826" name="SCHEMA_T02_COND_0111">
          <a:extLst>
            <a:ext uri="{FF2B5EF4-FFF2-40B4-BE49-F238E27FC236}">
              <a16:creationId xmlns:a16="http://schemas.microsoft.com/office/drawing/2014/main" id="{76540D66-423B-9BFA-FFB2-3150BDFA80CA}"/>
            </a:ext>
          </a:extLst>
        </xdr:cNvPr>
        <xdr:cNvCxnSpPr/>
      </xdr:nvCxnSpPr>
      <xdr:spPr>
        <a:xfrm>
          <a:off x="6784975" y="4885785"/>
          <a:ext cx="222250" cy="4092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8618</xdr:colOff>
      <xdr:row>15</xdr:row>
      <xdr:rowOff>106748</xdr:rowOff>
    </xdr:from>
    <xdr:to>
      <xdr:col>15</xdr:col>
      <xdr:colOff>230868</xdr:colOff>
      <xdr:row>16</xdr:row>
      <xdr:rowOff>72079</xdr:rowOff>
    </xdr:to>
    <xdr:cxnSp macro="">
      <xdr:nvCxnSpPr>
        <xdr:cNvPr id="1827" name="SCHEMA_T02_COND_0112">
          <a:extLst>
            <a:ext uri="{FF2B5EF4-FFF2-40B4-BE49-F238E27FC236}">
              <a16:creationId xmlns:a16="http://schemas.microsoft.com/office/drawing/2014/main" id="{3922FA6B-65F2-F4CF-6684-F5AB32F6EBBF}"/>
            </a:ext>
          </a:extLst>
        </xdr:cNvPr>
        <xdr:cNvCxnSpPr/>
      </xdr:nvCxnSpPr>
      <xdr:spPr>
        <a:xfrm>
          <a:off x="6340475" y="4651534"/>
          <a:ext cx="222250" cy="21025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230868</xdr:colOff>
      <xdr:row>16</xdr:row>
      <xdr:rowOff>72079</xdr:rowOff>
    </xdr:from>
    <xdr:to>
      <xdr:col>16</xdr:col>
      <xdr:colOff>117475</xdr:colOff>
      <xdr:row>16</xdr:row>
      <xdr:rowOff>197671</xdr:rowOff>
    </xdr:to>
    <xdr:cxnSp macro="">
      <xdr:nvCxnSpPr>
        <xdr:cNvPr id="1828" name="SCHEMA_T02_COND_0113">
          <a:extLst>
            <a:ext uri="{FF2B5EF4-FFF2-40B4-BE49-F238E27FC236}">
              <a16:creationId xmlns:a16="http://schemas.microsoft.com/office/drawing/2014/main" id="{8417CE86-212F-7B23-F826-A3B85C96E223}"/>
            </a:ext>
          </a:extLst>
        </xdr:cNvPr>
        <xdr:cNvCxnSpPr/>
      </xdr:nvCxnSpPr>
      <xdr:spPr>
        <a:xfrm>
          <a:off x="6562725" y="4861793"/>
          <a:ext cx="222250" cy="12559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117475</xdr:colOff>
      <xdr:row>16</xdr:row>
      <xdr:rowOff>197671</xdr:rowOff>
    </xdr:from>
    <xdr:to>
      <xdr:col>17</xdr:col>
      <xdr:colOff>4082</xdr:colOff>
      <xdr:row>16</xdr:row>
      <xdr:rowOff>238597</xdr:rowOff>
    </xdr:to>
    <xdr:cxnSp macro="">
      <xdr:nvCxnSpPr>
        <xdr:cNvPr id="1829" name="SCHEMA_T02_COND_0114">
          <a:extLst>
            <a:ext uri="{FF2B5EF4-FFF2-40B4-BE49-F238E27FC236}">
              <a16:creationId xmlns:a16="http://schemas.microsoft.com/office/drawing/2014/main" id="{A75258D3-700D-3233-76EC-3B65475F0D01}"/>
            </a:ext>
          </a:extLst>
        </xdr:cNvPr>
        <xdr:cNvCxnSpPr/>
      </xdr:nvCxnSpPr>
      <xdr:spPr>
        <a:xfrm>
          <a:off x="6784975" y="4987385"/>
          <a:ext cx="222250" cy="4092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8618</xdr:colOff>
      <xdr:row>16</xdr:row>
      <xdr:rowOff>14220</xdr:rowOff>
    </xdr:from>
    <xdr:to>
      <xdr:col>15</xdr:col>
      <xdr:colOff>230868</xdr:colOff>
      <xdr:row>16</xdr:row>
      <xdr:rowOff>224479</xdr:rowOff>
    </xdr:to>
    <xdr:cxnSp macro="">
      <xdr:nvCxnSpPr>
        <xdr:cNvPr id="1830" name="SCHEMA_T02_COND_0115">
          <a:extLst>
            <a:ext uri="{FF2B5EF4-FFF2-40B4-BE49-F238E27FC236}">
              <a16:creationId xmlns:a16="http://schemas.microsoft.com/office/drawing/2014/main" id="{F90FA4BA-9DF4-2825-C142-3690A5D685D8}"/>
            </a:ext>
          </a:extLst>
        </xdr:cNvPr>
        <xdr:cNvCxnSpPr/>
      </xdr:nvCxnSpPr>
      <xdr:spPr>
        <a:xfrm>
          <a:off x="6340475" y="4803934"/>
          <a:ext cx="222250" cy="21025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230868</xdr:colOff>
      <xdr:row>16</xdr:row>
      <xdr:rowOff>224479</xdr:rowOff>
    </xdr:from>
    <xdr:to>
      <xdr:col>16</xdr:col>
      <xdr:colOff>117475</xdr:colOff>
      <xdr:row>17</xdr:row>
      <xdr:rowOff>105142</xdr:rowOff>
    </xdr:to>
    <xdr:cxnSp macro="">
      <xdr:nvCxnSpPr>
        <xdr:cNvPr id="1831" name="SCHEMA_T02_COND_0116">
          <a:extLst>
            <a:ext uri="{FF2B5EF4-FFF2-40B4-BE49-F238E27FC236}">
              <a16:creationId xmlns:a16="http://schemas.microsoft.com/office/drawing/2014/main" id="{31C198F1-C929-0E8D-83CF-465737A21A3F}"/>
            </a:ext>
          </a:extLst>
        </xdr:cNvPr>
        <xdr:cNvCxnSpPr/>
      </xdr:nvCxnSpPr>
      <xdr:spPr>
        <a:xfrm>
          <a:off x="6562725" y="5014193"/>
          <a:ext cx="222250" cy="12559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117475</xdr:colOff>
      <xdr:row>17</xdr:row>
      <xdr:rowOff>105142</xdr:rowOff>
    </xdr:from>
    <xdr:to>
      <xdr:col>17</xdr:col>
      <xdr:colOff>4082</xdr:colOff>
      <xdr:row>17</xdr:row>
      <xdr:rowOff>146068</xdr:rowOff>
    </xdr:to>
    <xdr:cxnSp macro="">
      <xdr:nvCxnSpPr>
        <xdr:cNvPr id="1832" name="SCHEMA_T02_COND_0117">
          <a:extLst>
            <a:ext uri="{FF2B5EF4-FFF2-40B4-BE49-F238E27FC236}">
              <a16:creationId xmlns:a16="http://schemas.microsoft.com/office/drawing/2014/main" id="{C76D784A-C2AA-2F5C-4AE1-4CE29340D1BD}"/>
            </a:ext>
          </a:extLst>
        </xdr:cNvPr>
        <xdr:cNvCxnSpPr/>
      </xdr:nvCxnSpPr>
      <xdr:spPr>
        <a:xfrm>
          <a:off x="6784975" y="5139785"/>
          <a:ext cx="222250" cy="4092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8618</xdr:colOff>
      <xdr:row>16</xdr:row>
      <xdr:rowOff>115820</xdr:rowOff>
    </xdr:from>
    <xdr:to>
      <xdr:col>15</xdr:col>
      <xdr:colOff>230868</xdr:colOff>
      <xdr:row>17</xdr:row>
      <xdr:rowOff>81150</xdr:rowOff>
    </xdr:to>
    <xdr:cxnSp macro="">
      <xdr:nvCxnSpPr>
        <xdr:cNvPr id="1833" name="SCHEMA_T02_COND_0118">
          <a:extLst>
            <a:ext uri="{FF2B5EF4-FFF2-40B4-BE49-F238E27FC236}">
              <a16:creationId xmlns:a16="http://schemas.microsoft.com/office/drawing/2014/main" id="{39E222B1-29FB-775D-D5D6-D00C87DA44DB}"/>
            </a:ext>
          </a:extLst>
        </xdr:cNvPr>
        <xdr:cNvCxnSpPr/>
      </xdr:nvCxnSpPr>
      <xdr:spPr>
        <a:xfrm>
          <a:off x="6340475" y="4905534"/>
          <a:ext cx="222250" cy="21025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230868</xdr:colOff>
      <xdr:row>17</xdr:row>
      <xdr:rowOff>81150</xdr:rowOff>
    </xdr:from>
    <xdr:to>
      <xdr:col>16</xdr:col>
      <xdr:colOff>117475</xdr:colOff>
      <xdr:row>17</xdr:row>
      <xdr:rowOff>206742</xdr:rowOff>
    </xdr:to>
    <xdr:cxnSp macro="">
      <xdr:nvCxnSpPr>
        <xdr:cNvPr id="1834" name="SCHEMA_T02_COND_0119">
          <a:extLst>
            <a:ext uri="{FF2B5EF4-FFF2-40B4-BE49-F238E27FC236}">
              <a16:creationId xmlns:a16="http://schemas.microsoft.com/office/drawing/2014/main" id="{B536425F-AD3A-A271-61F8-B55A9F5800B2}"/>
            </a:ext>
          </a:extLst>
        </xdr:cNvPr>
        <xdr:cNvCxnSpPr/>
      </xdr:nvCxnSpPr>
      <xdr:spPr>
        <a:xfrm>
          <a:off x="6562725" y="5115793"/>
          <a:ext cx="222250" cy="12559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117475</xdr:colOff>
      <xdr:row>17</xdr:row>
      <xdr:rowOff>206742</xdr:rowOff>
    </xdr:from>
    <xdr:to>
      <xdr:col>17</xdr:col>
      <xdr:colOff>4082</xdr:colOff>
      <xdr:row>18</xdr:row>
      <xdr:rowOff>2740</xdr:rowOff>
    </xdr:to>
    <xdr:cxnSp macro="">
      <xdr:nvCxnSpPr>
        <xdr:cNvPr id="1835" name="SCHEMA_T02_COND_0120">
          <a:extLst>
            <a:ext uri="{FF2B5EF4-FFF2-40B4-BE49-F238E27FC236}">
              <a16:creationId xmlns:a16="http://schemas.microsoft.com/office/drawing/2014/main" id="{625DED8A-9F68-01FC-EFA2-3E86A0F7CD28}"/>
            </a:ext>
          </a:extLst>
        </xdr:cNvPr>
        <xdr:cNvCxnSpPr/>
      </xdr:nvCxnSpPr>
      <xdr:spPr>
        <a:xfrm>
          <a:off x="6784975" y="5241385"/>
          <a:ext cx="222250" cy="4092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303893</xdr:colOff>
      <xdr:row>25</xdr:row>
      <xdr:rowOff>41729</xdr:rowOff>
    </xdr:from>
    <xdr:to>
      <xdr:col>16</xdr:col>
      <xdr:colOff>44450</xdr:colOff>
      <xdr:row>25</xdr:row>
      <xdr:rowOff>117929</xdr:rowOff>
    </xdr:to>
    <xdr:sp macro="" textlink="">
      <xdr:nvSpPr>
        <xdr:cNvPr id="1836" name="SCHEMA_T02_ATTRAV_08">
          <a:extLst>
            <a:ext uri="{FF2B5EF4-FFF2-40B4-BE49-F238E27FC236}">
              <a16:creationId xmlns:a16="http://schemas.microsoft.com/office/drawing/2014/main" id="{D23DD2F4-508A-C443-1A0E-D116208660AA}"/>
            </a:ext>
          </a:extLst>
        </xdr:cNvPr>
        <xdr:cNvSpPr/>
      </xdr:nvSpPr>
      <xdr:spPr>
        <a:xfrm>
          <a:off x="6635750" y="7035800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17</xdr:col>
      <xdr:colOff>4082</xdr:colOff>
      <xdr:row>15</xdr:row>
      <xdr:rowOff>216825</xdr:rowOff>
    </xdr:from>
    <xdr:to>
      <xdr:col>17</xdr:col>
      <xdr:colOff>226332</xdr:colOff>
      <xdr:row>16</xdr:row>
      <xdr:rowOff>38362</xdr:rowOff>
    </xdr:to>
    <xdr:cxnSp macro="">
      <xdr:nvCxnSpPr>
        <xdr:cNvPr id="1837" name="SCHEMA_T02_COND_0121">
          <a:extLst>
            <a:ext uri="{FF2B5EF4-FFF2-40B4-BE49-F238E27FC236}">
              <a16:creationId xmlns:a16="http://schemas.microsoft.com/office/drawing/2014/main" id="{5568FFF9-604B-0F21-3521-6A33BC304CE0}"/>
            </a:ext>
          </a:extLst>
        </xdr:cNvPr>
        <xdr:cNvCxnSpPr/>
      </xdr:nvCxnSpPr>
      <xdr:spPr>
        <a:xfrm>
          <a:off x="7007225" y="4761611"/>
          <a:ext cx="222250" cy="66465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226332</xdr:colOff>
      <xdr:row>16</xdr:row>
      <xdr:rowOff>20160</xdr:rowOff>
    </xdr:from>
    <xdr:to>
      <xdr:col>18</xdr:col>
      <xdr:colOff>112939</xdr:colOff>
      <xdr:row>16</xdr:row>
      <xdr:rowOff>38362</xdr:rowOff>
    </xdr:to>
    <xdr:cxnSp macro="">
      <xdr:nvCxnSpPr>
        <xdr:cNvPr id="1838" name="SCHEMA_T02_COND_0122">
          <a:extLst>
            <a:ext uri="{FF2B5EF4-FFF2-40B4-BE49-F238E27FC236}">
              <a16:creationId xmlns:a16="http://schemas.microsoft.com/office/drawing/2014/main" id="{57B9CB6A-179F-1097-35CF-18D7661F1FD2}"/>
            </a:ext>
          </a:extLst>
        </xdr:cNvPr>
        <xdr:cNvCxnSpPr/>
      </xdr:nvCxnSpPr>
      <xdr:spPr>
        <a:xfrm flipV="1">
          <a:off x="7229475" y="4809874"/>
          <a:ext cx="222250" cy="18202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112939</xdr:colOff>
      <xdr:row>15</xdr:row>
      <xdr:rowOff>162220</xdr:rowOff>
    </xdr:from>
    <xdr:to>
      <xdr:col>18</xdr:col>
      <xdr:colOff>335189</xdr:colOff>
      <xdr:row>16</xdr:row>
      <xdr:rowOff>20160</xdr:rowOff>
    </xdr:to>
    <xdr:cxnSp macro="">
      <xdr:nvCxnSpPr>
        <xdr:cNvPr id="1839" name="SCHEMA_T02_COND_0123">
          <a:extLst>
            <a:ext uri="{FF2B5EF4-FFF2-40B4-BE49-F238E27FC236}">
              <a16:creationId xmlns:a16="http://schemas.microsoft.com/office/drawing/2014/main" id="{C83F3F65-38E2-01E8-75A7-35534460B3EF}"/>
            </a:ext>
          </a:extLst>
        </xdr:cNvPr>
        <xdr:cNvCxnSpPr/>
      </xdr:nvCxnSpPr>
      <xdr:spPr>
        <a:xfrm flipV="1">
          <a:off x="7451725" y="4707006"/>
          <a:ext cx="222250" cy="102868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4082</xdr:colOff>
      <xdr:row>16</xdr:row>
      <xdr:rowOff>136997</xdr:rowOff>
    </xdr:from>
    <xdr:to>
      <xdr:col>17</xdr:col>
      <xdr:colOff>226332</xdr:colOff>
      <xdr:row>16</xdr:row>
      <xdr:rowOff>203462</xdr:rowOff>
    </xdr:to>
    <xdr:cxnSp macro="">
      <xdr:nvCxnSpPr>
        <xdr:cNvPr id="1840" name="SCHEMA_T02_COND_0124">
          <a:extLst>
            <a:ext uri="{FF2B5EF4-FFF2-40B4-BE49-F238E27FC236}">
              <a16:creationId xmlns:a16="http://schemas.microsoft.com/office/drawing/2014/main" id="{9DC96348-03CC-187D-6332-531929D5C5B3}"/>
            </a:ext>
          </a:extLst>
        </xdr:cNvPr>
        <xdr:cNvCxnSpPr/>
      </xdr:nvCxnSpPr>
      <xdr:spPr>
        <a:xfrm>
          <a:off x="7007225" y="4926711"/>
          <a:ext cx="222250" cy="6646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226332</xdr:colOff>
      <xdr:row>16</xdr:row>
      <xdr:rowOff>185260</xdr:rowOff>
    </xdr:from>
    <xdr:to>
      <xdr:col>18</xdr:col>
      <xdr:colOff>112939</xdr:colOff>
      <xdr:row>16</xdr:row>
      <xdr:rowOff>203462</xdr:rowOff>
    </xdr:to>
    <xdr:cxnSp macro="">
      <xdr:nvCxnSpPr>
        <xdr:cNvPr id="1841" name="SCHEMA_T02_COND_0125">
          <a:extLst>
            <a:ext uri="{FF2B5EF4-FFF2-40B4-BE49-F238E27FC236}">
              <a16:creationId xmlns:a16="http://schemas.microsoft.com/office/drawing/2014/main" id="{C07457A8-115D-17F4-AA31-5D94CE1F7C5A}"/>
            </a:ext>
          </a:extLst>
        </xdr:cNvPr>
        <xdr:cNvCxnSpPr/>
      </xdr:nvCxnSpPr>
      <xdr:spPr>
        <a:xfrm flipV="1">
          <a:off x="7229475" y="4974974"/>
          <a:ext cx="222250" cy="1820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112939</xdr:colOff>
      <xdr:row>16</xdr:row>
      <xdr:rowOff>82392</xdr:rowOff>
    </xdr:from>
    <xdr:to>
      <xdr:col>18</xdr:col>
      <xdr:colOff>335189</xdr:colOff>
      <xdr:row>16</xdr:row>
      <xdr:rowOff>185260</xdr:rowOff>
    </xdr:to>
    <xdr:cxnSp macro="">
      <xdr:nvCxnSpPr>
        <xdr:cNvPr id="1842" name="SCHEMA_T02_COND_0126">
          <a:extLst>
            <a:ext uri="{FF2B5EF4-FFF2-40B4-BE49-F238E27FC236}">
              <a16:creationId xmlns:a16="http://schemas.microsoft.com/office/drawing/2014/main" id="{1423C47C-B811-26C7-DE54-BE875C8A0EFD}"/>
            </a:ext>
          </a:extLst>
        </xdr:cNvPr>
        <xdr:cNvCxnSpPr/>
      </xdr:nvCxnSpPr>
      <xdr:spPr>
        <a:xfrm flipV="1">
          <a:off x="7451725" y="4872106"/>
          <a:ext cx="222250" cy="10286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4082</xdr:colOff>
      <xdr:row>16</xdr:row>
      <xdr:rowOff>238597</xdr:rowOff>
    </xdr:from>
    <xdr:to>
      <xdr:col>17</xdr:col>
      <xdr:colOff>226332</xdr:colOff>
      <xdr:row>17</xdr:row>
      <xdr:rowOff>60133</xdr:rowOff>
    </xdr:to>
    <xdr:cxnSp macro="">
      <xdr:nvCxnSpPr>
        <xdr:cNvPr id="1843" name="SCHEMA_T02_COND_0127">
          <a:extLst>
            <a:ext uri="{FF2B5EF4-FFF2-40B4-BE49-F238E27FC236}">
              <a16:creationId xmlns:a16="http://schemas.microsoft.com/office/drawing/2014/main" id="{32F03B82-BF57-5AD4-75E4-00BE77259783}"/>
            </a:ext>
          </a:extLst>
        </xdr:cNvPr>
        <xdr:cNvCxnSpPr/>
      </xdr:nvCxnSpPr>
      <xdr:spPr>
        <a:xfrm>
          <a:off x="7007225" y="5028311"/>
          <a:ext cx="222250" cy="6646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226332</xdr:colOff>
      <xdr:row>17</xdr:row>
      <xdr:rowOff>41931</xdr:rowOff>
    </xdr:from>
    <xdr:to>
      <xdr:col>18</xdr:col>
      <xdr:colOff>112939</xdr:colOff>
      <xdr:row>17</xdr:row>
      <xdr:rowOff>60133</xdr:rowOff>
    </xdr:to>
    <xdr:cxnSp macro="">
      <xdr:nvCxnSpPr>
        <xdr:cNvPr id="1844" name="SCHEMA_T02_COND_0128">
          <a:extLst>
            <a:ext uri="{FF2B5EF4-FFF2-40B4-BE49-F238E27FC236}">
              <a16:creationId xmlns:a16="http://schemas.microsoft.com/office/drawing/2014/main" id="{B6B93E13-DF35-2577-49B7-7BB144DC4CFC}"/>
            </a:ext>
          </a:extLst>
        </xdr:cNvPr>
        <xdr:cNvCxnSpPr/>
      </xdr:nvCxnSpPr>
      <xdr:spPr>
        <a:xfrm flipV="1">
          <a:off x="7229475" y="5076574"/>
          <a:ext cx="222250" cy="1820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112939</xdr:colOff>
      <xdr:row>16</xdr:row>
      <xdr:rowOff>183992</xdr:rowOff>
    </xdr:from>
    <xdr:to>
      <xdr:col>18</xdr:col>
      <xdr:colOff>335189</xdr:colOff>
      <xdr:row>17</xdr:row>
      <xdr:rowOff>41931</xdr:rowOff>
    </xdr:to>
    <xdr:cxnSp macro="">
      <xdr:nvCxnSpPr>
        <xdr:cNvPr id="1845" name="SCHEMA_T02_COND_0129">
          <a:extLst>
            <a:ext uri="{FF2B5EF4-FFF2-40B4-BE49-F238E27FC236}">
              <a16:creationId xmlns:a16="http://schemas.microsoft.com/office/drawing/2014/main" id="{0498AB9C-4858-3B33-96F8-283C05436161}"/>
            </a:ext>
          </a:extLst>
        </xdr:cNvPr>
        <xdr:cNvCxnSpPr/>
      </xdr:nvCxnSpPr>
      <xdr:spPr>
        <a:xfrm flipV="1">
          <a:off x="7451725" y="4973706"/>
          <a:ext cx="222250" cy="10286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4082</xdr:colOff>
      <xdr:row>17</xdr:row>
      <xdr:rowOff>146068</xdr:rowOff>
    </xdr:from>
    <xdr:to>
      <xdr:col>17</xdr:col>
      <xdr:colOff>226332</xdr:colOff>
      <xdr:row>17</xdr:row>
      <xdr:rowOff>212533</xdr:rowOff>
    </xdr:to>
    <xdr:cxnSp macro="">
      <xdr:nvCxnSpPr>
        <xdr:cNvPr id="1846" name="SCHEMA_T02_COND_0130">
          <a:extLst>
            <a:ext uri="{FF2B5EF4-FFF2-40B4-BE49-F238E27FC236}">
              <a16:creationId xmlns:a16="http://schemas.microsoft.com/office/drawing/2014/main" id="{F390A3B7-87B6-38E4-2A0C-3D06344FE6F1}"/>
            </a:ext>
          </a:extLst>
        </xdr:cNvPr>
        <xdr:cNvCxnSpPr/>
      </xdr:nvCxnSpPr>
      <xdr:spPr>
        <a:xfrm>
          <a:off x="7007225" y="5180711"/>
          <a:ext cx="222250" cy="6646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226332</xdr:colOff>
      <xdr:row>17</xdr:row>
      <xdr:rowOff>194331</xdr:rowOff>
    </xdr:from>
    <xdr:to>
      <xdr:col>18</xdr:col>
      <xdr:colOff>112939</xdr:colOff>
      <xdr:row>17</xdr:row>
      <xdr:rowOff>212533</xdr:rowOff>
    </xdr:to>
    <xdr:cxnSp macro="">
      <xdr:nvCxnSpPr>
        <xdr:cNvPr id="1847" name="SCHEMA_T02_COND_0131">
          <a:extLst>
            <a:ext uri="{FF2B5EF4-FFF2-40B4-BE49-F238E27FC236}">
              <a16:creationId xmlns:a16="http://schemas.microsoft.com/office/drawing/2014/main" id="{DD9692C5-261E-C183-CB22-00734ABFAB93}"/>
            </a:ext>
          </a:extLst>
        </xdr:cNvPr>
        <xdr:cNvCxnSpPr/>
      </xdr:nvCxnSpPr>
      <xdr:spPr>
        <a:xfrm flipV="1">
          <a:off x="7229475" y="5228974"/>
          <a:ext cx="222250" cy="1820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112939</xdr:colOff>
      <xdr:row>17</xdr:row>
      <xdr:rowOff>91463</xdr:rowOff>
    </xdr:from>
    <xdr:to>
      <xdr:col>18</xdr:col>
      <xdr:colOff>335189</xdr:colOff>
      <xdr:row>17</xdr:row>
      <xdr:rowOff>194331</xdr:rowOff>
    </xdr:to>
    <xdr:cxnSp macro="">
      <xdr:nvCxnSpPr>
        <xdr:cNvPr id="1848" name="SCHEMA_T02_COND_0132">
          <a:extLst>
            <a:ext uri="{FF2B5EF4-FFF2-40B4-BE49-F238E27FC236}">
              <a16:creationId xmlns:a16="http://schemas.microsoft.com/office/drawing/2014/main" id="{C05639BA-6FA6-A69F-2798-8975BC7C3EB3}"/>
            </a:ext>
          </a:extLst>
        </xdr:cNvPr>
        <xdr:cNvCxnSpPr/>
      </xdr:nvCxnSpPr>
      <xdr:spPr>
        <a:xfrm flipV="1">
          <a:off x="7451725" y="5126106"/>
          <a:ext cx="222250" cy="10286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4082</xdr:colOff>
      <xdr:row>18</xdr:row>
      <xdr:rowOff>2740</xdr:rowOff>
    </xdr:from>
    <xdr:to>
      <xdr:col>17</xdr:col>
      <xdr:colOff>226332</xdr:colOff>
      <xdr:row>18</xdr:row>
      <xdr:rowOff>69205</xdr:rowOff>
    </xdr:to>
    <xdr:cxnSp macro="">
      <xdr:nvCxnSpPr>
        <xdr:cNvPr id="1849" name="SCHEMA_T02_COND_0133">
          <a:extLst>
            <a:ext uri="{FF2B5EF4-FFF2-40B4-BE49-F238E27FC236}">
              <a16:creationId xmlns:a16="http://schemas.microsoft.com/office/drawing/2014/main" id="{DE9637CB-933E-72BE-877F-0E6B17C6A7A0}"/>
            </a:ext>
          </a:extLst>
        </xdr:cNvPr>
        <xdr:cNvCxnSpPr/>
      </xdr:nvCxnSpPr>
      <xdr:spPr>
        <a:xfrm>
          <a:off x="7007225" y="5282311"/>
          <a:ext cx="222250" cy="6646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226332</xdr:colOff>
      <xdr:row>18</xdr:row>
      <xdr:rowOff>51003</xdr:rowOff>
    </xdr:from>
    <xdr:to>
      <xdr:col>18</xdr:col>
      <xdr:colOff>112939</xdr:colOff>
      <xdr:row>18</xdr:row>
      <xdr:rowOff>69205</xdr:rowOff>
    </xdr:to>
    <xdr:cxnSp macro="">
      <xdr:nvCxnSpPr>
        <xdr:cNvPr id="1850" name="SCHEMA_T02_COND_0134">
          <a:extLst>
            <a:ext uri="{FF2B5EF4-FFF2-40B4-BE49-F238E27FC236}">
              <a16:creationId xmlns:a16="http://schemas.microsoft.com/office/drawing/2014/main" id="{DA19D1C2-F2F6-9F4F-FD7D-8A1FAB17A062}"/>
            </a:ext>
          </a:extLst>
        </xdr:cNvPr>
        <xdr:cNvCxnSpPr/>
      </xdr:nvCxnSpPr>
      <xdr:spPr>
        <a:xfrm flipV="1">
          <a:off x="7229475" y="5330574"/>
          <a:ext cx="222250" cy="1820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112939</xdr:colOff>
      <xdr:row>17</xdr:row>
      <xdr:rowOff>193063</xdr:rowOff>
    </xdr:from>
    <xdr:to>
      <xdr:col>18</xdr:col>
      <xdr:colOff>335189</xdr:colOff>
      <xdr:row>18</xdr:row>
      <xdr:rowOff>51003</xdr:rowOff>
    </xdr:to>
    <xdr:cxnSp macro="">
      <xdr:nvCxnSpPr>
        <xdr:cNvPr id="1851" name="SCHEMA_T02_COND_0135">
          <a:extLst>
            <a:ext uri="{FF2B5EF4-FFF2-40B4-BE49-F238E27FC236}">
              <a16:creationId xmlns:a16="http://schemas.microsoft.com/office/drawing/2014/main" id="{317329CF-1954-D006-BE0A-2081C863C818}"/>
            </a:ext>
          </a:extLst>
        </xdr:cNvPr>
        <xdr:cNvCxnSpPr/>
      </xdr:nvCxnSpPr>
      <xdr:spPr>
        <a:xfrm flipV="1">
          <a:off x="7451725" y="5227706"/>
          <a:ext cx="222250" cy="10286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335189</xdr:colOff>
      <xdr:row>15</xdr:row>
      <xdr:rowOff>162220</xdr:rowOff>
    </xdr:from>
    <xdr:to>
      <xdr:col>19</xdr:col>
      <xdr:colOff>221796</xdr:colOff>
      <xdr:row>15</xdr:row>
      <xdr:rowOff>183180</xdr:rowOff>
    </xdr:to>
    <xdr:cxnSp macro="">
      <xdr:nvCxnSpPr>
        <xdr:cNvPr id="1852" name="SCHEMA_T02_COND_0136">
          <a:extLst>
            <a:ext uri="{FF2B5EF4-FFF2-40B4-BE49-F238E27FC236}">
              <a16:creationId xmlns:a16="http://schemas.microsoft.com/office/drawing/2014/main" id="{F3069836-60BB-BF49-140A-A223216CAE4A}"/>
            </a:ext>
          </a:extLst>
        </xdr:cNvPr>
        <xdr:cNvCxnSpPr/>
      </xdr:nvCxnSpPr>
      <xdr:spPr>
        <a:xfrm>
          <a:off x="7673975" y="4707006"/>
          <a:ext cx="222250" cy="20960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221796</xdr:colOff>
      <xdr:row>15</xdr:row>
      <xdr:rowOff>119474</xdr:rowOff>
    </xdr:from>
    <xdr:to>
      <xdr:col>20</xdr:col>
      <xdr:colOff>108404</xdr:colOff>
      <xdr:row>15</xdr:row>
      <xdr:rowOff>183180</xdr:rowOff>
    </xdr:to>
    <xdr:cxnSp macro="">
      <xdr:nvCxnSpPr>
        <xdr:cNvPr id="1853" name="SCHEMA_T02_COND_0137">
          <a:extLst>
            <a:ext uri="{FF2B5EF4-FFF2-40B4-BE49-F238E27FC236}">
              <a16:creationId xmlns:a16="http://schemas.microsoft.com/office/drawing/2014/main" id="{281F27BD-9BA0-CEB9-B330-61CF068137A1}"/>
            </a:ext>
          </a:extLst>
        </xdr:cNvPr>
        <xdr:cNvCxnSpPr/>
      </xdr:nvCxnSpPr>
      <xdr:spPr>
        <a:xfrm flipV="1">
          <a:off x="7896225" y="4664260"/>
          <a:ext cx="222250" cy="63706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108404</xdr:colOff>
      <xdr:row>14</xdr:row>
      <xdr:rowOff>216030</xdr:rowOff>
    </xdr:from>
    <xdr:to>
      <xdr:col>20</xdr:col>
      <xdr:colOff>330654</xdr:colOff>
      <xdr:row>15</xdr:row>
      <xdr:rowOff>119474</xdr:rowOff>
    </xdr:to>
    <xdr:cxnSp macro="">
      <xdr:nvCxnSpPr>
        <xdr:cNvPr id="1854" name="SCHEMA_T02_COND_0138">
          <a:extLst>
            <a:ext uri="{FF2B5EF4-FFF2-40B4-BE49-F238E27FC236}">
              <a16:creationId xmlns:a16="http://schemas.microsoft.com/office/drawing/2014/main" id="{2C109F05-FCA6-EB05-6FB2-2BD43CB668FF}"/>
            </a:ext>
          </a:extLst>
        </xdr:cNvPr>
        <xdr:cNvCxnSpPr/>
      </xdr:nvCxnSpPr>
      <xdr:spPr>
        <a:xfrm flipV="1">
          <a:off x="8118475" y="4515887"/>
          <a:ext cx="222250" cy="148373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335189</xdr:colOff>
      <xdr:row>16</xdr:row>
      <xdr:rowOff>82392</xdr:rowOff>
    </xdr:from>
    <xdr:to>
      <xdr:col>19</xdr:col>
      <xdr:colOff>221796</xdr:colOff>
      <xdr:row>16</xdr:row>
      <xdr:rowOff>103352</xdr:rowOff>
    </xdr:to>
    <xdr:cxnSp macro="">
      <xdr:nvCxnSpPr>
        <xdr:cNvPr id="1855" name="SCHEMA_T02_COND_0139">
          <a:extLst>
            <a:ext uri="{FF2B5EF4-FFF2-40B4-BE49-F238E27FC236}">
              <a16:creationId xmlns:a16="http://schemas.microsoft.com/office/drawing/2014/main" id="{D8F4F8C7-92BC-81EF-F038-6B911A0CE8F2}"/>
            </a:ext>
          </a:extLst>
        </xdr:cNvPr>
        <xdr:cNvCxnSpPr/>
      </xdr:nvCxnSpPr>
      <xdr:spPr>
        <a:xfrm>
          <a:off x="7673975" y="4872106"/>
          <a:ext cx="222250" cy="2096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221796</xdr:colOff>
      <xdr:row>16</xdr:row>
      <xdr:rowOff>39646</xdr:rowOff>
    </xdr:from>
    <xdr:to>
      <xdr:col>20</xdr:col>
      <xdr:colOff>108404</xdr:colOff>
      <xdr:row>16</xdr:row>
      <xdr:rowOff>103352</xdr:rowOff>
    </xdr:to>
    <xdr:cxnSp macro="">
      <xdr:nvCxnSpPr>
        <xdr:cNvPr id="1856" name="SCHEMA_T02_COND_0140">
          <a:extLst>
            <a:ext uri="{FF2B5EF4-FFF2-40B4-BE49-F238E27FC236}">
              <a16:creationId xmlns:a16="http://schemas.microsoft.com/office/drawing/2014/main" id="{ED52E49A-07D4-F558-6F96-2B2D5D1A6D7D}"/>
            </a:ext>
          </a:extLst>
        </xdr:cNvPr>
        <xdr:cNvCxnSpPr/>
      </xdr:nvCxnSpPr>
      <xdr:spPr>
        <a:xfrm flipV="1">
          <a:off x="7896225" y="4829360"/>
          <a:ext cx="222250" cy="6370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108404</xdr:colOff>
      <xdr:row>15</xdr:row>
      <xdr:rowOff>136201</xdr:rowOff>
    </xdr:from>
    <xdr:to>
      <xdr:col>20</xdr:col>
      <xdr:colOff>330654</xdr:colOff>
      <xdr:row>16</xdr:row>
      <xdr:rowOff>39646</xdr:rowOff>
    </xdr:to>
    <xdr:cxnSp macro="">
      <xdr:nvCxnSpPr>
        <xdr:cNvPr id="1857" name="SCHEMA_T02_COND_0141">
          <a:extLst>
            <a:ext uri="{FF2B5EF4-FFF2-40B4-BE49-F238E27FC236}">
              <a16:creationId xmlns:a16="http://schemas.microsoft.com/office/drawing/2014/main" id="{0E4A28C9-0C62-2974-BFE9-D0B72FB662E4}"/>
            </a:ext>
          </a:extLst>
        </xdr:cNvPr>
        <xdr:cNvCxnSpPr/>
      </xdr:nvCxnSpPr>
      <xdr:spPr>
        <a:xfrm flipV="1">
          <a:off x="8118475" y="4680987"/>
          <a:ext cx="222250" cy="14837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335189</xdr:colOff>
      <xdr:row>16</xdr:row>
      <xdr:rowOff>183992</xdr:rowOff>
    </xdr:from>
    <xdr:to>
      <xdr:col>19</xdr:col>
      <xdr:colOff>221796</xdr:colOff>
      <xdr:row>16</xdr:row>
      <xdr:rowOff>204952</xdr:rowOff>
    </xdr:to>
    <xdr:cxnSp macro="">
      <xdr:nvCxnSpPr>
        <xdr:cNvPr id="1858" name="SCHEMA_T02_COND_0142">
          <a:extLst>
            <a:ext uri="{FF2B5EF4-FFF2-40B4-BE49-F238E27FC236}">
              <a16:creationId xmlns:a16="http://schemas.microsoft.com/office/drawing/2014/main" id="{48AD87E1-65F9-5C9E-87D0-66A8CC8592E0}"/>
            </a:ext>
          </a:extLst>
        </xdr:cNvPr>
        <xdr:cNvCxnSpPr/>
      </xdr:nvCxnSpPr>
      <xdr:spPr>
        <a:xfrm>
          <a:off x="7673975" y="4973706"/>
          <a:ext cx="222250" cy="2096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221796</xdr:colOff>
      <xdr:row>16</xdr:row>
      <xdr:rowOff>141246</xdr:rowOff>
    </xdr:from>
    <xdr:to>
      <xdr:col>20</xdr:col>
      <xdr:colOff>108404</xdr:colOff>
      <xdr:row>16</xdr:row>
      <xdr:rowOff>204952</xdr:rowOff>
    </xdr:to>
    <xdr:cxnSp macro="">
      <xdr:nvCxnSpPr>
        <xdr:cNvPr id="1859" name="SCHEMA_T02_COND_0143">
          <a:extLst>
            <a:ext uri="{FF2B5EF4-FFF2-40B4-BE49-F238E27FC236}">
              <a16:creationId xmlns:a16="http://schemas.microsoft.com/office/drawing/2014/main" id="{F1E01BD8-7897-A33A-5CD6-6A4BF229D9EE}"/>
            </a:ext>
          </a:extLst>
        </xdr:cNvPr>
        <xdr:cNvCxnSpPr/>
      </xdr:nvCxnSpPr>
      <xdr:spPr>
        <a:xfrm flipV="1">
          <a:off x="7896225" y="4930960"/>
          <a:ext cx="222250" cy="6370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108404</xdr:colOff>
      <xdr:row>15</xdr:row>
      <xdr:rowOff>237801</xdr:rowOff>
    </xdr:from>
    <xdr:to>
      <xdr:col>20</xdr:col>
      <xdr:colOff>330654</xdr:colOff>
      <xdr:row>16</xdr:row>
      <xdr:rowOff>141246</xdr:rowOff>
    </xdr:to>
    <xdr:cxnSp macro="">
      <xdr:nvCxnSpPr>
        <xdr:cNvPr id="1860" name="SCHEMA_T02_COND_0144">
          <a:extLst>
            <a:ext uri="{FF2B5EF4-FFF2-40B4-BE49-F238E27FC236}">
              <a16:creationId xmlns:a16="http://schemas.microsoft.com/office/drawing/2014/main" id="{7FF1F8A8-0EA9-CCC5-5858-FCDA29A6325F}"/>
            </a:ext>
          </a:extLst>
        </xdr:cNvPr>
        <xdr:cNvCxnSpPr/>
      </xdr:nvCxnSpPr>
      <xdr:spPr>
        <a:xfrm flipV="1">
          <a:off x="8118475" y="4782587"/>
          <a:ext cx="222250" cy="14837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335189</xdr:colOff>
      <xdr:row>17</xdr:row>
      <xdr:rowOff>91463</xdr:rowOff>
    </xdr:from>
    <xdr:to>
      <xdr:col>19</xdr:col>
      <xdr:colOff>221796</xdr:colOff>
      <xdr:row>17</xdr:row>
      <xdr:rowOff>112423</xdr:rowOff>
    </xdr:to>
    <xdr:cxnSp macro="">
      <xdr:nvCxnSpPr>
        <xdr:cNvPr id="1861" name="SCHEMA_T02_COND_0145">
          <a:extLst>
            <a:ext uri="{FF2B5EF4-FFF2-40B4-BE49-F238E27FC236}">
              <a16:creationId xmlns:a16="http://schemas.microsoft.com/office/drawing/2014/main" id="{205478C2-089B-E8DB-9B26-3504197E41C4}"/>
            </a:ext>
          </a:extLst>
        </xdr:cNvPr>
        <xdr:cNvCxnSpPr/>
      </xdr:nvCxnSpPr>
      <xdr:spPr>
        <a:xfrm>
          <a:off x="7673975" y="5126106"/>
          <a:ext cx="222250" cy="2096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221796</xdr:colOff>
      <xdr:row>17</xdr:row>
      <xdr:rowOff>48717</xdr:rowOff>
    </xdr:from>
    <xdr:to>
      <xdr:col>20</xdr:col>
      <xdr:colOff>108404</xdr:colOff>
      <xdr:row>17</xdr:row>
      <xdr:rowOff>112423</xdr:rowOff>
    </xdr:to>
    <xdr:cxnSp macro="">
      <xdr:nvCxnSpPr>
        <xdr:cNvPr id="1862" name="SCHEMA_T02_COND_0146">
          <a:extLst>
            <a:ext uri="{FF2B5EF4-FFF2-40B4-BE49-F238E27FC236}">
              <a16:creationId xmlns:a16="http://schemas.microsoft.com/office/drawing/2014/main" id="{826AE95F-FFAF-97BD-B54E-507C54D899F5}"/>
            </a:ext>
          </a:extLst>
        </xdr:cNvPr>
        <xdr:cNvCxnSpPr/>
      </xdr:nvCxnSpPr>
      <xdr:spPr>
        <a:xfrm flipV="1">
          <a:off x="7896225" y="5083360"/>
          <a:ext cx="222250" cy="6370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108404</xdr:colOff>
      <xdr:row>16</xdr:row>
      <xdr:rowOff>145273</xdr:rowOff>
    </xdr:from>
    <xdr:to>
      <xdr:col>20</xdr:col>
      <xdr:colOff>330654</xdr:colOff>
      <xdr:row>17</xdr:row>
      <xdr:rowOff>48717</xdr:rowOff>
    </xdr:to>
    <xdr:cxnSp macro="">
      <xdr:nvCxnSpPr>
        <xdr:cNvPr id="1863" name="SCHEMA_T02_COND_0147">
          <a:extLst>
            <a:ext uri="{FF2B5EF4-FFF2-40B4-BE49-F238E27FC236}">
              <a16:creationId xmlns:a16="http://schemas.microsoft.com/office/drawing/2014/main" id="{8DF757E3-4041-E432-0200-C3DDFA5AEA86}"/>
            </a:ext>
          </a:extLst>
        </xdr:cNvPr>
        <xdr:cNvCxnSpPr/>
      </xdr:nvCxnSpPr>
      <xdr:spPr>
        <a:xfrm flipV="1">
          <a:off x="8118475" y="4934987"/>
          <a:ext cx="222250" cy="14837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335189</xdr:colOff>
      <xdr:row>17</xdr:row>
      <xdr:rowOff>193063</xdr:rowOff>
    </xdr:from>
    <xdr:to>
      <xdr:col>19</xdr:col>
      <xdr:colOff>221796</xdr:colOff>
      <xdr:row>17</xdr:row>
      <xdr:rowOff>214023</xdr:rowOff>
    </xdr:to>
    <xdr:cxnSp macro="">
      <xdr:nvCxnSpPr>
        <xdr:cNvPr id="1864" name="SCHEMA_T02_COND_0148">
          <a:extLst>
            <a:ext uri="{FF2B5EF4-FFF2-40B4-BE49-F238E27FC236}">
              <a16:creationId xmlns:a16="http://schemas.microsoft.com/office/drawing/2014/main" id="{C63287C0-7E31-5209-781C-84332CFED513}"/>
            </a:ext>
          </a:extLst>
        </xdr:cNvPr>
        <xdr:cNvCxnSpPr/>
      </xdr:nvCxnSpPr>
      <xdr:spPr>
        <a:xfrm>
          <a:off x="7673975" y="5227706"/>
          <a:ext cx="222250" cy="2096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221796</xdr:colOff>
      <xdr:row>17</xdr:row>
      <xdr:rowOff>150317</xdr:rowOff>
    </xdr:from>
    <xdr:to>
      <xdr:col>20</xdr:col>
      <xdr:colOff>108404</xdr:colOff>
      <xdr:row>17</xdr:row>
      <xdr:rowOff>214023</xdr:rowOff>
    </xdr:to>
    <xdr:cxnSp macro="">
      <xdr:nvCxnSpPr>
        <xdr:cNvPr id="1865" name="SCHEMA_T02_COND_0149">
          <a:extLst>
            <a:ext uri="{FF2B5EF4-FFF2-40B4-BE49-F238E27FC236}">
              <a16:creationId xmlns:a16="http://schemas.microsoft.com/office/drawing/2014/main" id="{E674DB7C-81E9-56B7-E86A-F9BF045099A1}"/>
            </a:ext>
          </a:extLst>
        </xdr:cNvPr>
        <xdr:cNvCxnSpPr/>
      </xdr:nvCxnSpPr>
      <xdr:spPr>
        <a:xfrm flipV="1">
          <a:off x="7896225" y="5184960"/>
          <a:ext cx="222250" cy="6370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108404</xdr:colOff>
      <xdr:row>17</xdr:row>
      <xdr:rowOff>1944</xdr:rowOff>
    </xdr:from>
    <xdr:to>
      <xdr:col>20</xdr:col>
      <xdr:colOff>330654</xdr:colOff>
      <xdr:row>17</xdr:row>
      <xdr:rowOff>150317</xdr:rowOff>
    </xdr:to>
    <xdr:cxnSp macro="">
      <xdr:nvCxnSpPr>
        <xdr:cNvPr id="1866" name="SCHEMA_T02_COND_0150">
          <a:extLst>
            <a:ext uri="{FF2B5EF4-FFF2-40B4-BE49-F238E27FC236}">
              <a16:creationId xmlns:a16="http://schemas.microsoft.com/office/drawing/2014/main" id="{40AB5550-53E3-04A9-A3F1-33CBC4622837}"/>
            </a:ext>
          </a:extLst>
        </xdr:cNvPr>
        <xdr:cNvCxnSpPr/>
      </xdr:nvCxnSpPr>
      <xdr:spPr>
        <a:xfrm flipV="1">
          <a:off x="8118475" y="5036587"/>
          <a:ext cx="222250" cy="14837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330654</xdr:colOff>
      <xdr:row>14</xdr:row>
      <xdr:rowOff>216030</xdr:rowOff>
    </xdr:from>
    <xdr:to>
      <xdr:col>21</xdr:col>
      <xdr:colOff>217261</xdr:colOff>
      <xdr:row>15</xdr:row>
      <xdr:rowOff>106732</xdr:rowOff>
    </xdr:to>
    <xdr:cxnSp macro="">
      <xdr:nvCxnSpPr>
        <xdr:cNvPr id="1867" name="SCHEMA_T02_COND_0151">
          <a:extLst>
            <a:ext uri="{FF2B5EF4-FFF2-40B4-BE49-F238E27FC236}">
              <a16:creationId xmlns:a16="http://schemas.microsoft.com/office/drawing/2014/main" id="{591BF304-F1BD-0C85-7D23-8B29AB6F851D}"/>
            </a:ext>
          </a:extLst>
        </xdr:cNvPr>
        <xdr:cNvCxnSpPr/>
      </xdr:nvCxnSpPr>
      <xdr:spPr>
        <a:xfrm>
          <a:off x="8340725" y="4515887"/>
          <a:ext cx="222250" cy="135631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217261</xdr:colOff>
      <xdr:row>15</xdr:row>
      <xdr:rowOff>106732</xdr:rowOff>
    </xdr:from>
    <xdr:to>
      <xdr:col>22</xdr:col>
      <xdr:colOff>103868</xdr:colOff>
      <xdr:row>15</xdr:row>
      <xdr:rowOff>157698</xdr:rowOff>
    </xdr:to>
    <xdr:cxnSp macro="">
      <xdr:nvCxnSpPr>
        <xdr:cNvPr id="1868" name="SCHEMA_T02_COND_0152">
          <a:extLst>
            <a:ext uri="{FF2B5EF4-FFF2-40B4-BE49-F238E27FC236}">
              <a16:creationId xmlns:a16="http://schemas.microsoft.com/office/drawing/2014/main" id="{0E9FF91E-A6D1-08B1-0828-608FAC1EC651}"/>
            </a:ext>
          </a:extLst>
        </xdr:cNvPr>
        <xdr:cNvCxnSpPr/>
      </xdr:nvCxnSpPr>
      <xdr:spPr>
        <a:xfrm>
          <a:off x="8562975" y="4651518"/>
          <a:ext cx="222250" cy="50966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103868</xdr:colOff>
      <xdr:row>15</xdr:row>
      <xdr:rowOff>123996</xdr:rowOff>
    </xdr:from>
    <xdr:to>
      <xdr:col>22</xdr:col>
      <xdr:colOff>326118</xdr:colOff>
      <xdr:row>15</xdr:row>
      <xdr:rowOff>157698</xdr:rowOff>
    </xdr:to>
    <xdr:cxnSp macro="">
      <xdr:nvCxnSpPr>
        <xdr:cNvPr id="1869" name="SCHEMA_T02_COND_0153">
          <a:extLst>
            <a:ext uri="{FF2B5EF4-FFF2-40B4-BE49-F238E27FC236}">
              <a16:creationId xmlns:a16="http://schemas.microsoft.com/office/drawing/2014/main" id="{AAD5EC9F-BB95-5EEC-0B01-494158911B73}"/>
            </a:ext>
          </a:extLst>
        </xdr:cNvPr>
        <xdr:cNvCxnSpPr/>
      </xdr:nvCxnSpPr>
      <xdr:spPr>
        <a:xfrm flipV="1">
          <a:off x="8785225" y="4668782"/>
          <a:ext cx="222250" cy="33702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330654</xdr:colOff>
      <xdr:row>15</xdr:row>
      <xdr:rowOff>136201</xdr:rowOff>
    </xdr:from>
    <xdr:to>
      <xdr:col>21</xdr:col>
      <xdr:colOff>217261</xdr:colOff>
      <xdr:row>16</xdr:row>
      <xdr:rowOff>26904</xdr:rowOff>
    </xdr:to>
    <xdr:cxnSp macro="">
      <xdr:nvCxnSpPr>
        <xdr:cNvPr id="1870" name="SCHEMA_T02_COND_0154">
          <a:extLst>
            <a:ext uri="{FF2B5EF4-FFF2-40B4-BE49-F238E27FC236}">
              <a16:creationId xmlns:a16="http://schemas.microsoft.com/office/drawing/2014/main" id="{C6283065-842C-A594-32B2-474BEEDC2C47}"/>
            </a:ext>
          </a:extLst>
        </xdr:cNvPr>
        <xdr:cNvCxnSpPr/>
      </xdr:nvCxnSpPr>
      <xdr:spPr>
        <a:xfrm>
          <a:off x="8340725" y="4680987"/>
          <a:ext cx="222250" cy="13563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217261</xdr:colOff>
      <xdr:row>16</xdr:row>
      <xdr:rowOff>26904</xdr:rowOff>
    </xdr:from>
    <xdr:to>
      <xdr:col>22</xdr:col>
      <xdr:colOff>103868</xdr:colOff>
      <xdr:row>16</xdr:row>
      <xdr:rowOff>77870</xdr:rowOff>
    </xdr:to>
    <xdr:cxnSp macro="">
      <xdr:nvCxnSpPr>
        <xdr:cNvPr id="1871" name="SCHEMA_T02_COND_0155">
          <a:extLst>
            <a:ext uri="{FF2B5EF4-FFF2-40B4-BE49-F238E27FC236}">
              <a16:creationId xmlns:a16="http://schemas.microsoft.com/office/drawing/2014/main" id="{EFF43DE4-33EE-5078-FE44-D878C3A8045E}"/>
            </a:ext>
          </a:extLst>
        </xdr:cNvPr>
        <xdr:cNvCxnSpPr/>
      </xdr:nvCxnSpPr>
      <xdr:spPr>
        <a:xfrm>
          <a:off x="8562975" y="4816618"/>
          <a:ext cx="222250" cy="5096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103868</xdr:colOff>
      <xdr:row>16</xdr:row>
      <xdr:rowOff>44168</xdr:rowOff>
    </xdr:from>
    <xdr:to>
      <xdr:col>22</xdr:col>
      <xdr:colOff>326118</xdr:colOff>
      <xdr:row>16</xdr:row>
      <xdr:rowOff>77870</xdr:rowOff>
    </xdr:to>
    <xdr:cxnSp macro="">
      <xdr:nvCxnSpPr>
        <xdr:cNvPr id="1872" name="SCHEMA_T02_COND_0156">
          <a:extLst>
            <a:ext uri="{FF2B5EF4-FFF2-40B4-BE49-F238E27FC236}">
              <a16:creationId xmlns:a16="http://schemas.microsoft.com/office/drawing/2014/main" id="{1ACBD86B-B331-11C8-BEB9-CF58B8283B44}"/>
            </a:ext>
          </a:extLst>
        </xdr:cNvPr>
        <xdr:cNvCxnSpPr/>
      </xdr:nvCxnSpPr>
      <xdr:spPr>
        <a:xfrm flipV="1">
          <a:off x="8785225" y="4833882"/>
          <a:ext cx="222250" cy="3370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330654</xdr:colOff>
      <xdr:row>15</xdr:row>
      <xdr:rowOff>237801</xdr:rowOff>
    </xdr:from>
    <xdr:to>
      <xdr:col>21</xdr:col>
      <xdr:colOff>217261</xdr:colOff>
      <xdr:row>16</xdr:row>
      <xdr:rowOff>128504</xdr:rowOff>
    </xdr:to>
    <xdr:cxnSp macro="">
      <xdr:nvCxnSpPr>
        <xdr:cNvPr id="1873" name="SCHEMA_T02_COND_0157">
          <a:extLst>
            <a:ext uri="{FF2B5EF4-FFF2-40B4-BE49-F238E27FC236}">
              <a16:creationId xmlns:a16="http://schemas.microsoft.com/office/drawing/2014/main" id="{F5D3B9DA-6612-0794-C950-593EEE1B48DE}"/>
            </a:ext>
          </a:extLst>
        </xdr:cNvPr>
        <xdr:cNvCxnSpPr/>
      </xdr:nvCxnSpPr>
      <xdr:spPr>
        <a:xfrm>
          <a:off x="8340725" y="4782587"/>
          <a:ext cx="222250" cy="13563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217261</xdr:colOff>
      <xdr:row>16</xdr:row>
      <xdr:rowOff>128504</xdr:rowOff>
    </xdr:from>
    <xdr:to>
      <xdr:col>22</xdr:col>
      <xdr:colOff>103868</xdr:colOff>
      <xdr:row>16</xdr:row>
      <xdr:rowOff>179470</xdr:rowOff>
    </xdr:to>
    <xdr:cxnSp macro="">
      <xdr:nvCxnSpPr>
        <xdr:cNvPr id="1874" name="SCHEMA_T02_COND_0158">
          <a:extLst>
            <a:ext uri="{FF2B5EF4-FFF2-40B4-BE49-F238E27FC236}">
              <a16:creationId xmlns:a16="http://schemas.microsoft.com/office/drawing/2014/main" id="{89BC3EFC-B198-19C6-519E-10D46A0EA922}"/>
            </a:ext>
          </a:extLst>
        </xdr:cNvPr>
        <xdr:cNvCxnSpPr/>
      </xdr:nvCxnSpPr>
      <xdr:spPr>
        <a:xfrm>
          <a:off x="8562975" y="4918218"/>
          <a:ext cx="222250" cy="5096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103868</xdr:colOff>
      <xdr:row>16</xdr:row>
      <xdr:rowOff>145768</xdr:rowOff>
    </xdr:from>
    <xdr:to>
      <xdr:col>22</xdr:col>
      <xdr:colOff>326118</xdr:colOff>
      <xdr:row>16</xdr:row>
      <xdr:rowOff>179470</xdr:rowOff>
    </xdr:to>
    <xdr:cxnSp macro="">
      <xdr:nvCxnSpPr>
        <xdr:cNvPr id="1875" name="SCHEMA_T02_COND_0159">
          <a:extLst>
            <a:ext uri="{FF2B5EF4-FFF2-40B4-BE49-F238E27FC236}">
              <a16:creationId xmlns:a16="http://schemas.microsoft.com/office/drawing/2014/main" id="{DF8A1218-74B6-AA48-8AAE-B7C184ACD88B}"/>
            </a:ext>
          </a:extLst>
        </xdr:cNvPr>
        <xdr:cNvCxnSpPr/>
      </xdr:nvCxnSpPr>
      <xdr:spPr>
        <a:xfrm flipV="1">
          <a:off x="8785225" y="4935482"/>
          <a:ext cx="222250" cy="3370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330654</xdr:colOff>
      <xdr:row>16</xdr:row>
      <xdr:rowOff>145273</xdr:rowOff>
    </xdr:from>
    <xdr:to>
      <xdr:col>21</xdr:col>
      <xdr:colOff>217261</xdr:colOff>
      <xdr:row>17</xdr:row>
      <xdr:rowOff>35975</xdr:rowOff>
    </xdr:to>
    <xdr:cxnSp macro="">
      <xdr:nvCxnSpPr>
        <xdr:cNvPr id="1876" name="SCHEMA_T02_COND_0160">
          <a:extLst>
            <a:ext uri="{FF2B5EF4-FFF2-40B4-BE49-F238E27FC236}">
              <a16:creationId xmlns:a16="http://schemas.microsoft.com/office/drawing/2014/main" id="{D9811823-2FE7-9CEC-C41A-89F66C1F1059}"/>
            </a:ext>
          </a:extLst>
        </xdr:cNvPr>
        <xdr:cNvCxnSpPr/>
      </xdr:nvCxnSpPr>
      <xdr:spPr>
        <a:xfrm>
          <a:off x="8340725" y="4934987"/>
          <a:ext cx="222250" cy="13563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217261</xdr:colOff>
      <xdr:row>17</xdr:row>
      <xdr:rowOff>35975</xdr:rowOff>
    </xdr:from>
    <xdr:to>
      <xdr:col>22</xdr:col>
      <xdr:colOff>103868</xdr:colOff>
      <xdr:row>17</xdr:row>
      <xdr:rowOff>86941</xdr:rowOff>
    </xdr:to>
    <xdr:cxnSp macro="">
      <xdr:nvCxnSpPr>
        <xdr:cNvPr id="1877" name="SCHEMA_T02_COND_0161">
          <a:extLst>
            <a:ext uri="{FF2B5EF4-FFF2-40B4-BE49-F238E27FC236}">
              <a16:creationId xmlns:a16="http://schemas.microsoft.com/office/drawing/2014/main" id="{988DB81C-48C1-3E79-A502-0073B5BFD38C}"/>
            </a:ext>
          </a:extLst>
        </xdr:cNvPr>
        <xdr:cNvCxnSpPr/>
      </xdr:nvCxnSpPr>
      <xdr:spPr>
        <a:xfrm>
          <a:off x="8562975" y="5070618"/>
          <a:ext cx="222250" cy="5096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103868</xdr:colOff>
      <xdr:row>17</xdr:row>
      <xdr:rowOff>53239</xdr:rowOff>
    </xdr:from>
    <xdr:to>
      <xdr:col>22</xdr:col>
      <xdr:colOff>326118</xdr:colOff>
      <xdr:row>17</xdr:row>
      <xdr:rowOff>86941</xdr:rowOff>
    </xdr:to>
    <xdr:cxnSp macro="">
      <xdr:nvCxnSpPr>
        <xdr:cNvPr id="1878" name="SCHEMA_T02_COND_0162">
          <a:extLst>
            <a:ext uri="{FF2B5EF4-FFF2-40B4-BE49-F238E27FC236}">
              <a16:creationId xmlns:a16="http://schemas.microsoft.com/office/drawing/2014/main" id="{68500F51-6E3A-693E-8FD5-2DD7356CB37D}"/>
            </a:ext>
          </a:extLst>
        </xdr:cNvPr>
        <xdr:cNvCxnSpPr/>
      </xdr:nvCxnSpPr>
      <xdr:spPr>
        <a:xfrm flipV="1">
          <a:off x="8785225" y="5087882"/>
          <a:ext cx="222250" cy="3370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330654</xdr:colOff>
      <xdr:row>17</xdr:row>
      <xdr:rowOff>1944</xdr:rowOff>
    </xdr:from>
    <xdr:to>
      <xdr:col>21</xdr:col>
      <xdr:colOff>217261</xdr:colOff>
      <xdr:row>17</xdr:row>
      <xdr:rowOff>137575</xdr:rowOff>
    </xdr:to>
    <xdr:cxnSp macro="">
      <xdr:nvCxnSpPr>
        <xdr:cNvPr id="1879" name="SCHEMA_T02_COND_0163">
          <a:extLst>
            <a:ext uri="{FF2B5EF4-FFF2-40B4-BE49-F238E27FC236}">
              <a16:creationId xmlns:a16="http://schemas.microsoft.com/office/drawing/2014/main" id="{6BF35702-177A-A7CA-0958-5D317FDC5398}"/>
            </a:ext>
          </a:extLst>
        </xdr:cNvPr>
        <xdr:cNvCxnSpPr/>
      </xdr:nvCxnSpPr>
      <xdr:spPr>
        <a:xfrm>
          <a:off x="8340725" y="5036587"/>
          <a:ext cx="222250" cy="13563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217261</xdr:colOff>
      <xdr:row>17</xdr:row>
      <xdr:rowOff>137575</xdr:rowOff>
    </xdr:from>
    <xdr:to>
      <xdr:col>22</xdr:col>
      <xdr:colOff>103868</xdr:colOff>
      <xdr:row>17</xdr:row>
      <xdr:rowOff>188541</xdr:rowOff>
    </xdr:to>
    <xdr:cxnSp macro="">
      <xdr:nvCxnSpPr>
        <xdr:cNvPr id="1880" name="SCHEMA_T02_COND_0164">
          <a:extLst>
            <a:ext uri="{FF2B5EF4-FFF2-40B4-BE49-F238E27FC236}">
              <a16:creationId xmlns:a16="http://schemas.microsoft.com/office/drawing/2014/main" id="{5EAA7955-6C8F-3AAF-7DF6-E0CB5C3A4CF3}"/>
            </a:ext>
          </a:extLst>
        </xdr:cNvPr>
        <xdr:cNvCxnSpPr/>
      </xdr:nvCxnSpPr>
      <xdr:spPr>
        <a:xfrm>
          <a:off x="8562975" y="5172218"/>
          <a:ext cx="222250" cy="5096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103868</xdr:colOff>
      <xdr:row>17</xdr:row>
      <xdr:rowOff>154839</xdr:rowOff>
    </xdr:from>
    <xdr:to>
      <xdr:col>22</xdr:col>
      <xdr:colOff>326118</xdr:colOff>
      <xdr:row>17</xdr:row>
      <xdr:rowOff>188541</xdr:rowOff>
    </xdr:to>
    <xdr:cxnSp macro="">
      <xdr:nvCxnSpPr>
        <xdr:cNvPr id="1881" name="SCHEMA_T02_COND_0165">
          <a:extLst>
            <a:ext uri="{FF2B5EF4-FFF2-40B4-BE49-F238E27FC236}">
              <a16:creationId xmlns:a16="http://schemas.microsoft.com/office/drawing/2014/main" id="{B03F0E2A-66E0-84A2-14D8-080B9A47AE8F}"/>
            </a:ext>
          </a:extLst>
        </xdr:cNvPr>
        <xdr:cNvCxnSpPr/>
      </xdr:nvCxnSpPr>
      <xdr:spPr>
        <a:xfrm flipV="1">
          <a:off x="8785225" y="5189482"/>
          <a:ext cx="222250" cy="3370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290286</xdr:colOff>
      <xdr:row>25</xdr:row>
      <xdr:rowOff>41729</xdr:rowOff>
    </xdr:from>
    <xdr:to>
      <xdr:col>22</xdr:col>
      <xdr:colOff>30843</xdr:colOff>
      <xdr:row>25</xdr:row>
      <xdr:rowOff>117929</xdr:rowOff>
    </xdr:to>
    <xdr:sp macro="" textlink="">
      <xdr:nvSpPr>
        <xdr:cNvPr id="1882" name="SCHEMA_T02_ATTRAV_11">
          <a:extLst>
            <a:ext uri="{FF2B5EF4-FFF2-40B4-BE49-F238E27FC236}">
              <a16:creationId xmlns:a16="http://schemas.microsoft.com/office/drawing/2014/main" id="{C4B3BA18-C095-72D9-DD1C-D5393E4FD4BE}"/>
            </a:ext>
          </a:extLst>
        </xdr:cNvPr>
        <xdr:cNvSpPr/>
      </xdr:nvSpPr>
      <xdr:spPr>
        <a:xfrm>
          <a:off x="8636000" y="7035800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22</xdr:col>
      <xdr:colOff>326118</xdr:colOff>
      <xdr:row>15</xdr:row>
      <xdr:rowOff>123996</xdr:rowOff>
    </xdr:from>
    <xdr:to>
      <xdr:col>23</xdr:col>
      <xdr:colOff>212725</xdr:colOff>
      <xdr:row>15</xdr:row>
      <xdr:rowOff>126754</xdr:rowOff>
    </xdr:to>
    <xdr:cxnSp macro="">
      <xdr:nvCxnSpPr>
        <xdr:cNvPr id="1883" name="SCHEMA_T02_COND_0166">
          <a:extLst>
            <a:ext uri="{FF2B5EF4-FFF2-40B4-BE49-F238E27FC236}">
              <a16:creationId xmlns:a16="http://schemas.microsoft.com/office/drawing/2014/main" id="{2BBAE38D-C3A1-3BD2-A14B-95D879E3882D}"/>
            </a:ext>
          </a:extLst>
        </xdr:cNvPr>
        <xdr:cNvCxnSpPr/>
      </xdr:nvCxnSpPr>
      <xdr:spPr>
        <a:xfrm>
          <a:off x="9007475" y="4668782"/>
          <a:ext cx="222250" cy="2758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212725</xdr:colOff>
      <xdr:row>15</xdr:row>
      <xdr:rowOff>44847</xdr:rowOff>
    </xdr:from>
    <xdr:to>
      <xdr:col>24</xdr:col>
      <xdr:colOff>99332</xdr:colOff>
      <xdr:row>15</xdr:row>
      <xdr:rowOff>126754</xdr:rowOff>
    </xdr:to>
    <xdr:cxnSp macro="">
      <xdr:nvCxnSpPr>
        <xdr:cNvPr id="1884" name="SCHEMA_T02_COND_0167">
          <a:extLst>
            <a:ext uri="{FF2B5EF4-FFF2-40B4-BE49-F238E27FC236}">
              <a16:creationId xmlns:a16="http://schemas.microsoft.com/office/drawing/2014/main" id="{FBACC1E4-6561-4B2D-24F1-972696407B97}"/>
            </a:ext>
          </a:extLst>
        </xdr:cNvPr>
        <xdr:cNvCxnSpPr/>
      </xdr:nvCxnSpPr>
      <xdr:spPr>
        <a:xfrm flipV="1">
          <a:off x="9229725" y="4589633"/>
          <a:ext cx="222250" cy="81907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99332</xdr:colOff>
      <xdr:row>14</xdr:row>
      <xdr:rowOff>123201</xdr:rowOff>
    </xdr:from>
    <xdr:to>
      <xdr:col>24</xdr:col>
      <xdr:colOff>321582</xdr:colOff>
      <xdr:row>15</xdr:row>
      <xdr:rowOff>44847</xdr:rowOff>
    </xdr:to>
    <xdr:cxnSp macro="">
      <xdr:nvCxnSpPr>
        <xdr:cNvPr id="1885" name="SCHEMA_T02_COND_0168">
          <a:extLst>
            <a:ext uri="{FF2B5EF4-FFF2-40B4-BE49-F238E27FC236}">
              <a16:creationId xmlns:a16="http://schemas.microsoft.com/office/drawing/2014/main" id="{A91F9D5D-7503-6831-23B1-13D42E37B75B}"/>
            </a:ext>
          </a:extLst>
        </xdr:cNvPr>
        <xdr:cNvCxnSpPr/>
      </xdr:nvCxnSpPr>
      <xdr:spPr>
        <a:xfrm flipV="1">
          <a:off x="9451975" y="4423058"/>
          <a:ext cx="222250" cy="166575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326118</xdr:colOff>
      <xdr:row>16</xdr:row>
      <xdr:rowOff>44168</xdr:rowOff>
    </xdr:from>
    <xdr:to>
      <xdr:col>23</xdr:col>
      <xdr:colOff>212725</xdr:colOff>
      <xdr:row>16</xdr:row>
      <xdr:rowOff>46926</xdr:rowOff>
    </xdr:to>
    <xdr:cxnSp macro="">
      <xdr:nvCxnSpPr>
        <xdr:cNvPr id="1886" name="SCHEMA_T02_COND_0169">
          <a:extLst>
            <a:ext uri="{FF2B5EF4-FFF2-40B4-BE49-F238E27FC236}">
              <a16:creationId xmlns:a16="http://schemas.microsoft.com/office/drawing/2014/main" id="{670415B3-AB3B-DDFA-F7FA-242E0620129E}"/>
            </a:ext>
          </a:extLst>
        </xdr:cNvPr>
        <xdr:cNvCxnSpPr/>
      </xdr:nvCxnSpPr>
      <xdr:spPr>
        <a:xfrm>
          <a:off x="9007475" y="4833882"/>
          <a:ext cx="222250" cy="275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212725</xdr:colOff>
      <xdr:row>15</xdr:row>
      <xdr:rowOff>209947</xdr:rowOff>
    </xdr:from>
    <xdr:to>
      <xdr:col>24</xdr:col>
      <xdr:colOff>99332</xdr:colOff>
      <xdr:row>16</xdr:row>
      <xdr:rowOff>46926</xdr:rowOff>
    </xdr:to>
    <xdr:cxnSp macro="">
      <xdr:nvCxnSpPr>
        <xdr:cNvPr id="1887" name="SCHEMA_T02_COND_0170">
          <a:extLst>
            <a:ext uri="{FF2B5EF4-FFF2-40B4-BE49-F238E27FC236}">
              <a16:creationId xmlns:a16="http://schemas.microsoft.com/office/drawing/2014/main" id="{F8102506-D494-91B6-21A9-3EF99FE036B7}"/>
            </a:ext>
          </a:extLst>
        </xdr:cNvPr>
        <xdr:cNvCxnSpPr/>
      </xdr:nvCxnSpPr>
      <xdr:spPr>
        <a:xfrm flipV="1">
          <a:off x="9229725" y="4754733"/>
          <a:ext cx="222250" cy="8190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99332</xdr:colOff>
      <xdr:row>15</xdr:row>
      <xdr:rowOff>43372</xdr:rowOff>
    </xdr:from>
    <xdr:to>
      <xdr:col>24</xdr:col>
      <xdr:colOff>321582</xdr:colOff>
      <xdr:row>15</xdr:row>
      <xdr:rowOff>209947</xdr:rowOff>
    </xdr:to>
    <xdr:cxnSp macro="">
      <xdr:nvCxnSpPr>
        <xdr:cNvPr id="1888" name="SCHEMA_T02_COND_0171">
          <a:extLst>
            <a:ext uri="{FF2B5EF4-FFF2-40B4-BE49-F238E27FC236}">
              <a16:creationId xmlns:a16="http://schemas.microsoft.com/office/drawing/2014/main" id="{387FE35F-20B5-8187-B656-DCC234452D94}"/>
            </a:ext>
          </a:extLst>
        </xdr:cNvPr>
        <xdr:cNvCxnSpPr/>
      </xdr:nvCxnSpPr>
      <xdr:spPr>
        <a:xfrm flipV="1">
          <a:off x="9451975" y="4588158"/>
          <a:ext cx="222250" cy="16657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326118</xdr:colOff>
      <xdr:row>16</xdr:row>
      <xdr:rowOff>145768</xdr:rowOff>
    </xdr:from>
    <xdr:to>
      <xdr:col>23</xdr:col>
      <xdr:colOff>212725</xdr:colOff>
      <xdr:row>16</xdr:row>
      <xdr:rowOff>148526</xdr:rowOff>
    </xdr:to>
    <xdr:cxnSp macro="">
      <xdr:nvCxnSpPr>
        <xdr:cNvPr id="1889" name="SCHEMA_T02_COND_0172">
          <a:extLst>
            <a:ext uri="{FF2B5EF4-FFF2-40B4-BE49-F238E27FC236}">
              <a16:creationId xmlns:a16="http://schemas.microsoft.com/office/drawing/2014/main" id="{2F5D3DED-6120-0B64-7540-78196DA7C98A}"/>
            </a:ext>
          </a:extLst>
        </xdr:cNvPr>
        <xdr:cNvCxnSpPr/>
      </xdr:nvCxnSpPr>
      <xdr:spPr>
        <a:xfrm>
          <a:off x="9007475" y="4935482"/>
          <a:ext cx="222250" cy="275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212725</xdr:colOff>
      <xdr:row>16</xdr:row>
      <xdr:rowOff>66619</xdr:rowOff>
    </xdr:from>
    <xdr:to>
      <xdr:col>24</xdr:col>
      <xdr:colOff>99332</xdr:colOff>
      <xdr:row>16</xdr:row>
      <xdr:rowOff>148526</xdr:rowOff>
    </xdr:to>
    <xdr:cxnSp macro="">
      <xdr:nvCxnSpPr>
        <xdr:cNvPr id="1890" name="SCHEMA_T02_COND_0173">
          <a:extLst>
            <a:ext uri="{FF2B5EF4-FFF2-40B4-BE49-F238E27FC236}">
              <a16:creationId xmlns:a16="http://schemas.microsoft.com/office/drawing/2014/main" id="{8CDA6F34-B621-B867-05D1-469E6BED2668}"/>
            </a:ext>
          </a:extLst>
        </xdr:cNvPr>
        <xdr:cNvCxnSpPr/>
      </xdr:nvCxnSpPr>
      <xdr:spPr>
        <a:xfrm flipV="1">
          <a:off x="9229725" y="4856333"/>
          <a:ext cx="222250" cy="8190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99332</xdr:colOff>
      <xdr:row>15</xdr:row>
      <xdr:rowOff>144972</xdr:rowOff>
    </xdr:from>
    <xdr:to>
      <xdr:col>24</xdr:col>
      <xdr:colOff>321582</xdr:colOff>
      <xdr:row>16</xdr:row>
      <xdr:rowOff>66619</xdr:rowOff>
    </xdr:to>
    <xdr:cxnSp macro="">
      <xdr:nvCxnSpPr>
        <xdr:cNvPr id="1891" name="SCHEMA_T02_COND_0174">
          <a:extLst>
            <a:ext uri="{FF2B5EF4-FFF2-40B4-BE49-F238E27FC236}">
              <a16:creationId xmlns:a16="http://schemas.microsoft.com/office/drawing/2014/main" id="{16B37FBC-2191-3AAF-8507-29BF3A59A04B}"/>
            </a:ext>
          </a:extLst>
        </xdr:cNvPr>
        <xdr:cNvCxnSpPr/>
      </xdr:nvCxnSpPr>
      <xdr:spPr>
        <a:xfrm flipV="1">
          <a:off x="9451975" y="4689758"/>
          <a:ext cx="222250" cy="16657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326118</xdr:colOff>
      <xdr:row>17</xdr:row>
      <xdr:rowOff>53239</xdr:rowOff>
    </xdr:from>
    <xdr:to>
      <xdr:col>23</xdr:col>
      <xdr:colOff>212725</xdr:colOff>
      <xdr:row>17</xdr:row>
      <xdr:rowOff>55997</xdr:rowOff>
    </xdr:to>
    <xdr:cxnSp macro="">
      <xdr:nvCxnSpPr>
        <xdr:cNvPr id="1892" name="SCHEMA_T02_COND_0175">
          <a:extLst>
            <a:ext uri="{FF2B5EF4-FFF2-40B4-BE49-F238E27FC236}">
              <a16:creationId xmlns:a16="http://schemas.microsoft.com/office/drawing/2014/main" id="{A14D5100-34A2-9DE8-3CAD-E961A972396E}"/>
            </a:ext>
          </a:extLst>
        </xdr:cNvPr>
        <xdr:cNvCxnSpPr/>
      </xdr:nvCxnSpPr>
      <xdr:spPr>
        <a:xfrm>
          <a:off x="9007475" y="5087882"/>
          <a:ext cx="222250" cy="275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212725</xdr:colOff>
      <xdr:row>16</xdr:row>
      <xdr:rowOff>219019</xdr:rowOff>
    </xdr:from>
    <xdr:to>
      <xdr:col>24</xdr:col>
      <xdr:colOff>99332</xdr:colOff>
      <xdr:row>17</xdr:row>
      <xdr:rowOff>55997</xdr:rowOff>
    </xdr:to>
    <xdr:cxnSp macro="">
      <xdr:nvCxnSpPr>
        <xdr:cNvPr id="1893" name="SCHEMA_T02_COND_0176">
          <a:extLst>
            <a:ext uri="{FF2B5EF4-FFF2-40B4-BE49-F238E27FC236}">
              <a16:creationId xmlns:a16="http://schemas.microsoft.com/office/drawing/2014/main" id="{1F50CF99-28C9-3437-7A09-C900AA557B15}"/>
            </a:ext>
          </a:extLst>
        </xdr:cNvPr>
        <xdr:cNvCxnSpPr/>
      </xdr:nvCxnSpPr>
      <xdr:spPr>
        <a:xfrm flipV="1">
          <a:off x="9229725" y="5008733"/>
          <a:ext cx="222250" cy="8190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99332</xdr:colOff>
      <xdr:row>16</xdr:row>
      <xdr:rowOff>52444</xdr:rowOff>
    </xdr:from>
    <xdr:to>
      <xdr:col>24</xdr:col>
      <xdr:colOff>321582</xdr:colOff>
      <xdr:row>16</xdr:row>
      <xdr:rowOff>219019</xdr:rowOff>
    </xdr:to>
    <xdr:cxnSp macro="">
      <xdr:nvCxnSpPr>
        <xdr:cNvPr id="1894" name="SCHEMA_T02_COND_0177">
          <a:extLst>
            <a:ext uri="{FF2B5EF4-FFF2-40B4-BE49-F238E27FC236}">
              <a16:creationId xmlns:a16="http://schemas.microsoft.com/office/drawing/2014/main" id="{17CEA3E0-67A9-1AC1-2937-205B8A79A231}"/>
            </a:ext>
          </a:extLst>
        </xdr:cNvPr>
        <xdr:cNvCxnSpPr/>
      </xdr:nvCxnSpPr>
      <xdr:spPr>
        <a:xfrm flipV="1">
          <a:off x="9451975" y="4842158"/>
          <a:ext cx="222250" cy="16657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326118</xdr:colOff>
      <xdr:row>17</xdr:row>
      <xdr:rowOff>154839</xdr:rowOff>
    </xdr:from>
    <xdr:to>
      <xdr:col>23</xdr:col>
      <xdr:colOff>212725</xdr:colOff>
      <xdr:row>17</xdr:row>
      <xdr:rowOff>157597</xdr:rowOff>
    </xdr:to>
    <xdr:cxnSp macro="">
      <xdr:nvCxnSpPr>
        <xdr:cNvPr id="1895" name="SCHEMA_T02_COND_0178">
          <a:extLst>
            <a:ext uri="{FF2B5EF4-FFF2-40B4-BE49-F238E27FC236}">
              <a16:creationId xmlns:a16="http://schemas.microsoft.com/office/drawing/2014/main" id="{4E711CA5-8076-00FB-7F91-CFA90C823CDC}"/>
            </a:ext>
          </a:extLst>
        </xdr:cNvPr>
        <xdr:cNvCxnSpPr/>
      </xdr:nvCxnSpPr>
      <xdr:spPr>
        <a:xfrm>
          <a:off x="9007475" y="5189482"/>
          <a:ext cx="222250" cy="275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212725</xdr:colOff>
      <xdr:row>17</xdr:row>
      <xdr:rowOff>75690</xdr:rowOff>
    </xdr:from>
    <xdr:to>
      <xdr:col>24</xdr:col>
      <xdr:colOff>99332</xdr:colOff>
      <xdr:row>17</xdr:row>
      <xdr:rowOff>157597</xdr:rowOff>
    </xdr:to>
    <xdr:cxnSp macro="">
      <xdr:nvCxnSpPr>
        <xdr:cNvPr id="1896" name="SCHEMA_T02_COND_0179">
          <a:extLst>
            <a:ext uri="{FF2B5EF4-FFF2-40B4-BE49-F238E27FC236}">
              <a16:creationId xmlns:a16="http://schemas.microsoft.com/office/drawing/2014/main" id="{4D6B8800-F474-3C33-D7EC-1A6AC5DAEFCC}"/>
            </a:ext>
          </a:extLst>
        </xdr:cNvPr>
        <xdr:cNvCxnSpPr/>
      </xdr:nvCxnSpPr>
      <xdr:spPr>
        <a:xfrm flipV="1">
          <a:off x="9229725" y="5110333"/>
          <a:ext cx="222250" cy="8190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99332</xdr:colOff>
      <xdr:row>16</xdr:row>
      <xdr:rowOff>154044</xdr:rowOff>
    </xdr:from>
    <xdr:to>
      <xdr:col>24</xdr:col>
      <xdr:colOff>321582</xdr:colOff>
      <xdr:row>17</xdr:row>
      <xdr:rowOff>75690</xdr:rowOff>
    </xdr:to>
    <xdr:cxnSp macro="">
      <xdr:nvCxnSpPr>
        <xdr:cNvPr id="1897" name="SCHEMA_T02_COND_0180">
          <a:extLst>
            <a:ext uri="{FF2B5EF4-FFF2-40B4-BE49-F238E27FC236}">
              <a16:creationId xmlns:a16="http://schemas.microsoft.com/office/drawing/2014/main" id="{6B822488-F0FB-998D-9003-F206E4A9199C}"/>
            </a:ext>
          </a:extLst>
        </xdr:cNvPr>
        <xdr:cNvCxnSpPr/>
      </xdr:nvCxnSpPr>
      <xdr:spPr>
        <a:xfrm flipV="1">
          <a:off x="9451975" y="4943758"/>
          <a:ext cx="222250" cy="16657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285750</xdr:colOff>
      <xdr:row>25</xdr:row>
      <xdr:rowOff>41729</xdr:rowOff>
    </xdr:from>
    <xdr:to>
      <xdr:col>24</xdr:col>
      <xdr:colOff>26307</xdr:colOff>
      <xdr:row>25</xdr:row>
      <xdr:rowOff>117929</xdr:rowOff>
    </xdr:to>
    <xdr:sp macro="" textlink="">
      <xdr:nvSpPr>
        <xdr:cNvPr id="1898" name="SCHEMA_T02_ATTRAV_12">
          <a:extLst>
            <a:ext uri="{FF2B5EF4-FFF2-40B4-BE49-F238E27FC236}">
              <a16:creationId xmlns:a16="http://schemas.microsoft.com/office/drawing/2014/main" id="{F71F8619-997B-FD00-25A9-13ECF52BE775}"/>
            </a:ext>
          </a:extLst>
        </xdr:cNvPr>
        <xdr:cNvSpPr/>
      </xdr:nvSpPr>
      <xdr:spPr>
        <a:xfrm>
          <a:off x="9302750" y="7035800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24</xdr:col>
      <xdr:colOff>321582</xdr:colOff>
      <xdr:row>14</xdr:row>
      <xdr:rowOff>123201</xdr:rowOff>
    </xdr:from>
    <xdr:to>
      <xdr:col>25</xdr:col>
      <xdr:colOff>208189</xdr:colOff>
      <xdr:row>15</xdr:row>
      <xdr:rowOff>48487</xdr:rowOff>
    </xdr:to>
    <xdr:cxnSp macro="">
      <xdr:nvCxnSpPr>
        <xdr:cNvPr id="1899" name="SCHEMA_T02_COND_0181">
          <a:extLst>
            <a:ext uri="{FF2B5EF4-FFF2-40B4-BE49-F238E27FC236}">
              <a16:creationId xmlns:a16="http://schemas.microsoft.com/office/drawing/2014/main" id="{4A6BCFD7-77D3-BF29-308F-64B6594EF5D4}"/>
            </a:ext>
          </a:extLst>
        </xdr:cNvPr>
        <xdr:cNvCxnSpPr/>
      </xdr:nvCxnSpPr>
      <xdr:spPr>
        <a:xfrm>
          <a:off x="9674225" y="4423058"/>
          <a:ext cx="222250" cy="170215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208189</xdr:colOff>
      <xdr:row>15</xdr:row>
      <xdr:rowOff>48487</xdr:rowOff>
    </xdr:from>
    <xdr:to>
      <xdr:col>26</xdr:col>
      <xdr:colOff>94796</xdr:colOff>
      <xdr:row>15</xdr:row>
      <xdr:rowOff>134035</xdr:rowOff>
    </xdr:to>
    <xdr:cxnSp macro="">
      <xdr:nvCxnSpPr>
        <xdr:cNvPr id="1900" name="SCHEMA_T02_COND_0182">
          <a:extLst>
            <a:ext uri="{FF2B5EF4-FFF2-40B4-BE49-F238E27FC236}">
              <a16:creationId xmlns:a16="http://schemas.microsoft.com/office/drawing/2014/main" id="{0BB35DC5-5550-CCC4-EB0C-302427853ED1}"/>
            </a:ext>
          </a:extLst>
        </xdr:cNvPr>
        <xdr:cNvCxnSpPr/>
      </xdr:nvCxnSpPr>
      <xdr:spPr>
        <a:xfrm>
          <a:off x="9896475" y="4593273"/>
          <a:ext cx="222250" cy="85548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94796</xdr:colOff>
      <xdr:row>15</xdr:row>
      <xdr:rowOff>134035</xdr:rowOff>
    </xdr:from>
    <xdr:to>
      <xdr:col>26</xdr:col>
      <xdr:colOff>317046</xdr:colOff>
      <xdr:row>15</xdr:row>
      <xdr:rowOff>134917</xdr:rowOff>
    </xdr:to>
    <xdr:cxnSp macro="">
      <xdr:nvCxnSpPr>
        <xdr:cNvPr id="1901" name="SCHEMA_T02_COND_0183">
          <a:extLst>
            <a:ext uri="{FF2B5EF4-FFF2-40B4-BE49-F238E27FC236}">
              <a16:creationId xmlns:a16="http://schemas.microsoft.com/office/drawing/2014/main" id="{8C0D8856-6A59-F12C-4AC0-64F303066A11}"/>
            </a:ext>
          </a:extLst>
        </xdr:cNvPr>
        <xdr:cNvCxnSpPr/>
      </xdr:nvCxnSpPr>
      <xdr:spPr>
        <a:xfrm>
          <a:off x="10118725" y="4678821"/>
          <a:ext cx="222250" cy="882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321582</xdr:colOff>
      <xdr:row>15</xdr:row>
      <xdr:rowOff>43372</xdr:rowOff>
    </xdr:from>
    <xdr:to>
      <xdr:col>25</xdr:col>
      <xdr:colOff>208189</xdr:colOff>
      <xdr:row>15</xdr:row>
      <xdr:rowOff>213587</xdr:rowOff>
    </xdr:to>
    <xdr:cxnSp macro="">
      <xdr:nvCxnSpPr>
        <xdr:cNvPr id="1902" name="SCHEMA_T02_COND_0184">
          <a:extLst>
            <a:ext uri="{FF2B5EF4-FFF2-40B4-BE49-F238E27FC236}">
              <a16:creationId xmlns:a16="http://schemas.microsoft.com/office/drawing/2014/main" id="{B1A29939-0B31-4E96-D361-A66096E1D5FA}"/>
            </a:ext>
          </a:extLst>
        </xdr:cNvPr>
        <xdr:cNvCxnSpPr/>
      </xdr:nvCxnSpPr>
      <xdr:spPr>
        <a:xfrm>
          <a:off x="9674225" y="4588158"/>
          <a:ext cx="222250" cy="17021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208189</xdr:colOff>
      <xdr:row>15</xdr:row>
      <xdr:rowOff>213587</xdr:rowOff>
    </xdr:from>
    <xdr:to>
      <xdr:col>26</xdr:col>
      <xdr:colOff>94796</xdr:colOff>
      <xdr:row>16</xdr:row>
      <xdr:rowOff>54207</xdr:rowOff>
    </xdr:to>
    <xdr:cxnSp macro="">
      <xdr:nvCxnSpPr>
        <xdr:cNvPr id="1903" name="SCHEMA_T02_COND_0185">
          <a:extLst>
            <a:ext uri="{FF2B5EF4-FFF2-40B4-BE49-F238E27FC236}">
              <a16:creationId xmlns:a16="http://schemas.microsoft.com/office/drawing/2014/main" id="{30136B90-28AE-D546-E52E-4D29F0441014}"/>
            </a:ext>
          </a:extLst>
        </xdr:cNvPr>
        <xdr:cNvCxnSpPr/>
      </xdr:nvCxnSpPr>
      <xdr:spPr>
        <a:xfrm>
          <a:off x="9896475" y="4758373"/>
          <a:ext cx="222250" cy="8554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94796</xdr:colOff>
      <xdr:row>16</xdr:row>
      <xdr:rowOff>54207</xdr:rowOff>
    </xdr:from>
    <xdr:to>
      <xdr:col>26</xdr:col>
      <xdr:colOff>317046</xdr:colOff>
      <xdr:row>16</xdr:row>
      <xdr:rowOff>55089</xdr:rowOff>
    </xdr:to>
    <xdr:cxnSp macro="">
      <xdr:nvCxnSpPr>
        <xdr:cNvPr id="1904" name="SCHEMA_T02_COND_0186">
          <a:extLst>
            <a:ext uri="{FF2B5EF4-FFF2-40B4-BE49-F238E27FC236}">
              <a16:creationId xmlns:a16="http://schemas.microsoft.com/office/drawing/2014/main" id="{D0658349-087C-8BF3-9E89-F0E4347D8346}"/>
            </a:ext>
          </a:extLst>
        </xdr:cNvPr>
        <xdr:cNvCxnSpPr/>
      </xdr:nvCxnSpPr>
      <xdr:spPr>
        <a:xfrm>
          <a:off x="10118725" y="4843921"/>
          <a:ext cx="222250" cy="88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321582</xdr:colOff>
      <xdr:row>15</xdr:row>
      <xdr:rowOff>144972</xdr:rowOff>
    </xdr:from>
    <xdr:to>
      <xdr:col>25</xdr:col>
      <xdr:colOff>208189</xdr:colOff>
      <xdr:row>16</xdr:row>
      <xdr:rowOff>70259</xdr:rowOff>
    </xdr:to>
    <xdr:cxnSp macro="">
      <xdr:nvCxnSpPr>
        <xdr:cNvPr id="1905" name="SCHEMA_T02_COND_0187">
          <a:extLst>
            <a:ext uri="{FF2B5EF4-FFF2-40B4-BE49-F238E27FC236}">
              <a16:creationId xmlns:a16="http://schemas.microsoft.com/office/drawing/2014/main" id="{57A85802-91B9-CF16-D718-97D24115643B}"/>
            </a:ext>
          </a:extLst>
        </xdr:cNvPr>
        <xdr:cNvCxnSpPr/>
      </xdr:nvCxnSpPr>
      <xdr:spPr>
        <a:xfrm>
          <a:off x="9674225" y="4689758"/>
          <a:ext cx="222250" cy="17021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208189</xdr:colOff>
      <xdr:row>16</xdr:row>
      <xdr:rowOff>70259</xdr:rowOff>
    </xdr:from>
    <xdr:to>
      <xdr:col>26</xdr:col>
      <xdr:colOff>94796</xdr:colOff>
      <xdr:row>16</xdr:row>
      <xdr:rowOff>155807</xdr:rowOff>
    </xdr:to>
    <xdr:cxnSp macro="">
      <xdr:nvCxnSpPr>
        <xdr:cNvPr id="1906" name="SCHEMA_T02_COND_0188">
          <a:extLst>
            <a:ext uri="{FF2B5EF4-FFF2-40B4-BE49-F238E27FC236}">
              <a16:creationId xmlns:a16="http://schemas.microsoft.com/office/drawing/2014/main" id="{93C0B4FD-D2DC-B2BD-FCD2-32E7F981799A}"/>
            </a:ext>
          </a:extLst>
        </xdr:cNvPr>
        <xdr:cNvCxnSpPr/>
      </xdr:nvCxnSpPr>
      <xdr:spPr>
        <a:xfrm>
          <a:off x="9896475" y="4859973"/>
          <a:ext cx="222250" cy="8554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94796</xdr:colOff>
      <xdr:row>16</xdr:row>
      <xdr:rowOff>155807</xdr:rowOff>
    </xdr:from>
    <xdr:to>
      <xdr:col>26</xdr:col>
      <xdr:colOff>317046</xdr:colOff>
      <xdr:row>16</xdr:row>
      <xdr:rowOff>156689</xdr:rowOff>
    </xdr:to>
    <xdr:cxnSp macro="">
      <xdr:nvCxnSpPr>
        <xdr:cNvPr id="1907" name="SCHEMA_T02_COND_0189">
          <a:extLst>
            <a:ext uri="{FF2B5EF4-FFF2-40B4-BE49-F238E27FC236}">
              <a16:creationId xmlns:a16="http://schemas.microsoft.com/office/drawing/2014/main" id="{D5579E99-EBEE-4EC5-B637-521EF7CB4EC6}"/>
            </a:ext>
          </a:extLst>
        </xdr:cNvPr>
        <xdr:cNvCxnSpPr/>
      </xdr:nvCxnSpPr>
      <xdr:spPr>
        <a:xfrm>
          <a:off x="10118725" y="4945521"/>
          <a:ext cx="222250" cy="88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321582</xdr:colOff>
      <xdr:row>16</xdr:row>
      <xdr:rowOff>52444</xdr:rowOff>
    </xdr:from>
    <xdr:to>
      <xdr:col>25</xdr:col>
      <xdr:colOff>208189</xdr:colOff>
      <xdr:row>16</xdr:row>
      <xdr:rowOff>222659</xdr:rowOff>
    </xdr:to>
    <xdr:cxnSp macro="">
      <xdr:nvCxnSpPr>
        <xdr:cNvPr id="1908" name="SCHEMA_T02_COND_0190">
          <a:extLst>
            <a:ext uri="{FF2B5EF4-FFF2-40B4-BE49-F238E27FC236}">
              <a16:creationId xmlns:a16="http://schemas.microsoft.com/office/drawing/2014/main" id="{3524FC51-7EEB-58F9-0C1B-19CB5518A728}"/>
            </a:ext>
          </a:extLst>
        </xdr:cNvPr>
        <xdr:cNvCxnSpPr/>
      </xdr:nvCxnSpPr>
      <xdr:spPr>
        <a:xfrm>
          <a:off x="9674225" y="4842158"/>
          <a:ext cx="222250" cy="17021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208189</xdr:colOff>
      <xdr:row>16</xdr:row>
      <xdr:rowOff>222659</xdr:rowOff>
    </xdr:from>
    <xdr:to>
      <xdr:col>26</xdr:col>
      <xdr:colOff>94796</xdr:colOff>
      <xdr:row>17</xdr:row>
      <xdr:rowOff>63278</xdr:rowOff>
    </xdr:to>
    <xdr:cxnSp macro="">
      <xdr:nvCxnSpPr>
        <xdr:cNvPr id="1909" name="SCHEMA_T02_COND_0191">
          <a:extLst>
            <a:ext uri="{FF2B5EF4-FFF2-40B4-BE49-F238E27FC236}">
              <a16:creationId xmlns:a16="http://schemas.microsoft.com/office/drawing/2014/main" id="{C626D9B5-9A73-2C8A-B227-169E1A9F3329}"/>
            </a:ext>
          </a:extLst>
        </xdr:cNvPr>
        <xdr:cNvCxnSpPr/>
      </xdr:nvCxnSpPr>
      <xdr:spPr>
        <a:xfrm>
          <a:off x="9896475" y="5012373"/>
          <a:ext cx="222250" cy="8554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94796</xdr:colOff>
      <xdr:row>17</xdr:row>
      <xdr:rowOff>63278</xdr:rowOff>
    </xdr:from>
    <xdr:to>
      <xdr:col>26</xdr:col>
      <xdr:colOff>317046</xdr:colOff>
      <xdr:row>17</xdr:row>
      <xdr:rowOff>64160</xdr:rowOff>
    </xdr:to>
    <xdr:cxnSp macro="">
      <xdr:nvCxnSpPr>
        <xdr:cNvPr id="1910" name="SCHEMA_T02_COND_0192">
          <a:extLst>
            <a:ext uri="{FF2B5EF4-FFF2-40B4-BE49-F238E27FC236}">
              <a16:creationId xmlns:a16="http://schemas.microsoft.com/office/drawing/2014/main" id="{56BFD5E7-8506-BB6A-D9EC-D6E9EFF9E6C0}"/>
            </a:ext>
          </a:extLst>
        </xdr:cNvPr>
        <xdr:cNvCxnSpPr/>
      </xdr:nvCxnSpPr>
      <xdr:spPr>
        <a:xfrm>
          <a:off x="10118725" y="5097921"/>
          <a:ext cx="222250" cy="88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321582</xdr:colOff>
      <xdr:row>16</xdr:row>
      <xdr:rowOff>154044</xdr:rowOff>
    </xdr:from>
    <xdr:to>
      <xdr:col>25</xdr:col>
      <xdr:colOff>208189</xdr:colOff>
      <xdr:row>17</xdr:row>
      <xdr:rowOff>79330</xdr:rowOff>
    </xdr:to>
    <xdr:cxnSp macro="">
      <xdr:nvCxnSpPr>
        <xdr:cNvPr id="1911" name="SCHEMA_T02_COND_0193">
          <a:extLst>
            <a:ext uri="{FF2B5EF4-FFF2-40B4-BE49-F238E27FC236}">
              <a16:creationId xmlns:a16="http://schemas.microsoft.com/office/drawing/2014/main" id="{7B1B9C9E-D286-FC64-E745-BC0A2EBE5CD2}"/>
            </a:ext>
          </a:extLst>
        </xdr:cNvPr>
        <xdr:cNvCxnSpPr/>
      </xdr:nvCxnSpPr>
      <xdr:spPr>
        <a:xfrm>
          <a:off x="9674225" y="4943758"/>
          <a:ext cx="222250" cy="17021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208189</xdr:colOff>
      <xdr:row>17</xdr:row>
      <xdr:rowOff>79330</xdr:rowOff>
    </xdr:from>
    <xdr:to>
      <xdr:col>26</xdr:col>
      <xdr:colOff>94796</xdr:colOff>
      <xdr:row>17</xdr:row>
      <xdr:rowOff>164878</xdr:rowOff>
    </xdr:to>
    <xdr:cxnSp macro="">
      <xdr:nvCxnSpPr>
        <xdr:cNvPr id="1912" name="SCHEMA_T02_COND_0194">
          <a:extLst>
            <a:ext uri="{FF2B5EF4-FFF2-40B4-BE49-F238E27FC236}">
              <a16:creationId xmlns:a16="http://schemas.microsoft.com/office/drawing/2014/main" id="{FB964479-4F18-EE91-8E84-96A2D34A2FA2}"/>
            </a:ext>
          </a:extLst>
        </xdr:cNvPr>
        <xdr:cNvCxnSpPr/>
      </xdr:nvCxnSpPr>
      <xdr:spPr>
        <a:xfrm>
          <a:off x="9896475" y="5113973"/>
          <a:ext cx="222250" cy="8554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94796</xdr:colOff>
      <xdr:row>17</xdr:row>
      <xdr:rowOff>164878</xdr:rowOff>
    </xdr:from>
    <xdr:to>
      <xdr:col>26</xdr:col>
      <xdr:colOff>317046</xdr:colOff>
      <xdr:row>17</xdr:row>
      <xdr:rowOff>165760</xdr:rowOff>
    </xdr:to>
    <xdr:cxnSp macro="">
      <xdr:nvCxnSpPr>
        <xdr:cNvPr id="1913" name="SCHEMA_T02_COND_0195">
          <a:extLst>
            <a:ext uri="{FF2B5EF4-FFF2-40B4-BE49-F238E27FC236}">
              <a16:creationId xmlns:a16="http://schemas.microsoft.com/office/drawing/2014/main" id="{E57219C2-56DE-A429-D156-F57F7FF11DA6}"/>
            </a:ext>
          </a:extLst>
        </xdr:cNvPr>
        <xdr:cNvCxnSpPr/>
      </xdr:nvCxnSpPr>
      <xdr:spPr>
        <a:xfrm>
          <a:off x="10118725" y="5199521"/>
          <a:ext cx="222250" cy="88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281214</xdr:colOff>
      <xdr:row>25</xdr:row>
      <xdr:rowOff>41729</xdr:rowOff>
    </xdr:from>
    <xdr:to>
      <xdr:col>26</xdr:col>
      <xdr:colOff>21771</xdr:colOff>
      <xdr:row>25</xdr:row>
      <xdr:rowOff>117929</xdr:rowOff>
    </xdr:to>
    <xdr:sp macro="" textlink="">
      <xdr:nvSpPr>
        <xdr:cNvPr id="1914" name="SCHEMA_T02_ATTRAV_13">
          <a:extLst>
            <a:ext uri="{FF2B5EF4-FFF2-40B4-BE49-F238E27FC236}">
              <a16:creationId xmlns:a16="http://schemas.microsoft.com/office/drawing/2014/main" id="{E11C923B-2D21-FA16-111B-4CB2D8056A3A}"/>
            </a:ext>
          </a:extLst>
        </xdr:cNvPr>
        <xdr:cNvSpPr/>
      </xdr:nvSpPr>
      <xdr:spPr>
        <a:xfrm>
          <a:off x="9969500" y="7035800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26</xdr:col>
      <xdr:colOff>317046</xdr:colOff>
      <xdr:row>15</xdr:row>
      <xdr:rowOff>134917</xdr:rowOff>
    </xdr:from>
    <xdr:to>
      <xdr:col>27</xdr:col>
      <xdr:colOff>203654</xdr:colOff>
      <xdr:row>15</xdr:row>
      <xdr:rowOff>239606</xdr:rowOff>
    </xdr:to>
    <xdr:cxnSp macro="">
      <xdr:nvCxnSpPr>
        <xdr:cNvPr id="1915" name="SCHEMA_T02_COND_0196">
          <a:extLst>
            <a:ext uri="{FF2B5EF4-FFF2-40B4-BE49-F238E27FC236}">
              <a16:creationId xmlns:a16="http://schemas.microsoft.com/office/drawing/2014/main" id="{26D0C091-992E-47EE-8D49-4FD81C59C330}"/>
            </a:ext>
          </a:extLst>
        </xdr:cNvPr>
        <xdr:cNvCxnSpPr/>
      </xdr:nvCxnSpPr>
      <xdr:spPr>
        <a:xfrm>
          <a:off x="10340975" y="4679703"/>
          <a:ext cx="222250" cy="104689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203654</xdr:colOff>
      <xdr:row>15</xdr:row>
      <xdr:rowOff>239606</xdr:rowOff>
    </xdr:from>
    <xdr:to>
      <xdr:col>28</xdr:col>
      <xdr:colOff>90261</xdr:colOff>
      <xdr:row>16</xdr:row>
      <xdr:rowOff>14700</xdr:rowOff>
    </xdr:to>
    <xdr:cxnSp macro="">
      <xdr:nvCxnSpPr>
        <xdr:cNvPr id="1916" name="SCHEMA_T02_COND_0197">
          <a:extLst>
            <a:ext uri="{FF2B5EF4-FFF2-40B4-BE49-F238E27FC236}">
              <a16:creationId xmlns:a16="http://schemas.microsoft.com/office/drawing/2014/main" id="{1C2FFF95-7089-4C4F-BDDF-541DB929E7D3}"/>
            </a:ext>
          </a:extLst>
        </xdr:cNvPr>
        <xdr:cNvCxnSpPr/>
      </xdr:nvCxnSpPr>
      <xdr:spPr>
        <a:xfrm>
          <a:off x="10563225" y="4784392"/>
          <a:ext cx="222250" cy="20022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90261</xdr:colOff>
      <xdr:row>15</xdr:row>
      <xdr:rowOff>194983</xdr:rowOff>
    </xdr:from>
    <xdr:to>
      <xdr:col>28</xdr:col>
      <xdr:colOff>312511</xdr:colOff>
      <xdr:row>16</xdr:row>
      <xdr:rowOff>14700</xdr:rowOff>
    </xdr:to>
    <xdr:cxnSp macro="">
      <xdr:nvCxnSpPr>
        <xdr:cNvPr id="1917" name="SCHEMA_T02_COND_0198">
          <a:extLst>
            <a:ext uri="{FF2B5EF4-FFF2-40B4-BE49-F238E27FC236}">
              <a16:creationId xmlns:a16="http://schemas.microsoft.com/office/drawing/2014/main" id="{BB0B5B61-BB04-B64E-7E77-4DA179F05F01}"/>
            </a:ext>
          </a:extLst>
        </xdr:cNvPr>
        <xdr:cNvCxnSpPr/>
      </xdr:nvCxnSpPr>
      <xdr:spPr>
        <a:xfrm flipV="1">
          <a:off x="10785475" y="4739769"/>
          <a:ext cx="222250" cy="64645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317046</xdr:colOff>
      <xdr:row>16</xdr:row>
      <xdr:rowOff>55089</xdr:rowOff>
    </xdr:from>
    <xdr:to>
      <xdr:col>27</xdr:col>
      <xdr:colOff>203654</xdr:colOff>
      <xdr:row>16</xdr:row>
      <xdr:rowOff>159778</xdr:rowOff>
    </xdr:to>
    <xdr:cxnSp macro="">
      <xdr:nvCxnSpPr>
        <xdr:cNvPr id="1918" name="SCHEMA_T02_COND_0199">
          <a:extLst>
            <a:ext uri="{FF2B5EF4-FFF2-40B4-BE49-F238E27FC236}">
              <a16:creationId xmlns:a16="http://schemas.microsoft.com/office/drawing/2014/main" id="{AA5AF37B-2C15-D45C-2947-113A78505C56}"/>
            </a:ext>
          </a:extLst>
        </xdr:cNvPr>
        <xdr:cNvCxnSpPr/>
      </xdr:nvCxnSpPr>
      <xdr:spPr>
        <a:xfrm>
          <a:off x="10340975" y="4844803"/>
          <a:ext cx="222250" cy="10468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203654</xdr:colOff>
      <xdr:row>16</xdr:row>
      <xdr:rowOff>159778</xdr:rowOff>
    </xdr:from>
    <xdr:to>
      <xdr:col>28</xdr:col>
      <xdr:colOff>90261</xdr:colOff>
      <xdr:row>16</xdr:row>
      <xdr:rowOff>179800</xdr:rowOff>
    </xdr:to>
    <xdr:cxnSp macro="">
      <xdr:nvCxnSpPr>
        <xdr:cNvPr id="1919" name="SCHEMA_T02_COND_0200">
          <a:extLst>
            <a:ext uri="{FF2B5EF4-FFF2-40B4-BE49-F238E27FC236}">
              <a16:creationId xmlns:a16="http://schemas.microsoft.com/office/drawing/2014/main" id="{F33CD280-3DB7-099C-D121-4275006AE77B}"/>
            </a:ext>
          </a:extLst>
        </xdr:cNvPr>
        <xdr:cNvCxnSpPr/>
      </xdr:nvCxnSpPr>
      <xdr:spPr>
        <a:xfrm>
          <a:off x="10563225" y="4949492"/>
          <a:ext cx="222250" cy="2002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90261</xdr:colOff>
      <xdr:row>16</xdr:row>
      <xdr:rowOff>115155</xdr:rowOff>
    </xdr:from>
    <xdr:to>
      <xdr:col>28</xdr:col>
      <xdr:colOff>312511</xdr:colOff>
      <xdr:row>16</xdr:row>
      <xdr:rowOff>179800</xdr:rowOff>
    </xdr:to>
    <xdr:cxnSp macro="">
      <xdr:nvCxnSpPr>
        <xdr:cNvPr id="1920" name="SCHEMA_T02_COND_0201">
          <a:extLst>
            <a:ext uri="{FF2B5EF4-FFF2-40B4-BE49-F238E27FC236}">
              <a16:creationId xmlns:a16="http://schemas.microsoft.com/office/drawing/2014/main" id="{236BDCF4-0C9B-3F55-626D-7B356726FECD}"/>
            </a:ext>
          </a:extLst>
        </xdr:cNvPr>
        <xdr:cNvCxnSpPr/>
      </xdr:nvCxnSpPr>
      <xdr:spPr>
        <a:xfrm flipV="1">
          <a:off x="10785475" y="4904869"/>
          <a:ext cx="222250" cy="6464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317046</xdr:colOff>
      <xdr:row>16</xdr:row>
      <xdr:rowOff>156689</xdr:rowOff>
    </xdr:from>
    <xdr:to>
      <xdr:col>27</xdr:col>
      <xdr:colOff>203654</xdr:colOff>
      <xdr:row>17</xdr:row>
      <xdr:rowOff>16449</xdr:rowOff>
    </xdr:to>
    <xdr:cxnSp macro="">
      <xdr:nvCxnSpPr>
        <xdr:cNvPr id="1921" name="SCHEMA_T02_COND_0202">
          <a:extLst>
            <a:ext uri="{FF2B5EF4-FFF2-40B4-BE49-F238E27FC236}">
              <a16:creationId xmlns:a16="http://schemas.microsoft.com/office/drawing/2014/main" id="{325D2314-C6CD-778B-6E25-E470304B49FB}"/>
            </a:ext>
          </a:extLst>
        </xdr:cNvPr>
        <xdr:cNvCxnSpPr/>
      </xdr:nvCxnSpPr>
      <xdr:spPr>
        <a:xfrm>
          <a:off x="10340975" y="4946403"/>
          <a:ext cx="222250" cy="10468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203654</xdr:colOff>
      <xdr:row>17</xdr:row>
      <xdr:rowOff>16449</xdr:rowOff>
    </xdr:from>
    <xdr:to>
      <xdr:col>28</xdr:col>
      <xdr:colOff>90261</xdr:colOff>
      <xdr:row>17</xdr:row>
      <xdr:rowOff>36471</xdr:rowOff>
    </xdr:to>
    <xdr:cxnSp macro="">
      <xdr:nvCxnSpPr>
        <xdr:cNvPr id="1922" name="SCHEMA_T02_COND_0203">
          <a:extLst>
            <a:ext uri="{FF2B5EF4-FFF2-40B4-BE49-F238E27FC236}">
              <a16:creationId xmlns:a16="http://schemas.microsoft.com/office/drawing/2014/main" id="{C545151F-DC17-87A6-D3DA-E6A963BA6EBE}"/>
            </a:ext>
          </a:extLst>
        </xdr:cNvPr>
        <xdr:cNvCxnSpPr/>
      </xdr:nvCxnSpPr>
      <xdr:spPr>
        <a:xfrm>
          <a:off x="10563225" y="5051092"/>
          <a:ext cx="222250" cy="2002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90261</xdr:colOff>
      <xdr:row>16</xdr:row>
      <xdr:rowOff>216755</xdr:rowOff>
    </xdr:from>
    <xdr:to>
      <xdr:col>28</xdr:col>
      <xdr:colOff>312511</xdr:colOff>
      <xdr:row>17</xdr:row>
      <xdr:rowOff>36471</xdr:rowOff>
    </xdr:to>
    <xdr:cxnSp macro="">
      <xdr:nvCxnSpPr>
        <xdr:cNvPr id="1923" name="SCHEMA_T02_COND_0204">
          <a:extLst>
            <a:ext uri="{FF2B5EF4-FFF2-40B4-BE49-F238E27FC236}">
              <a16:creationId xmlns:a16="http://schemas.microsoft.com/office/drawing/2014/main" id="{E973D8AD-7481-8030-011B-AA971BF48148}"/>
            </a:ext>
          </a:extLst>
        </xdr:cNvPr>
        <xdr:cNvCxnSpPr/>
      </xdr:nvCxnSpPr>
      <xdr:spPr>
        <a:xfrm flipV="1">
          <a:off x="10785475" y="5006469"/>
          <a:ext cx="222250" cy="6464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317046</xdr:colOff>
      <xdr:row>17</xdr:row>
      <xdr:rowOff>64160</xdr:rowOff>
    </xdr:from>
    <xdr:to>
      <xdr:col>27</xdr:col>
      <xdr:colOff>203654</xdr:colOff>
      <xdr:row>17</xdr:row>
      <xdr:rowOff>168849</xdr:rowOff>
    </xdr:to>
    <xdr:cxnSp macro="">
      <xdr:nvCxnSpPr>
        <xdr:cNvPr id="1924" name="SCHEMA_T02_COND_0205">
          <a:extLst>
            <a:ext uri="{FF2B5EF4-FFF2-40B4-BE49-F238E27FC236}">
              <a16:creationId xmlns:a16="http://schemas.microsoft.com/office/drawing/2014/main" id="{67A72397-6BD9-7C61-1356-7D8433B74598}"/>
            </a:ext>
          </a:extLst>
        </xdr:cNvPr>
        <xdr:cNvCxnSpPr/>
      </xdr:nvCxnSpPr>
      <xdr:spPr>
        <a:xfrm>
          <a:off x="10340975" y="5098803"/>
          <a:ext cx="222250" cy="10468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203654</xdr:colOff>
      <xdr:row>17</xdr:row>
      <xdr:rowOff>168849</xdr:rowOff>
    </xdr:from>
    <xdr:to>
      <xdr:col>28</xdr:col>
      <xdr:colOff>90261</xdr:colOff>
      <xdr:row>17</xdr:row>
      <xdr:rowOff>188871</xdr:rowOff>
    </xdr:to>
    <xdr:cxnSp macro="">
      <xdr:nvCxnSpPr>
        <xdr:cNvPr id="1925" name="SCHEMA_T02_COND_0206">
          <a:extLst>
            <a:ext uri="{FF2B5EF4-FFF2-40B4-BE49-F238E27FC236}">
              <a16:creationId xmlns:a16="http://schemas.microsoft.com/office/drawing/2014/main" id="{DB83B594-19FF-8BD4-BBEB-7DB5C06153B3}"/>
            </a:ext>
          </a:extLst>
        </xdr:cNvPr>
        <xdr:cNvCxnSpPr/>
      </xdr:nvCxnSpPr>
      <xdr:spPr>
        <a:xfrm>
          <a:off x="10563225" y="5203492"/>
          <a:ext cx="222250" cy="2002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90261</xdr:colOff>
      <xdr:row>17</xdr:row>
      <xdr:rowOff>124226</xdr:rowOff>
    </xdr:from>
    <xdr:to>
      <xdr:col>28</xdr:col>
      <xdr:colOff>312511</xdr:colOff>
      <xdr:row>17</xdr:row>
      <xdr:rowOff>188871</xdr:rowOff>
    </xdr:to>
    <xdr:cxnSp macro="">
      <xdr:nvCxnSpPr>
        <xdr:cNvPr id="1926" name="SCHEMA_T02_COND_0207">
          <a:extLst>
            <a:ext uri="{FF2B5EF4-FFF2-40B4-BE49-F238E27FC236}">
              <a16:creationId xmlns:a16="http://schemas.microsoft.com/office/drawing/2014/main" id="{6BD76D5E-5225-5CFA-F563-E5E34C1D23F7}"/>
            </a:ext>
          </a:extLst>
        </xdr:cNvPr>
        <xdr:cNvCxnSpPr/>
      </xdr:nvCxnSpPr>
      <xdr:spPr>
        <a:xfrm flipV="1">
          <a:off x="10785475" y="5158869"/>
          <a:ext cx="222250" cy="6464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317046</xdr:colOff>
      <xdr:row>17</xdr:row>
      <xdr:rowOff>165760</xdr:rowOff>
    </xdr:from>
    <xdr:to>
      <xdr:col>27</xdr:col>
      <xdr:colOff>203654</xdr:colOff>
      <xdr:row>18</xdr:row>
      <xdr:rowOff>25521</xdr:rowOff>
    </xdr:to>
    <xdr:cxnSp macro="">
      <xdr:nvCxnSpPr>
        <xdr:cNvPr id="1927" name="SCHEMA_T02_COND_0208">
          <a:extLst>
            <a:ext uri="{FF2B5EF4-FFF2-40B4-BE49-F238E27FC236}">
              <a16:creationId xmlns:a16="http://schemas.microsoft.com/office/drawing/2014/main" id="{9210C1D8-2A0B-1428-E5CE-48BE8BB8BF9E}"/>
            </a:ext>
          </a:extLst>
        </xdr:cNvPr>
        <xdr:cNvCxnSpPr/>
      </xdr:nvCxnSpPr>
      <xdr:spPr>
        <a:xfrm>
          <a:off x="10340975" y="5200403"/>
          <a:ext cx="222250" cy="10468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203654</xdr:colOff>
      <xdr:row>18</xdr:row>
      <xdr:rowOff>25521</xdr:rowOff>
    </xdr:from>
    <xdr:to>
      <xdr:col>28</xdr:col>
      <xdr:colOff>90261</xdr:colOff>
      <xdr:row>18</xdr:row>
      <xdr:rowOff>45543</xdr:rowOff>
    </xdr:to>
    <xdr:cxnSp macro="">
      <xdr:nvCxnSpPr>
        <xdr:cNvPr id="1928" name="SCHEMA_T02_COND_0209">
          <a:extLst>
            <a:ext uri="{FF2B5EF4-FFF2-40B4-BE49-F238E27FC236}">
              <a16:creationId xmlns:a16="http://schemas.microsoft.com/office/drawing/2014/main" id="{CBF735DA-1844-E800-5428-3ADDE5A9F443}"/>
            </a:ext>
          </a:extLst>
        </xdr:cNvPr>
        <xdr:cNvCxnSpPr/>
      </xdr:nvCxnSpPr>
      <xdr:spPr>
        <a:xfrm>
          <a:off x="10563225" y="5305092"/>
          <a:ext cx="222250" cy="2002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90261</xdr:colOff>
      <xdr:row>17</xdr:row>
      <xdr:rowOff>225826</xdr:rowOff>
    </xdr:from>
    <xdr:to>
      <xdr:col>28</xdr:col>
      <xdr:colOff>312511</xdr:colOff>
      <xdr:row>18</xdr:row>
      <xdr:rowOff>45543</xdr:rowOff>
    </xdr:to>
    <xdr:cxnSp macro="">
      <xdr:nvCxnSpPr>
        <xdr:cNvPr id="1929" name="SCHEMA_T02_COND_0210">
          <a:extLst>
            <a:ext uri="{FF2B5EF4-FFF2-40B4-BE49-F238E27FC236}">
              <a16:creationId xmlns:a16="http://schemas.microsoft.com/office/drawing/2014/main" id="{C089F424-2A76-8C5A-59C4-80D9EB347764}"/>
            </a:ext>
          </a:extLst>
        </xdr:cNvPr>
        <xdr:cNvCxnSpPr/>
      </xdr:nvCxnSpPr>
      <xdr:spPr>
        <a:xfrm flipV="1">
          <a:off x="10785475" y="5260469"/>
          <a:ext cx="222250" cy="6464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312511</xdr:colOff>
      <xdr:row>15</xdr:row>
      <xdr:rowOff>130395</xdr:rowOff>
    </xdr:from>
    <xdr:to>
      <xdr:col>29</xdr:col>
      <xdr:colOff>199118</xdr:colOff>
      <xdr:row>15</xdr:row>
      <xdr:rowOff>194983</xdr:rowOff>
    </xdr:to>
    <xdr:cxnSp macro="">
      <xdr:nvCxnSpPr>
        <xdr:cNvPr id="1930" name="SCHEMA_T02_COND_0211">
          <a:extLst>
            <a:ext uri="{FF2B5EF4-FFF2-40B4-BE49-F238E27FC236}">
              <a16:creationId xmlns:a16="http://schemas.microsoft.com/office/drawing/2014/main" id="{E79829FF-1751-BA83-C6EF-C49EE6399546}"/>
            </a:ext>
          </a:extLst>
        </xdr:cNvPr>
        <xdr:cNvCxnSpPr/>
      </xdr:nvCxnSpPr>
      <xdr:spPr>
        <a:xfrm flipV="1">
          <a:off x="11007725" y="4675181"/>
          <a:ext cx="222250" cy="64588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199118</xdr:colOff>
      <xdr:row>14</xdr:row>
      <xdr:rowOff>226069</xdr:rowOff>
    </xdr:from>
    <xdr:to>
      <xdr:col>30</xdr:col>
      <xdr:colOff>85725</xdr:colOff>
      <xdr:row>15</xdr:row>
      <xdr:rowOff>130395</xdr:rowOff>
    </xdr:to>
    <xdr:cxnSp macro="">
      <xdr:nvCxnSpPr>
        <xdr:cNvPr id="1931" name="SCHEMA_T02_COND_0212">
          <a:extLst>
            <a:ext uri="{FF2B5EF4-FFF2-40B4-BE49-F238E27FC236}">
              <a16:creationId xmlns:a16="http://schemas.microsoft.com/office/drawing/2014/main" id="{92AE5BE3-FFF8-F21F-7398-9875DD81F503}"/>
            </a:ext>
          </a:extLst>
        </xdr:cNvPr>
        <xdr:cNvCxnSpPr/>
      </xdr:nvCxnSpPr>
      <xdr:spPr>
        <a:xfrm flipV="1">
          <a:off x="11229975" y="4525926"/>
          <a:ext cx="222250" cy="149255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85725</xdr:colOff>
      <xdr:row>13</xdr:row>
      <xdr:rowOff>237076</xdr:rowOff>
    </xdr:from>
    <xdr:to>
      <xdr:col>30</xdr:col>
      <xdr:colOff>307975</xdr:colOff>
      <xdr:row>14</xdr:row>
      <xdr:rowOff>226069</xdr:rowOff>
    </xdr:to>
    <xdr:cxnSp macro="">
      <xdr:nvCxnSpPr>
        <xdr:cNvPr id="1932" name="SCHEMA_T02_COND_0213">
          <a:extLst>
            <a:ext uri="{FF2B5EF4-FFF2-40B4-BE49-F238E27FC236}">
              <a16:creationId xmlns:a16="http://schemas.microsoft.com/office/drawing/2014/main" id="{AA6E33B9-CC19-6426-8723-FB7798D0100B}"/>
            </a:ext>
          </a:extLst>
        </xdr:cNvPr>
        <xdr:cNvCxnSpPr/>
      </xdr:nvCxnSpPr>
      <xdr:spPr>
        <a:xfrm flipV="1">
          <a:off x="11452225" y="4292005"/>
          <a:ext cx="222250" cy="233921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312511</xdr:colOff>
      <xdr:row>16</xdr:row>
      <xdr:rowOff>50567</xdr:rowOff>
    </xdr:from>
    <xdr:to>
      <xdr:col>29</xdr:col>
      <xdr:colOff>199118</xdr:colOff>
      <xdr:row>16</xdr:row>
      <xdr:rowOff>115155</xdr:rowOff>
    </xdr:to>
    <xdr:cxnSp macro="">
      <xdr:nvCxnSpPr>
        <xdr:cNvPr id="1933" name="SCHEMA_T02_COND_0214">
          <a:extLst>
            <a:ext uri="{FF2B5EF4-FFF2-40B4-BE49-F238E27FC236}">
              <a16:creationId xmlns:a16="http://schemas.microsoft.com/office/drawing/2014/main" id="{042E3190-2376-C145-C7FB-7F1CABBDC907}"/>
            </a:ext>
          </a:extLst>
        </xdr:cNvPr>
        <xdr:cNvCxnSpPr/>
      </xdr:nvCxnSpPr>
      <xdr:spPr>
        <a:xfrm flipV="1">
          <a:off x="11007725" y="4840281"/>
          <a:ext cx="222250" cy="6458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199118</xdr:colOff>
      <xdr:row>15</xdr:row>
      <xdr:rowOff>146240</xdr:rowOff>
    </xdr:from>
    <xdr:to>
      <xdr:col>30</xdr:col>
      <xdr:colOff>85725</xdr:colOff>
      <xdr:row>16</xdr:row>
      <xdr:rowOff>50567</xdr:rowOff>
    </xdr:to>
    <xdr:cxnSp macro="">
      <xdr:nvCxnSpPr>
        <xdr:cNvPr id="1934" name="SCHEMA_T02_COND_0215">
          <a:extLst>
            <a:ext uri="{FF2B5EF4-FFF2-40B4-BE49-F238E27FC236}">
              <a16:creationId xmlns:a16="http://schemas.microsoft.com/office/drawing/2014/main" id="{5EA0F67F-AD47-9D3B-7D9C-504C950CE94C}"/>
            </a:ext>
          </a:extLst>
        </xdr:cNvPr>
        <xdr:cNvCxnSpPr/>
      </xdr:nvCxnSpPr>
      <xdr:spPr>
        <a:xfrm flipV="1">
          <a:off x="11229975" y="4691026"/>
          <a:ext cx="222250" cy="14925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85725</xdr:colOff>
      <xdr:row>14</xdr:row>
      <xdr:rowOff>157248</xdr:rowOff>
    </xdr:from>
    <xdr:to>
      <xdr:col>30</xdr:col>
      <xdr:colOff>307975</xdr:colOff>
      <xdr:row>15</xdr:row>
      <xdr:rowOff>146240</xdr:rowOff>
    </xdr:to>
    <xdr:cxnSp macro="">
      <xdr:nvCxnSpPr>
        <xdr:cNvPr id="1935" name="SCHEMA_T02_COND_0216">
          <a:extLst>
            <a:ext uri="{FF2B5EF4-FFF2-40B4-BE49-F238E27FC236}">
              <a16:creationId xmlns:a16="http://schemas.microsoft.com/office/drawing/2014/main" id="{6D1E5C9D-C01E-211E-5740-650217F26B08}"/>
            </a:ext>
          </a:extLst>
        </xdr:cNvPr>
        <xdr:cNvCxnSpPr/>
      </xdr:nvCxnSpPr>
      <xdr:spPr>
        <a:xfrm flipV="1">
          <a:off x="11452225" y="4457105"/>
          <a:ext cx="222250" cy="23392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312511</xdr:colOff>
      <xdr:row>16</xdr:row>
      <xdr:rowOff>152167</xdr:rowOff>
    </xdr:from>
    <xdr:to>
      <xdr:col>29</xdr:col>
      <xdr:colOff>199118</xdr:colOff>
      <xdr:row>16</xdr:row>
      <xdr:rowOff>216755</xdr:rowOff>
    </xdr:to>
    <xdr:cxnSp macro="">
      <xdr:nvCxnSpPr>
        <xdr:cNvPr id="1936" name="SCHEMA_T02_COND_0217">
          <a:extLst>
            <a:ext uri="{FF2B5EF4-FFF2-40B4-BE49-F238E27FC236}">
              <a16:creationId xmlns:a16="http://schemas.microsoft.com/office/drawing/2014/main" id="{4F12D117-31CB-B7B4-7A9B-EAC0E1C09035}"/>
            </a:ext>
          </a:extLst>
        </xdr:cNvPr>
        <xdr:cNvCxnSpPr/>
      </xdr:nvCxnSpPr>
      <xdr:spPr>
        <a:xfrm flipV="1">
          <a:off x="11007725" y="4941881"/>
          <a:ext cx="222250" cy="6458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199118</xdr:colOff>
      <xdr:row>16</xdr:row>
      <xdr:rowOff>2912</xdr:rowOff>
    </xdr:from>
    <xdr:to>
      <xdr:col>30</xdr:col>
      <xdr:colOff>85725</xdr:colOff>
      <xdr:row>16</xdr:row>
      <xdr:rowOff>152167</xdr:rowOff>
    </xdr:to>
    <xdr:cxnSp macro="">
      <xdr:nvCxnSpPr>
        <xdr:cNvPr id="1937" name="SCHEMA_T02_COND_0218">
          <a:extLst>
            <a:ext uri="{FF2B5EF4-FFF2-40B4-BE49-F238E27FC236}">
              <a16:creationId xmlns:a16="http://schemas.microsoft.com/office/drawing/2014/main" id="{471EB39D-8D99-BEAB-2826-FFB9D7C1BD8B}"/>
            </a:ext>
          </a:extLst>
        </xdr:cNvPr>
        <xdr:cNvCxnSpPr/>
      </xdr:nvCxnSpPr>
      <xdr:spPr>
        <a:xfrm flipV="1">
          <a:off x="11229975" y="4792626"/>
          <a:ext cx="222250" cy="14925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85725</xdr:colOff>
      <xdr:row>15</xdr:row>
      <xdr:rowOff>13919</xdr:rowOff>
    </xdr:from>
    <xdr:to>
      <xdr:col>30</xdr:col>
      <xdr:colOff>307975</xdr:colOff>
      <xdr:row>16</xdr:row>
      <xdr:rowOff>2912</xdr:rowOff>
    </xdr:to>
    <xdr:cxnSp macro="">
      <xdr:nvCxnSpPr>
        <xdr:cNvPr id="1938" name="SCHEMA_T02_COND_0219">
          <a:extLst>
            <a:ext uri="{FF2B5EF4-FFF2-40B4-BE49-F238E27FC236}">
              <a16:creationId xmlns:a16="http://schemas.microsoft.com/office/drawing/2014/main" id="{E4CEA851-A506-DF09-8024-8F2896100249}"/>
            </a:ext>
          </a:extLst>
        </xdr:cNvPr>
        <xdr:cNvCxnSpPr/>
      </xdr:nvCxnSpPr>
      <xdr:spPr>
        <a:xfrm flipV="1">
          <a:off x="11452225" y="4558705"/>
          <a:ext cx="222250" cy="23392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312511</xdr:colOff>
      <xdr:row>17</xdr:row>
      <xdr:rowOff>59638</xdr:rowOff>
    </xdr:from>
    <xdr:to>
      <xdr:col>29</xdr:col>
      <xdr:colOff>199118</xdr:colOff>
      <xdr:row>17</xdr:row>
      <xdr:rowOff>124226</xdr:rowOff>
    </xdr:to>
    <xdr:cxnSp macro="">
      <xdr:nvCxnSpPr>
        <xdr:cNvPr id="1939" name="SCHEMA_T02_COND_0220">
          <a:extLst>
            <a:ext uri="{FF2B5EF4-FFF2-40B4-BE49-F238E27FC236}">
              <a16:creationId xmlns:a16="http://schemas.microsoft.com/office/drawing/2014/main" id="{199D9DA9-C083-E081-8215-4F7180173087}"/>
            </a:ext>
          </a:extLst>
        </xdr:cNvPr>
        <xdr:cNvCxnSpPr/>
      </xdr:nvCxnSpPr>
      <xdr:spPr>
        <a:xfrm flipV="1">
          <a:off x="11007725" y="5094281"/>
          <a:ext cx="222250" cy="6458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199118</xdr:colOff>
      <xdr:row>16</xdr:row>
      <xdr:rowOff>155312</xdr:rowOff>
    </xdr:from>
    <xdr:to>
      <xdr:col>30</xdr:col>
      <xdr:colOff>85725</xdr:colOff>
      <xdr:row>17</xdr:row>
      <xdr:rowOff>59638</xdr:rowOff>
    </xdr:to>
    <xdr:cxnSp macro="">
      <xdr:nvCxnSpPr>
        <xdr:cNvPr id="1940" name="SCHEMA_T02_COND_0221">
          <a:extLst>
            <a:ext uri="{FF2B5EF4-FFF2-40B4-BE49-F238E27FC236}">
              <a16:creationId xmlns:a16="http://schemas.microsoft.com/office/drawing/2014/main" id="{4390A7E7-6508-D7D2-DEB6-78673A680CA2}"/>
            </a:ext>
          </a:extLst>
        </xdr:cNvPr>
        <xdr:cNvCxnSpPr/>
      </xdr:nvCxnSpPr>
      <xdr:spPr>
        <a:xfrm flipV="1">
          <a:off x="11229975" y="4945026"/>
          <a:ext cx="222250" cy="14925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85725</xdr:colOff>
      <xdr:row>15</xdr:row>
      <xdr:rowOff>166319</xdr:rowOff>
    </xdr:from>
    <xdr:to>
      <xdr:col>30</xdr:col>
      <xdr:colOff>307975</xdr:colOff>
      <xdr:row>16</xdr:row>
      <xdr:rowOff>155312</xdr:rowOff>
    </xdr:to>
    <xdr:cxnSp macro="">
      <xdr:nvCxnSpPr>
        <xdr:cNvPr id="1941" name="SCHEMA_T02_COND_0222">
          <a:extLst>
            <a:ext uri="{FF2B5EF4-FFF2-40B4-BE49-F238E27FC236}">
              <a16:creationId xmlns:a16="http://schemas.microsoft.com/office/drawing/2014/main" id="{DB0B758E-D28F-0EE4-61B8-EA200B43B351}"/>
            </a:ext>
          </a:extLst>
        </xdr:cNvPr>
        <xdr:cNvCxnSpPr/>
      </xdr:nvCxnSpPr>
      <xdr:spPr>
        <a:xfrm flipV="1">
          <a:off x="11452225" y="4711105"/>
          <a:ext cx="222250" cy="23392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312511</xdr:colOff>
      <xdr:row>17</xdr:row>
      <xdr:rowOff>161238</xdr:rowOff>
    </xdr:from>
    <xdr:to>
      <xdr:col>29</xdr:col>
      <xdr:colOff>199118</xdr:colOff>
      <xdr:row>17</xdr:row>
      <xdr:rowOff>225826</xdr:rowOff>
    </xdr:to>
    <xdr:cxnSp macro="">
      <xdr:nvCxnSpPr>
        <xdr:cNvPr id="1942" name="SCHEMA_T02_COND_0223">
          <a:extLst>
            <a:ext uri="{FF2B5EF4-FFF2-40B4-BE49-F238E27FC236}">
              <a16:creationId xmlns:a16="http://schemas.microsoft.com/office/drawing/2014/main" id="{9A312462-7B66-BE29-5D53-43B0A82FAC4B}"/>
            </a:ext>
          </a:extLst>
        </xdr:cNvPr>
        <xdr:cNvCxnSpPr/>
      </xdr:nvCxnSpPr>
      <xdr:spPr>
        <a:xfrm flipV="1">
          <a:off x="11007725" y="5195881"/>
          <a:ext cx="222250" cy="6458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199118</xdr:colOff>
      <xdr:row>17</xdr:row>
      <xdr:rowOff>11983</xdr:rowOff>
    </xdr:from>
    <xdr:to>
      <xdr:col>30</xdr:col>
      <xdr:colOff>85725</xdr:colOff>
      <xdr:row>17</xdr:row>
      <xdr:rowOff>161238</xdr:rowOff>
    </xdr:to>
    <xdr:cxnSp macro="">
      <xdr:nvCxnSpPr>
        <xdr:cNvPr id="1943" name="SCHEMA_T02_COND_0224">
          <a:extLst>
            <a:ext uri="{FF2B5EF4-FFF2-40B4-BE49-F238E27FC236}">
              <a16:creationId xmlns:a16="http://schemas.microsoft.com/office/drawing/2014/main" id="{23546721-9BD5-DA1A-0C07-CCA730FA0437}"/>
            </a:ext>
          </a:extLst>
        </xdr:cNvPr>
        <xdr:cNvCxnSpPr/>
      </xdr:nvCxnSpPr>
      <xdr:spPr>
        <a:xfrm flipV="1">
          <a:off x="11229975" y="5046626"/>
          <a:ext cx="222250" cy="14925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85725</xdr:colOff>
      <xdr:row>16</xdr:row>
      <xdr:rowOff>22991</xdr:rowOff>
    </xdr:from>
    <xdr:to>
      <xdr:col>30</xdr:col>
      <xdr:colOff>307975</xdr:colOff>
      <xdr:row>17</xdr:row>
      <xdr:rowOff>11983</xdr:rowOff>
    </xdr:to>
    <xdr:cxnSp macro="">
      <xdr:nvCxnSpPr>
        <xdr:cNvPr id="1944" name="SCHEMA_T02_COND_0225">
          <a:extLst>
            <a:ext uri="{FF2B5EF4-FFF2-40B4-BE49-F238E27FC236}">
              <a16:creationId xmlns:a16="http://schemas.microsoft.com/office/drawing/2014/main" id="{6EA51727-222E-2AAA-4AD5-BDAE77EF158D}"/>
            </a:ext>
          </a:extLst>
        </xdr:cNvPr>
        <xdr:cNvCxnSpPr/>
      </xdr:nvCxnSpPr>
      <xdr:spPr>
        <a:xfrm flipV="1">
          <a:off x="11452225" y="4812705"/>
          <a:ext cx="222250" cy="23392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272143</xdr:colOff>
      <xdr:row>25</xdr:row>
      <xdr:rowOff>41729</xdr:rowOff>
    </xdr:from>
    <xdr:to>
      <xdr:col>30</xdr:col>
      <xdr:colOff>12700</xdr:colOff>
      <xdr:row>25</xdr:row>
      <xdr:rowOff>117929</xdr:rowOff>
    </xdr:to>
    <xdr:sp macro="" textlink="">
      <xdr:nvSpPr>
        <xdr:cNvPr id="1945" name="SCHEMA_T02_ATTRAV_15">
          <a:extLst>
            <a:ext uri="{FF2B5EF4-FFF2-40B4-BE49-F238E27FC236}">
              <a16:creationId xmlns:a16="http://schemas.microsoft.com/office/drawing/2014/main" id="{7EB28055-E660-AE55-664D-A53F4911C282}"/>
            </a:ext>
          </a:extLst>
        </xdr:cNvPr>
        <xdr:cNvSpPr/>
      </xdr:nvSpPr>
      <xdr:spPr>
        <a:xfrm>
          <a:off x="11303000" y="7035800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30</xdr:col>
      <xdr:colOff>307975</xdr:colOff>
      <xdr:row>13</xdr:row>
      <xdr:rowOff>237076</xdr:rowOff>
    </xdr:from>
    <xdr:to>
      <xdr:col>31</xdr:col>
      <xdr:colOff>194582</xdr:colOff>
      <xdr:row>14</xdr:row>
      <xdr:rowOff>224249</xdr:rowOff>
    </xdr:to>
    <xdr:cxnSp macro="">
      <xdr:nvCxnSpPr>
        <xdr:cNvPr id="1946" name="SCHEMA_T02_COND_0226">
          <a:extLst>
            <a:ext uri="{FF2B5EF4-FFF2-40B4-BE49-F238E27FC236}">
              <a16:creationId xmlns:a16="http://schemas.microsoft.com/office/drawing/2014/main" id="{56A7DBF3-3029-2C90-C7B3-E450BB80FEC0}"/>
            </a:ext>
          </a:extLst>
        </xdr:cNvPr>
        <xdr:cNvCxnSpPr/>
      </xdr:nvCxnSpPr>
      <xdr:spPr>
        <a:xfrm>
          <a:off x="11674475" y="4292005"/>
          <a:ext cx="222250" cy="232101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194582</xdr:colOff>
      <xdr:row>14</xdr:row>
      <xdr:rowOff>224249</xdr:rowOff>
    </xdr:from>
    <xdr:to>
      <xdr:col>32</xdr:col>
      <xdr:colOff>81189</xdr:colOff>
      <xdr:row>15</xdr:row>
      <xdr:rowOff>126754</xdr:rowOff>
    </xdr:to>
    <xdr:cxnSp macro="">
      <xdr:nvCxnSpPr>
        <xdr:cNvPr id="1947" name="SCHEMA_T02_COND_0227">
          <a:extLst>
            <a:ext uri="{FF2B5EF4-FFF2-40B4-BE49-F238E27FC236}">
              <a16:creationId xmlns:a16="http://schemas.microsoft.com/office/drawing/2014/main" id="{39007C33-0269-FDEF-8DF0-1A9410E75836}"/>
            </a:ext>
          </a:extLst>
        </xdr:cNvPr>
        <xdr:cNvCxnSpPr/>
      </xdr:nvCxnSpPr>
      <xdr:spPr>
        <a:xfrm>
          <a:off x="11896725" y="4524106"/>
          <a:ext cx="222250" cy="147434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81189</xdr:colOff>
      <xdr:row>15</xdr:row>
      <xdr:rowOff>126754</xdr:rowOff>
    </xdr:from>
    <xdr:to>
      <xdr:col>32</xdr:col>
      <xdr:colOff>303439</xdr:colOff>
      <xdr:row>15</xdr:row>
      <xdr:rowOff>189522</xdr:rowOff>
    </xdr:to>
    <xdr:cxnSp macro="">
      <xdr:nvCxnSpPr>
        <xdr:cNvPr id="1948" name="SCHEMA_T02_COND_0228">
          <a:extLst>
            <a:ext uri="{FF2B5EF4-FFF2-40B4-BE49-F238E27FC236}">
              <a16:creationId xmlns:a16="http://schemas.microsoft.com/office/drawing/2014/main" id="{1FBC14FE-452A-9A3C-B8AA-72BEDBCB856A}"/>
            </a:ext>
          </a:extLst>
        </xdr:cNvPr>
        <xdr:cNvCxnSpPr/>
      </xdr:nvCxnSpPr>
      <xdr:spPr>
        <a:xfrm>
          <a:off x="12118975" y="4671540"/>
          <a:ext cx="222250" cy="62768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307975</xdr:colOff>
      <xdr:row>14</xdr:row>
      <xdr:rowOff>157248</xdr:rowOff>
    </xdr:from>
    <xdr:to>
      <xdr:col>31</xdr:col>
      <xdr:colOff>194582</xdr:colOff>
      <xdr:row>15</xdr:row>
      <xdr:rowOff>144420</xdr:rowOff>
    </xdr:to>
    <xdr:cxnSp macro="">
      <xdr:nvCxnSpPr>
        <xdr:cNvPr id="1949" name="SCHEMA_T02_COND_0229">
          <a:extLst>
            <a:ext uri="{FF2B5EF4-FFF2-40B4-BE49-F238E27FC236}">
              <a16:creationId xmlns:a16="http://schemas.microsoft.com/office/drawing/2014/main" id="{93556459-3FF8-A01B-FC4F-1C44B911E9AD}"/>
            </a:ext>
          </a:extLst>
        </xdr:cNvPr>
        <xdr:cNvCxnSpPr/>
      </xdr:nvCxnSpPr>
      <xdr:spPr>
        <a:xfrm>
          <a:off x="11674475" y="4457105"/>
          <a:ext cx="222250" cy="23210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194582</xdr:colOff>
      <xdr:row>15</xdr:row>
      <xdr:rowOff>144420</xdr:rowOff>
    </xdr:from>
    <xdr:to>
      <xdr:col>32</xdr:col>
      <xdr:colOff>81189</xdr:colOff>
      <xdr:row>16</xdr:row>
      <xdr:rowOff>46926</xdr:rowOff>
    </xdr:to>
    <xdr:cxnSp macro="">
      <xdr:nvCxnSpPr>
        <xdr:cNvPr id="1950" name="SCHEMA_T02_COND_0230">
          <a:extLst>
            <a:ext uri="{FF2B5EF4-FFF2-40B4-BE49-F238E27FC236}">
              <a16:creationId xmlns:a16="http://schemas.microsoft.com/office/drawing/2014/main" id="{A038F695-B94C-9D0F-CD94-0173B697905C}"/>
            </a:ext>
          </a:extLst>
        </xdr:cNvPr>
        <xdr:cNvCxnSpPr/>
      </xdr:nvCxnSpPr>
      <xdr:spPr>
        <a:xfrm>
          <a:off x="11896725" y="4689206"/>
          <a:ext cx="222250" cy="147434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81189</xdr:colOff>
      <xdr:row>16</xdr:row>
      <xdr:rowOff>46926</xdr:rowOff>
    </xdr:from>
    <xdr:to>
      <xdr:col>32</xdr:col>
      <xdr:colOff>303439</xdr:colOff>
      <xdr:row>16</xdr:row>
      <xdr:rowOff>109694</xdr:rowOff>
    </xdr:to>
    <xdr:cxnSp macro="">
      <xdr:nvCxnSpPr>
        <xdr:cNvPr id="1951" name="SCHEMA_T02_COND_0231">
          <a:extLst>
            <a:ext uri="{FF2B5EF4-FFF2-40B4-BE49-F238E27FC236}">
              <a16:creationId xmlns:a16="http://schemas.microsoft.com/office/drawing/2014/main" id="{02462227-163A-C14D-619B-29F7661D3585}"/>
            </a:ext>
          </a:extLst>
        </xdr:cNvPr>
        <xdr:cNvCxnSpPr/>
      </xdr:nvCxnSpPr>
      <xdr:spPr>
        <a:xfrm>
          <a:off x="12118975" y="4836640"/>
          <a:ext cx="222250" cy="6276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307975</xdr:colOff>
      <xdr:row>15</xdr:row>
      <xdr:rowOff>13919</xdr:rowOff>
    </xdr:from>
    <xdr:to>
      <xdr:col>31</xdr:col>
      <xdr:colOff>194582</xdr:colOff>
      <xdr:row>16</xdr:row>
      <xdr:rowOff>1092</xdr:rowOff>
    </xdr:to>
    <xdr:cxnSp macro="">
      <xdr:nvCxnSpPr>
        <xdr:cNvPr id="1952" name="SCHEMA_T02_COND_0232">
          <a:extLst>
            <a:ext uri="{FF2B5EF4-FFF2-40B4-BE49-F238E27FC236}">
              <a16:creationId xmlns:a16="http://schemas.microsoft.com/office/drawing/2014/main" id="{31800CDD-FA47-F345-6643-8B1A1DC9718E}"/>
            </a:ext>
          </a:extLst>
        </xdr:cNvPr>
        <xdr:cNvCxnSpPr/>
      </xdr:nvCxnSpPr>
      <xdr:spPr>
        <a:xfrm>
          <a:off x="11674475" y="4558705"/>
          <a:ext cx="222250" cy="23210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194582</xdr:colOff>
      <xdr:row>16</xdr:row>
      <xdr:rowOff>1092</xdr:rowOff>
    </xdr:from>
    <xdr:to>
      <xdr:col>32</xdr:col>
      <xdr:colOff>81189</xdr:colOff>
      <xdr:row>16</xdr:row>
      <xdr:rowOff>148526</xdr:rowOff>
    </xdr:to>
    <xdr:cxnSp macro="">
      <xdr:nvCxnSpPr>
        <xdr:cNvPr id="1953" name="SCHEMA_T02_COND_0233">
          <a:extLst>
            <a:ext uri="{FF2B5EF4-FFF2-40B4-BE49-F238E27FC236}">
              <a16:creationId xmlns:a16="http://schemas.microsoft.com/office/drawing/2014/main" id="{8D8AA636-2E22-BD13-6D06-F7698D78B9D7}"/>
            </a:ext>
          </a:extLst>
        </xdr:cNvPr>
        <xdr:cNvCxnSpPr/>
      </xdr:nvCxnSpPr>
      <xdr:spPr>
        <a:xfrm>
          <a:off x="11896725" y="4790806"/>
          <a:ext cx="222250" cy="147434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81189</xdr:colOff>
      <xdr:row>16</xdr:row>
      <xdr:rowOff>148526</xdr:rowOff>
    </xdr:from>
    <xdr:to>
      <xdr:col>32</xdr:col>
      <xdr:colOff>303439</xdr:colOff>
      <xdr:row>16</xdr:row>
      <xdr:rowOff>211294</xdr:rowOff>
    </xdr:to>
    <xdr:cxnSp macro="">
      <xdr:nvCxnSpPr>
        <xdr:cNvPr id="1954" name="SCHEMA_T02_COND_0234">
          <a:extLst>
            <a:ext uri="{FF2B5EF4-FFF2-40B4-BE49-F238E27FC236}">
              <a16:creationId xmlns:a16="http://schemas.microsoft.com/office/drawing/2014/main" id="{CD6D050D-880E-6F89-8EDC-9CB88FEC6E6F}"/>
            </a:ext>
          </a:extLst>
        </xdr:cNvPr>
        <xdr:cNvCxnSpPr/>
      </xdr:nvCxnSpPr>
      <xdr:spPr>
        <a:xfrm>
          <a:off x="12118975" y="4938240"/>
          <a:ext cx="222250" cy="6276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307975</xdr:colOff>
      <xdr:row>15</xdr:row>
      <xdr:rowOff>166319</xdr:rowOff>
    </xdr:from>
    <xdr:to>
      <xdr:col>31</xdr:col>
      <xdr:colOff>194582</xdr:colOff>
      <xdr:row>16</xdr:row>
      <xdr:rowOff>153492</xdr:rowOff>
    </xdr:to>
    <xdr:cxnSp macro="">
      <xdr:nvCxnSpPr>
        <xdr:cNvPr id="1955" name="SCHEMA_T02_COND_0235">
          <a:extLst>
            <a:ext uri="{FF2B5EF4-FFF2-40B4-BE49-F238E27FC236}">
              <a16:creationId xmlns:a16="http://schemas.microsoft.com/office/drawing/2014/main" id="{36DC2A1E-B9AD-B23F-2B5E-CF29DB5810AE}"/>
            </a:ext>
          </a:extLst>
        </xdr:cNvPr>
        <xdr:cNvCxnSpPr/>
      </xdr:nvCxnSpPr>
      <xdr:spPr>
        <a:xfrm>
          <a:off x="11674475" y="4711105"/>
          <a:ext cx="222250" cy="23210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194582</xdr:colOff>
      <xdr:row>16</xdr:row>
      <xdr:rowOff>153492</xdr:rowOff>
    </xdr:from>
    <xdr:to>
      <xdr:col>32</xdr:col>
      <xdr:colOff>81189</xdr:colOff>
      <xdr:row>17</xdr:row>
      <xdr:rowOff>55997</xdr:rowOff>
    </xdr:to>
    <xdr:cxnSp macro="">
      <xdr:nvCxnSpPr>
        <xdr:cNvPr id="1956" name="SCHEMA_T02_COND_0236">
          <a:extLst>
            <a:ext uri="{FF2B5EF4-FFF2-40B4-BE49-F238E27FC236}">
              <a16:creationId xmlns:a16="http://schemas.microsoft.com/office/drawing/2014/main" id="{5121DDF0-2BB3-DEC6-E542-4BE516AFB5C1}"/>
            </a:ext>
          </a:extLst>
        </xdr:cNvPr>
        <xdr:cNvCxnSpPr/>
      </xdr:nvCxnSpPr>
      <xdr:spPr>
        <a:xfrm>
          <a:off x="11896725" y="4943206"/>
          <a:ext cx="222250" cy="147434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81189</xdr:colOff>
      <xdr:row>17</xdr:row>
      <xdr:rowOff>55997</xdr:rowOff>
    </xdr:from>
    <xdr:to>
      <xdr:col>32</xdr:col>
      <xdr:colOff>303439</xdr:colOff>
      <xdr:row>17</xdr:row>
      <xdr:rowOff>118765</xdr:rowOff>
    </xdr:to>
    <xdr:cxnSp macro="">
      <xdr:nvCxnSpPr>
        <xdr:cNvPr id="1957" name="SCHEMA_T02_COND_0237">
          <a:extLst>
            <a:ext uri="{FF2B5EF4-FFF2-40B4-BE49-F238E27FC236}">
              <a16:creationId xmlns:a16="http://schemas.microsoft.com/office/drawing/2014/main" id="{D2D7DB6A-BD48-2A5F-D096-CC6F6E9F2F17}"/>
            </a:ext>
          </a:extLst>
        </xdr:cNvPr>
        <xdr:cNvCxnSpPr/>
      </xdr:nvCxnSpPr>
      <xdr:spPr>
        <a:xfrm>
          <a:off x="12118975" y="5090640"/>
          <a:ext cx="222250" cy="6276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307975</xdr:colOff>
      <xdr:row>16</xdr:row>
      <xdr:rowOff>22991</xdr:rowOff>
    </xdr:from>
    <xdr:to>
      <xdr:col>31</xdr:col>
      <xdr:colOff>194582</xdr:colOff>
      <xdr:row>17</xdr:row>
      <xdr:rowOff>10163</xdr:rowOff>
    </xdr:to>
    <xdr:cxnSp macro="">
      <xdr:nvCxnSpPr>
        <xdr:cNvPr id="1958" name="SCHEMA_T02_COND_0238">
          <a:extLst>
            <a:ext uri="{FF2B5EF4-FFF2-40B4-BE49-F238E27FC236}">
              <a16:creationId xmlns:a16="http://schemas.microsoft.com/office/drawing/2014/main" id="{2A399EEC-09F8-CA4A-E683-708788CD0A3A}"/>
            </a:ext>
          </a:extLst>
        </xdr:cNvPr>
        <xdr:cNvCxnSpPr/>
      </xdr:nvCxnSpPr>
      <xdr:spPr>
        <a:xfrm>
          <a:off x="11674475" y="4812705"/>
          <a:ext cx="222250" cy="23210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194582</xdr:colOff>
      <xdr:row>17</xdr:row>
      <xdr:rowOff>10163</xdr:rowOff>
    </xdr:from>
    <xdr:to>
      <xdr:col>32</xdr:col>
      <xdr:colOff>81189</xdr:colOff>
      <xdr:row>17</xdr:row>
      <xdr:rowOff>157597</xdr:rowOff>
    </xdr:to>
    <xdr:cxnSp macro="">
      <xdr:nvCxnSpPr>
        <xdr:cNvPr id="1959" name="SCHEMA_T02_COND_0239">
          <a:extLst>
            <a:ext uri="{FF2B5EF4-FFF2-40B4-BE49-F238E27FC236}">
              <a16:creationId xmlns:a16="http://schemas.microsoft.com/office/drawing/2014/main" id="{66EA29A9-2A32-33F9-65C0-65D0F13B5FF7}"/>
            </a:ext>
          </a:extLst>
        </xdr:cNvPr>
        <xdr:cNvCxnSpPr/>
      </xdr:nvCxnSpPr>
      <xdr:spPr>
        <a:xfrm>
          <a:off x="11896725" y="5044806"/>
          <a:ext cx="222250" cy="147434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81189</xdr:colOff>
      <xdr:row>17</xdr:row>
      <xdr:rowOff>157597</xdr:rowOff>
    </xdr:from>
    <xdr:to>
      <xdr:col>32</xdr:col>
      <xdr:colOff>303439</xdr:colOff>
      <xdr:row>17</xdr:row>
      <xdr:rowOff>220365</xdr:rowOff>
    </xdr:to>
    <xdr:cxnSp macro="">
      <xdr:nvCxnSpPr>
        <xdr:cNvPr id="1960" name="SCHEMA_T02_COND_0240">
          <a:extLst>
            <a:ext uri="{FF2B5EF4-FFF2-40B4-BE49-F238E27FC236}">
              <a16:creationId xmlns:a16="http://schemas.microsoft.com/office/drawing/2014/main" id="{58B5DB0B-C048-E30F-27D9-CC3B6D4C8678}"/>
            </a:ext>
          </a:extLst>
        </xdr:cNvPr>
        <xdr:cNvCxnSpPr/>
      </xdr:nvCxnSpPr>
      <xdr:spPr>
        <a:xfrm>
          <a:off x="12118975" y="5192240"/>
          <a:ext cx="222250" cy="6276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303439</xdr:colOff>
      <xdr:row>15</xdr:row>
      <xdr:rowOff>189522</xdr:rowOff>
    </xdr:from>
    <xdr:to>
      <xdr:col>33</xdr:col>
      <xdr:colOff>190046</xdr:colOff>
      <xdr:row>16</xdr:row>
      <xdr:rowOff>29261</xdr:rowOff>
    </xdr:to>
    <xdr:cxnSp macro="">
      <xdr:nvCxnSpPr>
        <xdr:cNvPr id="1961" name="SCHEMA_T02_COND_0241">
          <a:extLst>
            <a:ext uri="{FF2B5EF4-FFF2-40B4-BE49-F238E27FC236}">
              <a16:creationId xmlns:a16="http://schemas.microsoft.com/office/drawing/2014/main" id="{26CCCFB4-C3DC-4F9D-8BB8-F7280957ADC1}"/>
            </a:ext>
          </a:extLst>
        </xdr:cNvPr>
        <xdr:cNvCxnSpPr/>
      </xdr:nvCxnSpPr>
      <xdr:spPr>
        <a:xfrm>
          <a:off x="12341225" y="4734308"/>
          <a:ext cx="222250" cy="84667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190046</xdr:colOff>
      <xdr:row>16</xdr:row>
      <xdr:rowOff>29261</xdr:rowOff>
    </xdr:from>
    <xdr:to>
      <xdr:col>34</xdr:col>
      <xdr:colOff>76654</xdr:colOff>
      <xdr:row>16</xdr:row>
      <xdr:rowOff>29261</xdr:rowOff>
    </xdr:to>
    <xdr:cxnSp macro="">
      <xdr:nvCxnSpPr>
        <xdr:cNvPr id="1962" name="SCHEMA_T02_COND_0242">
          <a:extLst>
            <a:ext uri="{FF2B5EF4-FFF2-40B4-BE49-F238E27FC236}">
              <a16:creationId xmlns:a16="http://schemas.microsoft.com/office/drawing/2014/main" id="{87D7EB85-5281-8209-2B47-BD1284DB55AA}"/>
            </a:ext>
          </a:extLst>
        </xdr:cNvPr>
        <xdr:cNvCxnSpPr/>
      </xdr:nvCxnSpPr>
      <xdr:spPr>
        <a:xfrm>
          <a:off x="12563475" y="4818975"/>
          <a:ext cx="222250" cy="0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76654</xdr:colOff>
      <xdr:row>15</xdr:row>
      <xdr:rowOff>189522</xdr:rowOff>
    </xdr:from>
    <xdr:to>
      <xdr:col>34</xdr:col>
      <xdr:colOff>298904</xdr:colOff>
      <xdr:row>16</xdr:row>
      <xdr:rowOff>29261</xdr:rowOff>
    </xdr:to>
    <xdr:cxnSp macro="">
      <xdr:nvCxnSpPr>
        <xdr:cNvPr id="1963" name="SCHEMA_T02_COND_0243">
          <a:extLst>
            <a:ext uri="{FF2B5EF4-FFF2-40B4-BE49-F238E27FC236}">
              <a16:creationId xmlns:a16="http://schemas.microsoft.com/office/drawing/2014/main" id="{5458765A-5685-B975-0C85-98D6BA266F3D}"/>
            </a:ext>
          </a:extLst>
        </xdr:cNvPr>
        <xdr:cNvCxnSpPr/>
      </xdr:nvCxnSpPr>
      <xdr:spPr>
        <a:xfrm flipV="1">
          <a:off x="12785725" y="4734308"/>
          <a:ext cx="222250" cy="84667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303439</xdr:colOff>
      <xdr:row>16</xdr:row>
      <xdr:rowOff>109694</xdr:rowOff>
    </xdr:from>
    <xdr:to>
      <xdr:col>33</xdr:col>
      <xdr:colOff>190046</xdr:colOff>
      <xdr:row>16</xdr:row>
      <xdr:rowOff>194361</xdr:rowOff>
    </xdr:to>
    <xdr:cxnSp macro="">
      <xdr:nvCxnSpPr>
        <xdr:cNvPr id="1964" name="SCHEMA_T02_COND_0244">
          <a:extLst>
            <a:ext uri="{FF2B5EF4-FFF2-40B4-BE49-F238E27FC236}">
              <a16:creationId xmlns:a16="http://schemas.microsoft.com/office/drawing/2014/main" id="{06C36D42-BF73-1E49-87D5-BC5303E05059}"/>
            </a:ext>
          </a:extLst>
        </xdr:cNvPr>
        <xdr:cNvCxnSpPr/>
      </xdr:nvCxnSpPr>
      <xdr:spPr>
        <a:xfrm>
          <a:off x="12341225" y="4899408"/>
          <a:ext cx="222250" cy="8466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190046</xdr:colOff>
      <xdr:row>16</xdr:row>
      <xdr:rowOff>194361</xdr:rowOff>
    </xdr:from>
    <xdr:to>
      <xdr:col>34</xdr:col>
      <xdr:colOff>76654</xdr:colOff>
      <xdr:row>16</xdr:row>
      <xdr:rowOff>194361</xdr:rowOff>
    </xdr:to>
    <xdr:cxnSp macro="">
      <xdr:nvCxnSpPr>
        <xdr:cNvPr id="1965" name="SCHEMA_T02_COND_0245">
          <a:extLst>
            <a:ext uri="{FF2B5EF4-FFF2-40B4-BE49-F238E27FC236}">
              <a16:creationId xmlns:a16="http://schemas.microsoft.com/office/drawing/2014/main" id="{B07A0313-7320-964F-5B48-E01FEE3CBA89}"/>
            </a:ext>
          </a:extLst>
        </xdr:cNvPr>
        <xdr:cNvCxnSpPr/>
      </xdr:nvCxnSpPr>
      <xdr:spPr>
        <a:xfrm>
          <a:off x="12563475" y="4984075"/>
          <a:ext cx="222250" cy="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76654</xdr:colOff>
      <xdr:row>16</xdr:row>
      <xdr:rowOff>109694</xdr:rowOff>
    </xdr:from>
    <xdr:to>
      <xdr:col>34</xdr:col>
      <xdr:colOff>298904</xdr:colOff>
      <xdr:row>16</xdr:row>
      <xdr:rowOff>194361</xdr:rowOff>
    </xdr:to>
    <xdr:cxnSp macro="">
      <xdr:nvCxnSpPr>
        <xdr:cNvPr id="1966" name="SCHEMA_T02_COND_0246">
          <a:extLst>
            <a:ext uri="{FF2B5EF4-FFF2-40B4-BE49-F238E27FC236}">
              <a16:creationId xmlns:a16="http://schemas.microsoft.com/office/drawing/2014/main" id="{ED9B3A73-052C-239E-88E5-1B2F672DE0F8}"/>
            </a:ext>
          </a:extLst>
        </xdr:cNvPr>
        <xdr:cNvCxnSpPr/>
      </xdr:nvCxnSpPr>
      <xdr:spPr>
        <a:xfrm flipV="1">
          <a:off x="12785725" y="4899408"/>
          <a:ext cx="222250" cy="8466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303439</xdr:colOff>
      <xdr:row>16</xdr:row>
      <xdr:rowOff>211294</xdr:rowOff>
    </xdr:from>
    <xdr:to>
      <xdr:col>33</xdr:col>
      <xdr:colOff>190046</xdr:colOff>
      <xdr:row>17</xdr:row>
      <xdr:rowOff>51032</xdr:rowOff>
    </xdr:to>
    <xdr:cxnSp macro="">
      <xdr:nvCxnSpPr>
        <xdr:cNvPr id="1967" name="SCHEMA_T02_COND_0247">
          <a:extLst>
            <a:ext uri="{FF2B5EF4-FFF2-40B4-BE49-F238E27FC236}">
              <a16:creationId xmlns:a16="http://schemas.microsoft.com/office/drawing/2014/main" id="{C4C684E2-A1C7-9352-4BBB-16F6EFECC27D}"/>
            </a:ext>
          </a:extLst>
        </xdr:cNvPr>
        <xdr:cNvCxnSpPr/>
      </xdr:nvCxnSpPr>
      <xdr:spPr>
        <a:xfrm>
          <a:off x="12341225" y="5001008"/>
          <a:ext cx="222250" cy="8466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190046</xdr:colOff>
      <xdr:row>17</xdr:row>
      <xdr:rowOff>51032</xdr:rowOff>
    </xdr:from>
    <xdr:to>
      <xdr:col>34</xdr:col>
      <xdr:colOff>76654</xdr:colOff>
      <xdr:row>17</xdr:row>
      <xdr:rowOff>51032</xdr:rowOff>
    </xdr:to>
    <xdr:cxnSp macro="">
      <xdr:nvCxnSpPr>
        <xdr:cNvPr id="1968" name="SCHEMA_T02_COND_0248">
          <a:extLst>
            <a:ext uri="{FF2B5EF4-FFF2-40B4-BE49-F238E27FC236}">
              <a16:creationId xmlns:a16="http://schemas.microsoft.com/office/drawing/2014/main" id="{AC904903-4492-429A-E0B3-5EB7C6D7C5EB}"/>
            </a:ext>
          </a:extLst>
        </xdr:cNvPr>
        <xdr:cNvCxnSpPr/>
      </xdr:nvCxnSpPr>
      <xdr:spPr>
        <a:xfrm>
          <a:off x="12563475" y="5085675"/>
          <a:ext cx="222250" cy="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76654</xdr:colOff>
      <xdr:row>16</xdr:row>
      <xdr:rowOff>211294</xdr:rowOff>
    </xdr:from>
    <xdr:to>
      <xdr:col>34</xdr:col>
      <xdr:colOff>298904</xdr:colOff>
      <xdr:row>17</xdr:row>
      <xdr:rowOff>51032</xdr:rowOff>
    </xdr:to>
    <xdr:cxnSp macro="">
      <xdr:nvCxnSpPr>
        <xdr:cNvPr id="1969" name="SCHEMA_T02_COND_0249">
          <a:extLst>
            <a:ext uri="{FF2B5EF4-FFF2-40B4-BE49-F238E27FC236}">
              <a16:creationId xmlns:a16="http://schemas.microsoft.com/office/drawing/2014/main" id="{0F7FB04C-371A-EAD1-06B3-FFA452AF29F4}"/>
            </a:ext>
          </a:extLst>
        </xdr:cNvPr>
        <xdr:cNvCxnSpPr/>
      </xdr:nvCxnSpPr>
      <xdr:spPr>
        <a:xfrm flipV="1">
          <a:off x="12785725" y="5001008"/>
          <a:ext cx="222250" cy="8466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303439</xdr:colOff>
      <xdr:row>17</xdr:row>
      <xdr:rowOff>118765</xdr:rowOff>
    </xdr:from>
    <xdr:to>
      <xdr:col>33</xdr:col>
      <xdr:colOff>190046</xdr:colOff>
      <xdr:row>17</xdr:row>
      <xdr:rowOff>203432</xdr:rowOff>
    </xdr:to>
    <xdr:cxnSp macro="">
      <xdr:nvCxnSpPr>
        <xdr:cNvPr id="1970" name="SCHEMA_T02_COND_0250">
          <a:extLst>
            <a:ext uri="{FF2B5EF4-FFF2-40B4-BE49-F238E27FC236}">
              <a16:creationId xmlns:a16="http://schemas.microsoft.com/office/drawing/2014/main" id="{CB844DFD-C3E8-6E97-D4F1-EFF92BD0D9C1}"/>
            </a:ext>
          </a:extLst>
        </xdr:cNvPr>
        <xdr:cNvCxnSpPr/>
      </xdr:nvCxnSpPr>
      <xdr:spPr>
        <a:xfrm>
          <a:off x="12341225" y="5153408"/>
          <a:ext cx="222250" cy="8466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190046</xdr:colOff>
      <xdr:row>17</xdr:row>
      <xdr:rowOff>203432</xdr:rowOff>
    </xdr:from>
    <xdr:to>
      <xdr:col>34</xdr:col>
      <xdr:colOff>76654</xdr:colOff>
      <xdr:row>17</xdr:row>
      <xdr:rowOff>203432</xdr:rowOff>
    </xdr:to>
    <xdr:cxnSp macro="">
      <xdr:nvCxnSpPr>
        <xdr:cNvPr id="1971" name="SCHEMA_T02_COND_0251">
          <a:extLst>
            <a:ext uri="{FF2B5EF4-FFF2-40B4-BE49-F238E27FC236}">
              <a16:creationId xmlns:a16="http://schemas.microsoft.com/office/drawing/2014/main" id="{293C106F-9E53-D60E-D0CA-F56ECC8474BB}"/>
            </a:ext>
          </a:extLst>
        </xdr:cNvPr>
        <xdr:cNvCxnSpPr/>
      </xdr:nvCxnSpPr>
      <xdr:spPr>
        <a:xfrm>
          <a:off x="12563475" y="5238075"/>
          <a:ext cx="222250" cy="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76654</xdr:colOff>
      <xdr:row>17</xdr:row>
      <xdr:rowOff>118765</xdr:rowOff>
    </xdr:from>
    <xdr:to>
      <xdr:col>34</xdr:col>
      <xdr:colOff>298904</xdr:colOff>
      <xdr:row>17</xdr:row>
      <xdr:rowOff>203432</xdr:rowOff>
    </xdr:to>
    <xdr:cxnSp macro="">
      <xdr:nvCxnSpPr>
        <xdr:cNvPr id="1972" name="SCHEMA_T02_COND_0252">
          <a:extLst>
            <a:ext uri="{FF2B5EF4-FFF2-40B4-BE49-F238E27FC236}">
              <a16:creationId xmlns:a16="http://schemas.microsoft.com/office/drawing/2014/main" id="{4B046C9D-A62F-98E6-0396-D5FDEA4220D2}"/>
            </a:ext>
          </a:extLst>
        </xdr:cNvPr>
        <xdr:cNvCxnSpPr/>
      </xdr:nvCxnSpPr>
      <xdr:spPr>
        <a:xfrm flipV="1">
          <a:off x="12785725" y="5153408"/>
          <a:ext cx="222250" cy="8466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303439</xdr:colOff>
      <xdr:row>17</xdr:row>
      <xdr:rowOff>220365</xdr:rowOff>
    </xdr:from>
    <xdr:to>
      <xdr:col>33</xdr:col>
      <xdr:colOff>190046</xdr:colOff>
      <xdr:row>18</xdr:row>
      <xdr:rowOff>60104</xdr:rowOff>
    </xdr:to>
    <xdr:cxnSp macro="">
      <xdr:nvCxnSpPr>
        <xdr:cNvPr id="1973" name="SCHEMA_T02_COND_0253">
          <a:extLst>
            <a:ext uri="{FF2B5EF4-FFF2-40B4-BE49-F238E27FC236}">
              <a16:creationId xmlns:a16="http://schemas.microsoft.com/office/drawing/2014/main" id="{89C382BE-8E6F-BB73-8C1A-131C12771EC6}"/>
            </a:ext>
          </a:extLst>
        </xdr:cNvPr>
        <xdr:cNvCxnSpPr/>
      </xdr:nvCxnSpPr>
      <xdr:spPr>
        <a:xfrm>
          <a:off x="12341225" y="5255008"/>
          <a:ext cx="222250" cy="8466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190046</xdr:colOff>
      <xdr:row>18</xdr:row>
      <xdr:rowOff>60104</xdr:rowOff>
    </xdr:from>
    <xdr:to>
      <xdr:col>34</xdr:col>
      <xdr:colOff>76654</xdr:colOff>
      <xdr:row>18</xdr:row>
      <xdr:rowOff>60104</xdr:rowOff>
    </xdr:to>
    <xdr:cxnSp macro="">
      <xdr:nvCxnSpPr>
        <xdr:cNvPr id="1974" name="SCHEMA_T02_COND_0254">
          <a:extLst>
            <a:ext uri="{FF2B5EF4-FFF2-40B4-BE49-F238E27FC236}">
              <a16:creationId xmlns:a16="http://schemas.microsoft.com/office/drawing/2014/main" id="{2D6AD38F-205E-5AB7-8681-0DF22CFA1155}"/>
            </a:ext>
          </a:extLst>
        </xdr:cNvPr>
        <xdr:cNvCxnSpPr/>
      </xdr:nvCxnSpPr>
      <xdr:spPr>
        <a:xfrm>
          <a:off x="12563475" y="5339675"/>
          <a:ext cx="222250" cy="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76654</xdr:colOff>
      <xdr:row>17</xdr:row>
      <xdr:rowOff>220365</xdr:rowOff>
    </xdr:from>
    <xdr:to>
      <xdr:col>34</xdr:col>
      <xdr:colOff>298904</xdr:colOff>
      <xdr:row>18</xdr:row>
      <xdr:rowOff>60104</xdr:rowOff>
    </xdr:to>
    <xdr:cxnSp macro="">
      <xdr:nvCxnSpPr>
        <xdr:cNvPr id="1975" name="SCHEMA_T02_COND_0255">
          <a:extLst>
            <a:ext uri="{FF2B5EF4-FFF2-40B4-BE49-F238E27FC236}">
              <a16:creationId xmlns:a16="http://schemas.microsoft.com/office/drawing/2014/main" id="{2F8C85E3-FCE8-2BAB-64F0-A762786ACF18}"/>
            </a:ext>
          </a:extLst>
        </xdr:cNvPr>
        <xdr:cNvCxnSpPr/>
      </xdr:nvCxnSpPr>
      <xdr:spPr>
        <a:xfrm flipV="1">
          <a:off x="12785725" y="5255008"/>
          <a:ext cx="222250" cy="8466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298904</xdr:colOff>
      <xdr:row>15</xdr:row>
      <xdr:rowOff>137675</xdr:rowOff>
    </xdr:from>
    <xdr:to>
      <xdr:col>35</xdr:col>
      <xdr:colOff>185511</xdr:colOff>
      <xdr:row>15</xdr:row>
      <xdr:rowOff>189522</xdr:rowOff>
    </xdr:to>
    <xdr:cxnSp macro="">
      <xdr:nvCxnSpPr>
        <xdr:cNvPr id="1976" name="SCHEMA_T02_COND_0256">
          <a:extLst>
            <a:ext uri="{FF2B5EF4-FFF2-40B4-BE49-F238E27FC236}">
              <a16:creationId xmlns:a16="http://schemas.microsoft.com/office/drawing/2014/main" id="{D898D5DB-5CB9-4068-B277-3587B0A15152}"/>
            </a:ext>
          </a:extLst>
        </xdr:cNvPr>
        <xdr:cNvCxnSpPr/>
      </xdr:nvCxnSpPr>
      <xdr:spPr>
        <a:xfrm flipV="1">
          <a:off x="13007975" y="4682461"/>
          <a:ext cx="222250" cy="51847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185511</xdr:colOff>
      <xdr:row>15</xdr:row>
      <xdr:rowOff>1162</xdr:rowOff>
    </xdr:from>
    <xdr:to>
      <xdr:col>36</xdr:col>
      <xdr:colOff>72118</xdr:colOff>
      <xdr:row>15</xdr:row>
      <xdr:rowOff>137675</xdr:rowOff>
    </xdr:to>
    <xdr:cxnSp macro="">
      <xdr:nvCxnSpPr>
        <xdr:cNvPr id="1977" name="SCHEMA_T02_COND_0257">
          <a:extLst>
            <a:ext uri="{FF2B5EF4-FFF2-40B4-BE49-F238E27FC236}">
              <a16:creationId xmlns:a16="http://schemas.microsoft.com/office/drawing/2014/main" id="{9A77B9EC-12A7-0695-1DC8-DEF2EC67410A}"/>
            </a:ext>
          </a:extLst>
        </xdr:cNvPr>
        <xdr:cNvCxnSpPr/>
      </xdr:nvCxnSpPr>
      <xdr:spPr>
        <a:xfrm flipV="1">
          <a:off x="13230225" y="4545948"/>
          <a:ext cx="222250" cy="136513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72118</xdr:colOff>
      <xdr:row>14</xdr:row>
      <xdr:rowOff>24911</xdr:rowOff>
    </xdr:from>
    <xdr:to>
      <xdr:col>36</xdr:col>
      <xdr:colOff>294368</xdr:colOff>
      <xdr:row>15</xdr:row>
      <xdr:rowOff>1162</xdr:rowOff>
    </xdr:to>
    <xdr:cxnSp macro="">
      <xdr:nvCxnSpPr>
        <xdr:cNvPr id="1978" name="SCHEMA_T02_COND_0258">
          <a:extLst>
            <a:ext uri="{FF2B5EF4-FFF2-40B4-BE49-F238E27FC236}">
              <a16:creationId xmlns:a16="http://schemas.microsoft.com/office/drawing/2014/main" id="{8443E3DB-12E8-0EEA-6638-7D1737A5844B}"/>
            </a:ext>
          </a:extLst>
        </xdr:cNvPr>
        <xdr:cNvCxnSpPr/>
      </xdr:nvCxnSpPr>
      <xdr:spPr>
        <a:xfrm flipV="1">
          <a:off x="13452475" y="4324768"/>
          <a:ext cx="222250" cy="221180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298904</xdr:colOff>
      <xdr:row>16</xdr:row>
      <xdr:rowOff>57847</xdr:rowOff>
    </xdr:from>
    <xdr:to>
      <xdr:col>35</xdr:col>
      <xdr:colOff>185511</xdr:colOff>
      <xdr:row>16</xdr:row>
      <xdr:rowOff>109694</xdr:rowOff>
    </xdr:to>
    <xdr:cxnSp macro="">
      <xdr:nvCxnSpPr>
        <xdr:cNvPr id="1979" name="SCHEMA_T02_COND_0259">
          <a:extLst>
            <a:ext uri="{FF2B5EF4-FFF2-40B4-BE49-F238E27FC236}">
              <a16:creationId xmlns:a16="http://schemas.microsoft.com/office/drawing/2014/main" id="{707CA654-B594-FD56-FFDA-032D1BBB4FC4}"/>
            </a:ext>
          </a:extLst>
        </xdr:cNvPr>
        <xdr:cNvCxnSpPr/>
      </xdr:nvCxnSpPr>
      <xdr:spPr>
        <a:xfrm flipV="1">
          <a:off x="13007975" y="4847561"/>
          <a:ext cx="222250" cy="5184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185511</xdr:colOff>
      <xdr:row>15</xdr:row>
      <xdr:rowOff>166262</xdr:rowOff>
    </xdr:from>
    <xdr:to>
      <xdr:col>36</xdr:col>
      <xdr:colOff>72118</xdr:colOff>
      <xdr:row>16</xdr:row>
      <xdr:rowOff>57847</xdr:rowOff>
    </xdr:to>
    <xdr:cxnSp macro="">
      <xdr:nvCxnSpPr>
        <xdr:cNvPr id="1980" name="SCHEMA_T02_COND_0260">
          <a:extLst>
            <a:ext uri="{FF2B5EF4-FFF2-40B4-BE49-F238E27FC236}">
              <a16:creationId xmlns:a16="http://schemas.microsoft.com/office/drawing/2014/main" id="{491306EF-520D-D4A8-F318-F244E120F48B}"/>
            </a:ext>
          </a:extLst>
        </xdr:cNvPr>
        <xdr:cNvCxnSpPr/>
      </xdr:nvCxnSpPr>
      <xdr:spPr>
        <a:xfrm flipV="1">
          <a:off x="13230225" y="4711048"/>
          <a:ext cx="222250" cy="13651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72118</xdr:colOff>
      <xdr:row>14</xdr:row>
      <xdr:rowOff>190011</xdr:rowOff>
    </xdr:from>
    <xdr:to>
      <xdr:col>36</xdr:col>
      <xdr:colOff>294368</xdr:colOff>
      <xdr:row>15</xdr:row>
      <xdr:rowOff>166262</xdr:rowOff>
    </xdr:to>
    <xdr:cxnSp macro="">
      <xdr:nvCxnSpPr>
        <xdr:cNvPr id="1981" name="SCHEMA_T02_COND_0261">
          <a:extLst>
            <a:ext uri="{FF2B5EF4-FFF2-40B4-BE49-F238E27FC236}">
              <a16:creationId xmlns:a16="http://schemas.microsoft.com/office/drawing/2014/main" id="{C216690E-8E50-9946-3B96-C05B9BA5D52C}"/>
            </a:ext>
          </a:extLst>
        </xdr:cNvPr>
        <xdr:cNvCxnSpPr/>
      </xdr:nvCxnSpPr>
      <xdr:spPr>
        <a:xfrm flipV="1">
          <a:off x="13452475" y="4489868"/>
          <a:ext cx="222250" cy="22118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298904</xdr:colOff>
      <xdr:row>16</xdr:row>
      <xdr:rowOff>159447</xdr:rowOff>
    </xdr:from>
    <xdr:to>
      <xdr:col>35</xdr:col>
      <xdr:colOff>185511</xdr:colOff>
      <xdr:row>16</xdr:row>
      <xdr:rowOff>211294</xdr:rowOff>
    </xdr:to>
    <xdr:cxnSp macro="">
      <xdr:nvCxnSpPr>
        <xdr:cNvPr id="1982" name="SCHEMA_T02_COND_0262">
          <a:extLst>
            <a:ext uri="{FF2B5EF4-FFF2-40B4-BE49-F238E27FC236}">
              <a16:creationId xmlns:a16="http://schemas.microsoft.com/office/drawing/2014/main" id="{7A7A9FE8-5F7A-DD6E-70EF-EE7125B1FAF2}"/>
            </a:ext>
          </a:extLst>
        </xdr:cNvPr>
        <xdr:cNvCxnSpPr/>
      </xdr:nvCxnSpPr>
      <xdr:spPr>
        <a:xfrm flipV="1">
          <a:off x="13007975" y="4949161"/>
          <a:ext cx="222250" cy="5184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185511</xdr:colOff>
      <xdr:row>16</xdr:row>
      <xdr:rowOff>22934</xdr:rowOff>
    </xdr:from>
    <xdr:to>
      <xdr:col>36</xdr:col>
      <xdr:colOff>72118</xdr:colOff>
      <xdr:row>16</xdr:row>
      <xdr:rowOff>159447</xdr:rowOff>
    </xdr:to>
    <xdr:cxnSp macro="">
      <xdr:nvCxnSpPr>
        <xdr:cNvPr id="1983" name="SCHEMA_T02_COND_0263">
          <a:extLst>
            <a:ext uri="{FF2B5EF4-FFF2-40B4-BE49-F238E27FC236}">
              <a16:creationId xmlns:a16="http://schemas.microsoft.com/office/drawing/2014/main" id="{582A1A30-9558-2507-1D56-86F8F8D6B9E8}"/>
            </a:ext>
          </a:extLst>
        </xdr:cNvPr>
        <xdr:cNvCxnSpPr/>
      </xdr:nvCxnSpPr>
      <xdr:spPr>
        <a:xfrm flipV="1">
          <a:off x="13230225" y="4812648"/>
          <a:ext cx="222250" cy="13651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72118</xdr:colOff>
      <xdr:row>15</xdr:row>
      <xdr:rowOff>46682</xdr:rowOff>
    </xdr:from>
    <xdr:to>
      <xdr:col>36</xdr:col>
      <xdr:colOff>294368</xdr:colOff>
      <xdr:row>16</xdr:row>
      <xdr:rowOff>22934</xdr:rowOff>
    </xdr:to>
    <xdr:cxnSp macro="">
      <xdr:nvCxnSpPr>
        <xdr:cNvPr id="1984" name="SCHEMA_T02_COND_0264">
          <a:extLst>
            <a:ext uri="{FF2B5EF4-FFF2-40B4-BE49-F238E27FC236}">
              <a16:creationId xmlns:a16="http://schemas.microsoft.com/office/drawing/2014/main" id="{069CA198-B92C-747D-72B6-8A278154A596}"/>
            </a:ext>
          </a:extLst>
        </xdr:cNvPr>
        <xdr:cNvCxnSpPr/>
      </xdr:nvCxnSpPr>
      <xdr:spPr>
        <a:xfrm flipV="1">
          <a:off x="13452475" y="4591468"/>
          <a:ext cx="222250" cy="22118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298904</xdr:colOff>
      <xdr:row>17</xdr:row>
      <xdr:rowOff>66918</xdr:rowOff>
    </xdr:from>
    <xdr:to>
      <xdr:col>35</xdr:col>
      <xdr:colOff>185511</xdr:colOff>
      <xdr:row>17</xdr:row>
      <xdr:rowOff>118765</xdr:rowOff>
    </xdr:to>
    <xdr:cxnSp macro="">
      <xdr:nvCxnSpPr>
        <xdr:cNvPr id="1985" name="SCHEMA_T02_COND_0265">
          <a:extLst>
            <a:ext uri="{FF2B5EF4-FFF2-40B4-BE49-F238E27FC236}">
              <a16:creationId xmlns:a16="http://schemas.microsoft.com/office/drawing/2014/main" id="{888FE854-EF66-7BBD-A48D-F5670F8FFDCD}"/>
            </a:ext>
          </a:extLst>
        </xdr:cNvPr>
        <xdr:cNvCxnSpPr/>
      </xdr:nvCxnSpPr>
      <xdr:spPr>
        <a:xfrm flipV="1">
          <a:off x="13007975" y="5101561"/>
          <a:ext cx="222250" cy="5184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185511</xdr:colOff>
      <xdr:row>16</xdr:row>
      <xdr:rowOff>175334</xdr:rowOff>
    </xdr:from>
    <xdr:to>
      <xdr:col>36</xdr:col>
      <xdr:colOff>72118</xdr:colOff>
      <xdr:row>17</xdr:row>
      <xdr:rowOff>66918</xdr:rowOff>
    </xdr:to>
    <xdr:cxnSp macro="">
      <xdr:nvCxnSpPr>
        <xdr:cNvPr id="1986" name="SCHEMA_T02_COND_0266">
          <a:extLst>
            <a:ext uri="{FF2B5EF4-FFF2-40B4-BE49-F238E27FC236}">
              <a16:creationId xmlns:a16="http://schemas.microsoft.com/office/drawing/2014/main" id="{15E3E94E-A106-D88B-C71D-6AA2F93A31F9}"/>
            </a:ext>
          </a:extLst>
        </xdr:cNvPr>
        <xdr:cNvCxnSpPr/>
      </xdr:nvCxnSpPr>
      <xdr:spPr>
        <a:xfrm flipV="1">
          <a:off x="13230225" y="4965048"/>
          <a:ext cx="222250" cy="13651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72118</xdr:colOff>
      <xdr:row>15</xdr:row>
      <xdr:rowOff>199082</xdr:rowOff>
    </xdr:from>
    <xdr:to>
      <xdr:col>36</xdr:col>
      <xdr:colOff>294368</xdr:colOff>
      <xdr:row>16</xdr:row>
      <xdr:rowOff>175334</xdr:rowOff>
    </xdr:to>
    <xdr:cxnSp macro="">
      <xdr:nvCxnSpPr>
        <xdr:cNvPr id="1987" name="SCHEMA_T02_COND_0267">
          <a:extLst>
            <a:ext uri="{FF2B5EF4-FFF2-40B4-BE49-F238E27FC236}">
              <a16:creationId xmlns:a16="http://schemas.microsoft.com/office/drawing/2014/main" id="{51D3E8F7-2864-961C-1FC1-1A7CD3B5039F}"/>
            </a:ext>
          </a:extLst>
        </xdr:cNvPr>
        <xdr:cNvCxnSpPr/>
      </xdr:nvCxnSpPr>
      <xdr:spPr>
        <a:xfrm flipV="1">
          <a:off x="13452475" y="4743868"/>
          <a:ext cx="222250" cy="22118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298904</xdr:colOff>
      <xdr:row>17</xdr:row>
      <xdr:rowOff>168518</xdr:rowOff>
    </xdr:from>
    <xdr:to>
      <xdr:col>35</xdr:col>
      <xdr:colOff>185511</xdr:colOff>
      <xdr:row>17</xdr:row>
      <xdr:rowOff>220365</xdr:rowOff>
    </xdr:to>
    <xdr:cxnSp macro="">
      <xdr:nvCxnSpPr>
        <xdr:cNvPr id="1988" name="SCHEMA_T02_COND_0268">
          <a:extLst>
            <a:ext uri="{FF2B5EF4-FFF2-40B4-BE49-F238E27FC236}">
              <a16:creationId xmlns:a16="http://schemas.microsoft.com/office/drawing/2014/main" id="{AAA2A172-92F0-4B03-51D3-84A8915DD626}"/>
            </a:ext>
          </a:extLst>
        </xdr:cNvPr>
        <xdr:cNvCxnSpPr/>
      </xdr:nvCxnSpPr>
      <xdr:spPr>
        <a:xfrm flipV="1">
          <a:off x="13007975" y="5203161"/>
          <a:ext cx="222250" cy="5184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185511</xdr:colOff>
      <xdr:row>17</xdr:row>
      <xdr:rowOff>32005</xdr:rowOff>
    </xdr:from>
    <xdr:to>
      <xdr:col>36</xdr:col>
      <xdr:colOff>72118</xdr:colOff>
      <xdr:row>17</xdr:row>
      <xdr:rowOff>168518</xdr:rowOff>
    </xdr:to>
    <xdr:cxnSp macro="">
      <xdr:nvCxnSpPr>
        <xdr:cNvPr id="1989" name="SCHEMA_T02_COND_0269">
          <a:extLst>
            <a:ext uri="{FF2B5EF4-FFF2-40B4-BE49-F238E27FC236}">
              <a16:creationId xmlns:a16="http://schemas.microsoft.com/office/drawing/2014/main" id="{FAD0C5CE-9DCC-30BA-0DEC-70DE3410A15C}"/>
            </a:ext>
          </a:extLst>
        </xdr:cNvPr>
        <xdr:cNvCxnSpPr/>
      </xdr:nvCxnSpPr>
      <xdr:spPr>
        <a:xfrm flipV="1">
          <a:off x="13230225" y="5066648"/>
          <a:ext cx="222250" cy="13651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72118</xdr:colOff>
      <xdr:row>16</xdr:row>
      <xdr:rowOff>55754</xdr:rowOff>
    </xdr:from>
    <xdr:to>
      <xdr:col>36</xdr:col>
      <xdr:colOff>294368</xdr:colOff>
      <xdr:row>17</xdr:row>
      <xdr:rowOff>32005</xdr:rowOff>
    </xdr:to>
    <xdr:cxnSp macro="">
      <xdr:nvCxnSpPr>
        <xdr:cNvPr id="1990" name="SCHEMA_T02_COND_0270">
          <a:extLst>
            <a:ext uri="{FF2B5EF4-FFF2-40B4-BE49-F238E27FC236}">
              <a16:creationId xmlns:a16="http://schemas.microsoft.com/office/drawing/2014/main" id="{02C82516-634E-5773-CCCC-A6F0518CE47E}"/>
            </a:ext>
          </a:extLst>
        </xdr:cNvPr>
        <xdr:cNvCxnSpPr/>
      </xdr:nvCxnSpPr>
      <xdr:spPr>
        <a:xfrm flipV="1">
          <a:off x="13452475" y="4845468"/>
          <a:ext cx="222250" cy="22118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294368</xdr:colOff>
      <xdr:row>14</xdr:row>
      <xdr:rowOff>24911</xdr:rowOff>
    </xdr:from>
    <xdr:to>
      <xdr:col>37</xdr:col>
      <xdr:colOff>180975</xdr:colOff>
      <xdr:row>14</xdr:row>
      <xdr:rowOff>240631</xdr:rowOff>
    </xdr:to>
    <xdr:cxnSp macro="">
      <xdr:nvCxnSpPr>
        <xdr:cNvPr id="1991" name="SCHEMA_T02_COND_0271">
          <a:extLst>
            <a:ext uri="{FF2B5EF4-FFF2-40B4-BE49-F238E27FC236}">
              <a16:creationId xmlns:a16="http://schemas.microsoft.com/office/drawing/2014/main" id="{1C74DC6C-5673-4535-B7A3-047BAF26FD4F}"/>
            </a:ext>
          </a:extLst>
        </xdr:cNvPr>
        <xdr:cNvCxnSpPr/>
      </xdr:nvCxnSpPr>
      <xdr:spPr>
        <a:xfrm>
          <a:off x="13674725" y="4324768"/>
          <a:ext cx="222250" cy="215720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180975</xdr:colOff>
      <xdr:row>14</xdr:row>
      <xdr:rowOff>240631</xdr:rowOff>
    </xdr:from>
    <xdr:to>
      <xdr:col>38</xdr:col>
      <xdr:colOff>67582</xdr:colOff>
      <xdr:row>15</xdr:row>
      <xdr:rowOff>126754</xdr:rowOff>
    </xdr:to>
    <xdr:cxnSp macro="">
      <xdr:nvCxnSpPr>
        <xdr:cNvPr id="1992" name="SCHEMA_T02_COND_0272">
          <a:extLst>
            <a:ext uri="{FF2B5EF4-FFF2-40B4-BE49-F238E27FC236}">
              <a16:creationId xmlns:a16="http://schemas.microsoft.com/office/drawing/2014/main" id="{34197C94-5D0D-48FD-13F4-75EAA706E04A}"/>
            </a:ext>
          </a:extLst>
        </xdr:cNvPr>
        <xdr:cNvCxnSpPr/>
      </xdr:nvCxnSpPr>
      <xdr:spPr>
        <a:xfrm>
          <a:off x="13896975" y="4540488"/>
          <a:ext cx="222250" cy="131052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67582</xdr:colOff>
      <xdr:row>15</xdr:row>
      <xdr:rowOff>126754</xdr:rowOff>
    </xdr:from>
    <xdr:to>
      <xdr:col>38</xdr:col>
      <xdr:colOff>289832</xdr:colOff>
      <xdr:row>15</xdr:row>
      <xdr:rowOff>173141</xdr:rowOff>
    </xdr:to>
    <xdr:cxnSp macro="">
      <xdr:nvCxnSpPr>
        <xdr:cNvPr id="1993" name="SCHEMA_T02_COND_0273">
          <a:extLst>
            <a:ext uri="{FF2B5EF4-FFF2-40B4-BE49-F238E27FC236}">
              <a16:creationId xmlns:a16="http://schemas.microsoft.com/office/drawing/2014/main" id="{066DE42E-4A93-357E-F0A4-30BA19450DD8}"/>
            </a:ext>
          </a:extLst>
        </xdr:cNvPr>
        <xdr:cNvCxnSpPr/>
      </xdr:nvCxnSpPr>
      <xdr:spPr>
        <a:xfrm>
          <a:off x="14119225" y="4671540"/>
          <a:ext cx="222250" cy="46387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294368</xdr:colOff>
      <xdr:row>14</xdr:row>
      <xdr:rowOff>190011</xdr:rowOff>
    </xdr:from>
    <xdr:to>
      <xdr:col>37</xdr:col>
      <xdr:colOff>180975</xdr:colOff>
      <xdr:row>15</xdr:row>
      <xdr:rowOff>160802</xdr:rowOff>
    </xdr:to>
    <xdr:cxnSp macro="">
      <xdr:nvCxnSpPr>
        <xdr:cNvPr id="1994" name="SCHEMA_T02_COND_0274">
          <a:extLst>
            <a:ext uri="{FF2B5EF4-FFF2-40B4-BE49-F238E27FC236}">
              <a16:creationId xmlns:a16="http://schemas.microsoft.com/office/drawing/2014/main" id="{29F50F27-19A4-7CBB-3E43-9380FF167705}"/>
            </a:ext>
          </a:extLst>
        </xdr:cNvPr>
        <xdr:cNvCxnSpPr/>
      </xdr:nvCxnSpPr>
      <xdr:spPr>
        <a:xfrm>
          <a:off x="13674725" y="4489868"/>
          <a:ext cx="222250" cy="21572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180975</xdr:colOff>
      <xdr:row>15</xdr:row>
      <xdr:rowOff>160802</xdr:rowOff>
    </xdr:from>
    <xdr:to>
      <xdr:col>38</xdr:col>
      <xdr:colOff>67582</xdr:colOff>
      <xdr:row>16</xdr:row>
      <xdr:rowOff>46926</xdr:rowOff>
    </xdr:to>
    <xdr:cxnSp macro="">
      <xdr:nvCxnSpPr>
        <xdr:cNvPr id="1995" name="SCHEMA_T02_COND_0275">
          <a:extLst>
            <a:ext uri="{FF2B5EF4-FFF2-40B4-BE49-F238E27FC236}">
              <a16:creationId xmlns:a16="http://schemas.microsoft.com/office/drawing/2014/main" id="{971ECBA2-704C-44D5-4E6D-5CC46FB0AEC8}"/>
            </a:ext>
          </a:extLst>
        </xdr:cNvPr>
        <xdr:cNvCxnSpPr/>
      </xdr:nvCxnSpPr>
      <xdr:spPr>
        <a:xfrm>
          <a:off x="13896975" y="4705588"/>
          <a:ext cx="222250" cy="13105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67582</xdr:colOff>
      <xdr:row>16</xdr:row>
      <xdr:rowOff>46926</xdr:rowOff>
    </xdr:from>
    <xdr:to>
      <xdr:col>38</xdr:col>
      <xdr:colOff>289832</xdr:colOff>
      <xdr:row>16</xdr:row>
      <xdr:rowOff>93313</xdr:rowOff>
    </xdr:to>
    <xdr:cxnSp macro="">
      <xdr:nvCxnSpPr>
        <xdr:cNvPr id="1996" name="SCHEMA_T02_COND_0276">
          <a:extLst>
            <a:ext uri="{FF2B5EF4-FFF2-40B4-BE49-F238E27FC236}">
              <a16:creationId xmlns:a16="http://schemas.microsoft.com/office/drawing/2014/main" id="{9304E364-F2F1-04C6-6F4A-B19A1C904A1E}"/>
            </a:ext>
          </a:extLst>
        </xdr:cNvPr>
        <xdr:cNvCxnSpPr/>
      </xdr:nvCxnSpPr>
      <xdr:spPr>
        <a:xfrm>
          <a:off x="14119225" y="4836640"/>
          <a:ext cx="222250" cy="4638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294368</xdr:colOff>
      <xdr:row>15</xdr:row>
      <xdr:rowOff>46682</xdr:rowOff>
    </xdr:from>
    <xdr:to>
      <xdr:col>37</xdr:col>
      <xdr:colOff>180975</xdr:colOff>
      <xdr:row>16</xdr:row>
      <xdr:rowOff>17474</xdr:rowOff>
    </xdr:to>
    <xdr:cxnSp macro="">
      <xdr:nvCxnSpPr>
        <xdr:cNvPr id="1997" name="SCHEMA_T02_COND_0277">
          <a:extLst>
            <a:ext uri="{FF2B5EF4-FFF2-40B4-BE49-F238E27FC236}">
              <a16:creationId xmlns:a16="http://schemas.microsoft.com/office/drawing/2014/main" id="{B6DDD85D-FF58-37AF-8D47-43EB033B0264}"/>
            </a:ext>
          </a:extLst>
        </xdr:cNvPr>
        <xdr:cNvCxnSpPr/>
      </xdr:nvCxnSpPr>
      <xdr:spPr>
        <a:xfrm>
          <a:off x="13674725" y="4591468"/>
          <a:ext cx="222250" cy="21572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180975</xdr:colOff>
      <xdr:row>16</xdr:row>
      <xdr:rowOff>17474</xdr:rowOff>
    </xdr:from>
    <xdr:to>
      <xdr:col>38</xdr:col>
      <xdr:colOff>67582</xdr:colOff>
      <xdr:row>16</xdr:row>
      <xdr:rowOff>148526</xdr:rowOff>
    </xdr:to>
    <xdr:cxnSp macro="">
      <xdr:nvCxnSpPr>
        <xdr:cNvPr id="1998" name="SCHEMA_T02_COND_0278">
          <a:extLst>
            <a:ext uri="{FF2B5EF4-FFF2-40B4-BE49-F238E27FC236}">
              <a16:creationId xmlns:a16="http://schemas.microsoft.com/office/drawing/2014/main" id="{6550F0E3-BDC9-C227-B2A3-B31298B957B8}"/>
            </a:ext>
          </a:extLst>
        </xdr:cNvPr>
        <xdr:cNvCxnSpPr/>
      </xdr:nvCxnSpPr>
      <xdr:spPr>
        <a:xfrm>
          <a:off x="13896975" y="4807188"/>
          <a:ext cx="222250" cy="13105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67582</xdr:colOff>
      <xdr:row>16</xdr:row>
      <xdr:rowOff>148526</xdr:rowOff>
    </xdr:from>
    <xdr:to>
      <xdr:col>38</xdr:col>
      <xdr:colOff>289832</xdr:colOff>
      <xdr:row>16</xdr:row>
      <xdr:rowOff>194913</xdr:rowOff>
    </xdr:to>
    <xdr:cxnSp macro="">
      <xdr:nvCxnSpPr>
        <xdr:cNvPr id="1999" name="SCHEMA_T02_COND_0279">
          <a:extLst>
            <a:ext uri="{FF2B5EF4-FFF2-40B4-BE49-F238E27FC236}">
              <a16:creationId xmlns:a16="http://schemas.microsoft.com/office/drawing/2014/main" id="{F5F50735-DA29-6288-BC24-2C06DFF795B6}"/>
            </a:ext>
          </a:extLst>
        </xdr:cNvPr>
        <xdr:cNvCxnSpPr/>
      </xdr:nvCxnSpPr>
      <xdr:spPr>
        <a:xfrm>
          <a:off x="14119225" y="4938240"/>
          <a:ext cx="222250" cy="4638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294368</xdr:colOff>
      <xdr:row>15</xdr:row>
      <xdr:rowOff>199082</xdr:rowOff>
    </xdr:from>
    <xdr:to>
      <xdr:col>37</xdr:col>
      <xdr:colOff>180975</xdr:colOff>
      <xdr:row>16</xdr:row>
      <xdr:rowOff>169874</xdr:rowOff>
    </xdr:to>
    <xdr:cxnSp macro="">
      <xdr:nvCxnSpPr>
        <xdr:cNvPr id="2000" name="SCHEMA_T02_COND_0280">
          <a:extLst>
            <a:ext uri="{FF2B5EF4-FFF2-40B4-BE49-F238E27FC236}">
              <a16:creationId xmlns:a16="http://schemas.microsoft.com/office/drawing/2014/main" id="{CA4DBA2A-BCEF-2E74-A58D-141AFB69C43B}"/>
            </a:ext>
          </a:extLst>
        </xdr:cNvPr>
        <xdr:cNvCxnSpPr/>
      </xdr:nvCxnSpPr>
      <xdr:spPr>
        <a:xfrm>
          <a:off x="13674725" y="4743868"/>
          <a:ext cx="222250" cy="21572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180975</xdr:colOff>
      <xdr:row>16</xdr:row>
      <xdr:rowOff>169874</xdr:rowOff>
    </xdr:from>
    <xdr:to>
      <xdr:col>38</xdr:col>
      <xdr:colOff>67582</xdr:colOff>
      <xdr:row>17</xdr:row>
      <xdr:rowOff>55997</xdr:rowOff>
    </xdr:to>
    <xdr:cxnSp macro="">
      <xdr:nvCxnSpPr>
        <xdr:cNvPr id="2001" name="SCHEMA_T02_COND_0281">
          <a:extLst>
            <a:ext uri="{FF2B5EF4-FFF2-40B4-BE49-F238E27FC236}">
              <a16:creationId xmlns:a16="http://schemas.microsoft.com/office/drawing/2014/main" id="{4ED2591F-6B27-F926-6782-C834D7783627}"/>
            </a:ext>
          </a:extLst>
        </xdr:cNvPr>
        <xdr:cNvCxnSpPr/>
      </xdr:nvCxnSpPr>
      <xdr:spPr>
        <a:xfrm>
          <a:off x="13896975" y="4959588"/>
          <a:ext cx="222250" cy="13105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67582</xdr:colOff>
      <xdr:row>17</xdr:row>
      <xdr:rowOff>55997</xdr:rowOff>
    </xdr:from>
    <xdr:to>
      <xdr:col>38</xdr:col>
      <xdr:colOff>289832</xdr:colOff>
      <xdr:row>17</xdr:row>
      <xdr:rowOff>102384</xdr:rowOff>
    </xdr:to>
    <xdr:cxnSp macro="">
      <xdr:nvCxnSpPr>
        <xdr:cNvPr id="2002" name="SCHEMA_T02_COND_0282">
          <a:extLst>
            <a:ext uri="{FF2B5EF4-FFF2-40B4-BE49-F238E27FC236}">
              <a16:creationId xmlns:a16="http://schemas.microsoft.com/office/drawing/2014/main" id="{3B6D4E48-E6AF-18B8-C34B-3D51CE2BEE1F}"/>
            </a:ext>
          </a:extLst>
        </xdr:cNvPr>
        <xdr:cNvCxnSpPr/>
      </xdr:nvCxnSpPr>
      <xdr:spPr>
        <a:xfrm>
          <a:off x="14119225" y="5090640"/>
          <a:ext cx="222250" cy="4638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294368</xdr:colOff>
      <xdr:row>16</xdr:row>
      <xdr:rowOff>55754</xdr:rowOff>
    </xdr:from>
    <xdr:to>
      <xdr:col>37</xdr:col>
      <xdr:colOff>180975</xdr:colOff>
      <xdr:row>17</xdr:row>
      <xdr:rowOff>26545</xdr:rowOff>
    </xdr:to>
    <xdr:cxnSp macro="">
      <xdr:nvCxnSpPr>
        <xdr:cNvPr id="2003" name="SCHEMA_T02_COND_0283">
          <a:extLst>
            <a:ext uri="{FF2B5EF4-FFF2-40B4-BE49-F238E27FC236}">
              <a16:creationId xmlns:a16="http://schemas.microsoft.com/office/drawing/2014/main" id="{A8440C47-AC8D-2251-D552-6A10C661DADD}"/>
            </a:ext>
          </a:extLst>
        </xdr:cNvPr>
        <xdr:cNvCxnSpPr/>
      </xdr:nvCxnSpPr>
      <xdr:spPr>
        <a:xfrm>
          <a:off x="13674725" y="4845468"/>
          <a:ext cx="222250" cy="21572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180975</xdr:colOff>
      <xdr:row>17</xdr:row>
      <xdr:rowOff>26545</xdr:rowOff>
    </xdr:from>
    <xdr:to>
      <xdr:col>38</xdr:col>
      <xdr:colOff>67582</xdr:colOff>
      <xdr:row>17</xdr:row>
      <xdr:rowOff>157597</xdr:rowOff>
    </xdr:to>
    <xdr:cxnSp macro="">
      <xdr:nvCxnSpPr>
        <xdr:cNvPr id="2004" name="SCHEMA_T02_COND_0284">
          <a:extLst>
            <a:ext uri="{FF2B5EF4-FFF2-40B4-BE49-F238E27FC236}">
              <a16:creationId xmlns:a16="http://schemas.microsoft.com/office/drawing/2014/main" id="{929B36CB-CDCB-48F5-E9AD-53382C12A95B}"/>
            </a:ext>
          </a:extLst>
        </xdr:cNvPr>
        <xdr:cNvCxnSpPr/>
      </xdr:nvCxnSpPr>
      <xdr:spPr>
        <a:xfrm>
          <a:off x="13896975" y="5061188"/>
          <a:ext cx="222250" cy="13105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67582</xdr:colOff>
      <xdr:row>17</xdr:row>
      <xdr:rowOff>157597</xdr:rowOff>
    </xdr:from>
    <xdr:to>
      <xdr:col>38</xdr:col>
      <xdr:colOff>289832</xdr:colOff>
      <xdr:row>17</xdr:row>
      <xdr:rowOff>203984</xdr:rowOff>
    </xdr:to>
    <xdr:cxnSp macro="">
      <xdr:nvCxnSpPr>
        <xdr:cNvPr id="2005" name="SCHEMA_T02_COND_0285">
          <a:extLst>
            <a:ext uri="{FF2B5EF4-FFF2-40B4-BE49-F238E27FC236}">
              <a16:creationId xmlns:a16="http://schemas.microsoft.com/office/drawing/2014/main" id="{FC8AB321-22A7-CF96-6ADD-DA53559EFF9D}"/>
            </a:ext>
          </a:extLst>
        </xdr:cNvPr>
        <xdr:cNvCxnSpPr/>
      </xdr:nvCxnSpPr>
      <xdr:spPr>
        <a:xfrm>
          <a:off x="14119225" y="5192240"/>
          <a:ext cx="222250" cy="4638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289832</xdr:colOff>
      <xdr:row>15</xdr:row>
      <xdr:rowOff>173141</xdr:rowOff>
    </xdr:from>
    <xdr:to>
      <xdr:col>39</xdr:col>
      <xdr:colOff>176439</xdr:colOff>
      <xdr:row>16</xdr:row>
      <xdr:rowOff>3778</xdr:rowOff>
    </xdr:to>
    <xdr:cxnSp macro="">
      <xdr:nvCxnSpPr>
        <xdr:cNvPr id="2006" name="SCHEMA_T02_COND_0286">
          <a:extLst>
            <a:ext uri="{FF2B5EF4-FFF2-40B4-BE49-F238E27FC236}">
              <a16:creationId xmlns:a16="http://schemas.microsoft.com/office/drawing/2014/main" id="{79F6ECCB-48FA-934F-1ADB-4ABC1C9680FB}"/>
            </a:ext>
          </a:extLst>
        </xdr:cNvPr>
        <xdr:cNvCxnSpPr/>
      </xdr:nvCxnSpPr>
      <xdr:spPr>
        <a:xfrm>
          <a:off x="14341475" y="4717927"/>
          <a:ext cx="222250" cy="75565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176439</xdr:colOff>
      <xdr:row>15</xdr:row>
      <xdr:rowOff>239606</xdr:rowOff>
    </xdr:from>
    <xdr:to>
      <xdr:col>40</xdr:col>
      <xdr:colOff>63046</xdr:colOff>
      <xdr:row>16</xdr:row>
      <xdr:rowOff>3778</xdr:rowOff>
    </xdr:to>
    <xdr:cxnSp macro="">
      <xdr:nvCxnSpPr>
        <xdr:cNvPr id="2007" name="SCHEMA_T02_COND_0287">
          <a:extLst>
            <a:ext uri="{FF2B5EF4-FFF2-40B4-BE49-F238E27FC236}">
              <a16:creationId xmlns:a16="http://schemas.microsoft.com/office/drawing/2014/main" id="{2EA3F1FC-2B79-11FC-8CEA-2BE7A92E07A8}"/>
            </a:ext>
          </a:extLst>
        </xdr:cNvPr>
        <xdr:cNvCxnSpPr/>
      </xdr:nvCxnSpPr>
      <xdr:spPr>
        <a:xfrm flipV="1">
          <a:off x="14563725" y="4784392"/>
          <a:ext cx="222250" cy="9100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63046</xdr:colOff>
      <xdr:row>15</xdr:row>
      <xdr:rowOff>145838</xdr:rowOff>
    </xdr:from>
    <xdr:to>
      <xdr:col>40</xdr:col>
      <xdr:colOff>285296</xdr:colOff>
      <xdr:row>15</xdr:row>
      <xdr:rowOff>239606</xdr:rowOff>
    </xdr:to>
    <xdr:cxnSp macro="">
      <xdr:nvCxnSpPr>
        <xdr:cNvPr id="2008" name="SCHEMA_T02_COND_0288">
          <a:extLst>
            <a:ext uri="{FF2B5EF4-FFF2-40B4-BE49-F238E27FC236}">
              <a16:creationId xmlns:a16="http://schemas.microsoft.com/office/drawing/2014/main" id="{96B3ED6F-2D46-B76B-506C-E00B676410D4}"/>
            </a:ext>
          </a:extLst>
        </xdr:cNvPr>
        <xdr:cNvCxnSpPr/>
      </xdr:nvCxnSpPr>
      <xdr:spPr>
        <a:xfrm flipV="1">
          <a:off x="14785975" y="4690624"/>
          <a:ext cx="222250" cy="93768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289832</xdr:colOff>
      <xdr:row>16</xdr:row>
      <xdr:rowOff>93313</xdr:rowOff>
    </xdr:from>
    <xdr:to>
      <xdr:col>39</xdr:col>
      <xdr:colOff>176439</xdr:colOff>
      <xdr:row>16</xdr:row>
      <xdr:rowOff>168878</xdr:rowOff>
    </xdr:to>
    <xdr:cxnSp macro="">
      <xdr:nvCxnSpPr>
        <xdr:cNvPr id="2009" name="SCHEMA_T02_COND_0289">
          <a:extLst>
            <a:ext uri="{FF2B5EF4-FFF2-40B4-BE49-F238E27FC236}">
              <a16:creationId xmlns:a16="http://schemas.microsoft.com/office/drawing/2014/main" id="{F137C681-ACAB-8B70-6E99-593D29E4273D}"/>
            </a:ext>
          </a:extLst>
        </xdr:cNvPr>
        <xdr:cNvCxnSpPr/>
      </xdr:nvCxnSpPr>
      <xdr:spPr>
        <a:xfrm>
          <a:off x="14341475" y="4883027"/>
          <a:ext cx="222250" cy="7556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176439</xdr:colOff>
      <xdr:row>16</xdr:row>
      <xdr:rowOff>159778</xdr:rowOff>
    </xdr:from>
    <xdr:to>
      <xdr:col>40</xdr:col>
      <xdr:colOff>63046</xdr:colOff>
      <xdr:row>16</xdr:row>
      <xdr:rowOff>168878</xdr:rowOff>
    </xdr:to>
    <xdr:cxnSp macro="">
      <xdr:nvCxnSpPr>
        <xdr:cNvPr id="2010" name="SCHEMA_T02_COND_0290">
          <a:extLst>
            <a:ext uri="{FF2B5EF4-FFF2-40B4-BE49-F238E27FC236}">
              <a16:creationId xmlns:a16="http://schemas.microsoft.com/office/drawing/2014/main" id="{3A83C2A4-5ACC-73AD-FDAA-B4192A2941B6}"/>
            </a:ext>
          </a:extLst>
        </xdr:cNvPr>
        <xdr:cNvCxnSpPr/>
      </xdr:nvCxnSpPr>
      <xdr:spPr>
        <a:xfrm flipV="1">
          <a:off x="14563725" y="4949492"/>
          <a:ext cx="222250" cy="910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63046</xdr:colOff>
      <xdr:row>16</xdr:row>
      <xdr:rowOff>66010</xdr:rowOff>
    </xdr:from>
    <xdr:to>
      <xdr:col>40</xdr:col>
      <xdr:colOff>285296</xdr:colOff>
      <xdr:row>16</xdr:row>
      <xdr:rowOff>159778</xdr:rowOff>
    </xdr:to>
    <xdr:cxnSp macro="">
      <xdr:nvCxnSpPr>
        <xdr:cNvPr id="2011" name="SCHEMA_T02_COND_0291">
          <a:extLst>
            <a:ext uri="{FF2B5EF4-FFF2-40B4-BE49-F238E27FC236}">
              <a16:creationId xmlns:a16="http://schemas.microsoft.com/office/drawing/2014/main" id="{4A4F36A0-F0F4-F0F9-EFAD-9EFF25D00983}"/>
            </a:ext>
          </a:extLst>
        </xdr:cNvPr>
        <xdr:cNvCxnSpPr/>
      </xdr:nvCxnSpPr>
      <xdr:spPr>
        <a:xfrm flipV="1">
          <a:off x="14785975" y="4855724"/>
          <a:ext cx="222250" cy="9376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289832</xdr:colOff>
      <xdr:row>16</xdr:row>
      <xdr:rowOff>194913</xdr:rowOff>
    </xdr:from>
    <xdr:to>
      <xdr:col>39</xdr:col>
      <xdr:colOff>176439</xdr:colOff>
      <xdr:row>17</xdr:row>
      <xdr:rowOff>25549</xdr:rowOff>
    </xdr:to>
    <xdr:cxnSp macro="">
      <xdr:nvCxnSpPr>
        <xdr:cNvPr id="2012" name="SCHEMA_T02_COND_0292">
          <a:extLst>
            <a:ext uri="{FF2B5EF4-FFF2-40B4-BE49-F238E27FC236}">
              <a16:creationId xmlns:a16="http://schemas.microsoft.com/office/drawing/2014/main" id="{21241F88-DF6C-C266-9098-CE64C884BE3E}"/>
            </a:ext>
          </a:extLst>
        </xdr:cNvPr>
        <xdr:cNvCxnSpPr/>
      </xdr:nvCxnSpPr>
      <xdr:spPr>
        <a:xfrm>
          <a:off x="14341475" y="4984627"/>
          <a:ext cx="222250" cy="7556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176439</xdr:colOff>
      <xdr:row>17</xdr:row>
      <xdr:rowOff>16449</xdr:rowOff>
    </xdr:from>
    <xdr:to>
      <xdr:col>40</xdr:col>
      <xdr:colOff>63046</xdr:colOff>
      <xdr:row>17</xdr:row>
      <xdr:rowOff>25549</xdr:rowOff>
    </xdr:to>
    <xdr:cxnSp macro="">
      <xdr:nvCxnSpPr>
        <xdr:cNvPr id="2013" name="SCHEMA_T02_COND_0293">
          <a:extLst>
            <a:ext uri="{FF2B5EF4-FFF2-40B4-BE49-F238E27FC236}">
              <a16:creationId xmlns:a16="http://schemas.microsoft.com/office/drawing/2014/main" id="{4D4C8D31-771D-A455-CE99-C46582447184}"/>
            </a:ext>
          </a:extLst>
        </xdr:cNvPr>
        <xdr:cNvCxnSpPr/>
      </xdr:nvCxnSpPr>
      <xdr:spPr>
        <a:xfrm flipV="1">
          <a:off x="14563725" y="5051092"/>
          <a:ext cx="222250" cy="910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63046</xdr:colOff>
      <xdr:row>16</xdr:row>
      <xdr:rowOff>167610</xdr:rowOff>
    </xdr:from>
    <xdr:to>
      <xdr:col>40</xdr:col>
      <xdr:colOff>285296</xdr:colOff>
      <xdr:row>17</xdr:row>
      <xdr:rowOff>16449</xdr:rowOff>
    </xdr:to>
    <xdr:cxnSp macro="">
      <xdr:nvCxnSpPr>
        <xdr:cNvPr id="2014" name="SCHEMA_T02_COND_0294">
          <a:extLst>
            <a:ext uri="{FF2B5EF4-FFF2-40B4-BE49-F238E27FC236}">
              <a16:creationId xmlns:a16="http://schemas.microsoft.com/office/drawing/2014/main" id="{1F8657BD-5E7C-49CE-862D-7E4EC25B42C9}"/>
            </a:ext>
          </a:extLst>
        </xdr:cNvPr>
        <xdr:cNvCxnSpPr/>
      </xdr:nvCxnSpPr>
      <xdr:spPr>
        <a:xfrm flipV="1">
          <a:off x="14785975" y="4957324"/>
          <a:ext cx="222250" cy="9376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289832</xdr:colOff>
      <xdr:row>17</xdr:row>
      <xdr:rowOff>102384</xdr:rowOff>
    </xdr:from>
    <xdr:to>
      <xdr:col>39</xdr:col>
      <xdr:colOff>176439</xdr:colOff>
      <xdr:row>17</xdr:row>
      <xdr:rowOff>177949</xdr:rowOff>
    </xdr:to>
    <xdr:cxnSp macro="">
      <xdr:nvCxnSpPr>
        <xdr:cNvPr id="2015" name="SCHEMA_T02_COND_0295">
          <a:extLst>
            <a:ext uri="{FF2B5EF4-FFF2-40B4-BE49-F238E27FC236}">
              <a16:creationId xmlns:a16="http://schemas.microsoft.com/office/drawing/2014/main" id="{B5A9BB05-2F73-2ACF-95D1-3CDE0A873F0D}"/>
            </a:ext>
          </a:extLst>
        </xdr:cNvPr>
        <xdr:cNvCxnSpPr/>
      </xdr:nvCxnSpPr>
      <xdr:spPr>
        <a:xfrm>
          <a:off x="14341475" y="5137027"/>
          <a:ext cx="222250" cy="7556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176439</xdr:colOff>
      <xdr:row>17</xdr:row>
      <xdr:rowOff>168849</xdr:rowOff>
    </xdr:from>
    <xdr:to>
      <xdr:col>40</xdr:col>
      <xdr:colOff>63046</xdr:colOff>
      <xdr:row>17</xdr:row>
      <xdr:rowOff>177949</xdr:rowOff>
    </xdr:to>
    <xdr:cxnSp macro="">
      <xdr:nvCxnSpPr>
        <xdr:cNvPr id="2016" name="SCHEMA_T02_COND_0296">
          <a:extLst>
            <a:ext uri="{FF2B5EF4-FFF2-40B4-BE49-F238E27FC236}">
              <a16:creationId xmlns:a16="http://schemas.microsoft.com/office/drawing/2014/main" id="{AB1983EB-7240-10C9-0777-CE64F14A63AA}"/>
            </a:ext>
          </a:extLst>
        </xdr:cNvPr>
        <xdr:cNvCxnSpPr/>
      </xdr:nvCxnSpPr>
      <xdr:spPr>
        <a:xfrm flipV="1">
          <a:off x="14563725" y="5203492"/>
          <a:ext cx="222250" cy="910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63046</xdr:colOff>
      <xdr:row>17</xdr:row>
      <xdr:rowOff>75081</xdr:rowOff>
    </xdr:from>
    <xdr:to>
      <xdr:col>40</xdr:col>
      <xdr:colOff>285296</xdr:colOff>
      <xdr:row>17</xdr:row>
      <xdr:rowOff>168849</xdr:rowOff>
    </xdr:to>
    <xdr:cxnSp macro="">
      <xdr:nvCxnSpPr>
        <xdr:cNvPr id="2017" name="SCHEMA_T02_COND_0297">
          <a:extLst>
            <a:ext uri="{FF2B5EF4-FFF2-40B4-BE49-F238E27FC236}">
              <a16:creationId xmlns:a16="http://schemas.microsoft.com/office/drawing/2014/main" id="{C52F646D-4F1B-4265-F3BE-F435AE5535AE}"/>
            </a:ext>
          </a:extLst>
        </xdr:cNvPr>
        <xdr:cNvCxnSpPr/>
      </xdr:nvCxnSpPr>
      <xdr:spPr>
        <a:xfrm flipV="1">
          <a:off x="14785975" y="5109724"/>
          <a:ext cx="222250" cy="9376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289832</xdr:colOff>
      <xdr:row>17</xdr:row>
      <xdr:rowOff>203984</xdr:rowOff>
    </xdr:from>
    <xdr:to>
      <xdr:col>39</xdr:col>
      <xdr:colOff>176439</xdr:colOff>
      <xdr:row>18</xdr:row>
      <xdr:rowOff>34621</xdr:rowOff>
    </xdr:to>
    <xdr:cxnSp macro="">
      <xdr:nvCxnSpPr>
        <xdr:cNvPr id="2018" name="SCHEMA_T02_COND_0298">
          <a:extLst>
            <a:ext uri="{FF2B5EF4-FFF2-40B4-BE49-F238E27FC236}">
              <a16:creationId xmlns:a16="http://schemas.microsoft.com/office/drawing/2014/main" id="{F532D832-0196-DDA2-1DDC-60B77DD9BABD}"/>
            </a:ext>
          </a:extLst>
        </xdr:cNvPr>
        <xdr:cNvCxnSpPr/>
      </xdr:nvCxnSpPr>
      <xdr:spPr>
        <a:xfrm>
          <a:off x="14341475" y="5238627"/>
          <a:ext cx="222250" cy="7556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176439</xdr:colOff>
      <xdr:row>18</xdr:row>
      <xdr:rowOff>25521</xdr:rowOff>
    </xdr:from>
    <xdr:to>
      <xdr:col>40</xdr:col>
      <xdr:colOff>63046</xdr:colOff>
      <xdr:row>18</xdr:row>
      <xdr:rowOff>34621</xdr:rowOff>
    </xdr:to>
    <xdr:cxnSp macro="">
      <xdr:nvCxnSpPr>
        <xdr:cNvPr id="2019" name="SCHEMA_T02_COND_0299">
          <a:extLst>
            <a:ext uri="{FF2B5EF4-FFF2-40B4-BE49-F238E27FC236}">
              <a16:creationId xmlns:a16="http://schemas.microsoft.com/office/drawing/2014/main" id="{2D92EA6E-B67F-608F-6F30-3DF1FA25E586}"/>
            </a:ext>
          </a:extLst>
        </xdr:cNvPr>
        <xdr:cNvCxnSpPr/>
      </xdr:nvCxnSpPr>
      <xdr:spPr>
        <a:xfrm flipV="1">
          <a:off x="14563725" y="5305092"/>
          <a:ext cx="222250" cy="910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63046</xdr:colOff>
      <xdr:row>17</xdr:row>
      <xdr:rowOff>176681</xdr:rowOff>
    </xdr:from>
    <xdr:to>
      <xdr:col>40</xdr:col>
      <xdr:colOff>285296</xdr:colOff>
      <xdr:row>18</xdr:row>
      <xdr:rowOff>25521</xdr:rowOff>
    </xdr:to>
    <xdr:cxnSp macro="">
      <xdr:nvCxnSpPr>
        <xdr:cNvPr id="2020" name="SCHEMA_T02_COND_0300">
          <a:extLst>
            <a:ext uri="{FF2B5EF4-FFF2-40B4-BE49-F238E27FC236}">
              <a16:creationId xmlns:a16="http://schemas.microsoft.com/office/drawing/2014/main" id="{E0C803E5-AB82-72D5-3A7D-311F78E27FB1}"/>
            </a:ext>
          </a:extLst>
        </xdr:cNvPr>
        <xdr:cNvCxnSpPr/>
      </xdr:nvCxnSpPr>
      <xdr:spPr>
        <a:xfrm flipV="1">
          <a:off x="14785975" y="5211324"/>
          <a:ext cx="222250" cy="9376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285296</xdr:colOff>
      <xdr:row>15</xdr:row>
      <xdr:rowOff>4803</xdr:rowOff>
    </xdr:from>
    <xdr:to>
      <xdr:col>41</xdr:col>
      <xdr:colOff>171904</xdr:colOff>
      <xdr:row>15</xdr:row>
      <xdr:rowOff>145838</xdr:rowOff>
    </xdr:to>
    <xdr:cxnSp macro="">
      <xdr:nvCxnSpPr>
        <xdr:cNvPr id="2021" name="SCHEMA_T02_COND_0301">
          <a:extLst>
            <a:ext uri="{FF2B5EF4-FFF2-40B4-BE49-F238E27FC236}">
              <a16:creationId xmlns:a16="http://schemas.microsoft.com/office/drawing/2014/main" id="{AAE2852F-3E82-0A40-2B86-CFD9CCE4D002}"/>
            </a:ext>
          </a:extLst>
        </xdr:cNvPr>
        <xdr:cNvCxnSpPr/>
      </xdr:nvCxnSpPr>
      <xdr:spPr>
        <a:xfrm flipV="1">
          <a:off x="15008225" y="4549589"/>
          <a:ext cx="222250" cy="141035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171904</xdr:colOff>
      <xdr:row>14</xdr:row>
      <xdr:rowOff>24029</xdr:rowOff>
    </xdr:from>
    <xdr:to>
      <xdr:col>42</xdr:col>
      <xdr:colOff>58511</xdr:colOff>
      <xdr:row>15</xdr:row>
      <xdr:rowOff>4803</xdr:rowOff>
    </xdr:to>
    <xdr:cxnSp macro="">
      <xdr:nvCxnSpPr>
        <xdr:cNvPr id="2022" name="SCHEMA_T02_COND_0302">
          <a:extLst>
            <a:ext uri="{FF2B5EF4-FFF2-40B4-BE49-F238E27FC236}">
              <a16:creationId xmlns:a16="http://schemas.microsoft.com/office/drawing/2014/main" id="{816EC254-3D5E-ED43-2856-9A004C33DD87}"/>
            </a:ext>
          </a:extLst>
        </xdr:cNvPr>
        <xdr:cNvCxnSpPr/>
      </xdr:nvCxnSpPr>
      <xdr:spPr>
        <a:xfrm flipV="1">
          <a:off x="15230475" y="4323886"/>
          <a:ext cx="222250" cy="225703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58511</xdr:colOff>
      <xdr:row>12</xdr:row>
      <xdr:rowOff>203517</xdr:rowOff>
    </xdr:from>
    <xdr:to>
      <xdr:col>42</xdr:col>
      <xdr:colOff>280761</xdr:colOff>
      <xdr:row>14</xdr:row>
      <xdr:rowOff>24029</xdr:rowOff>
    </xdr:to>
    <xdr:cxnSp macro="">
      <xdr:nvCxnSpPr>
        <xdr:cNvPr id="2023" name="SCHEMA_T02_COND_0303">
          <a:extLst>
            <a:ext uri="{FF2B5EF4-FFF2-40B4-BE49-F238E27FC236}">
              <a16:creationId xmlns:a16="http://schemas.microsoft.com/office/drawing/2014/main" id="{E043ED47-153F-C29C-10B3-3AE8168E4249}"/>
            </a:ext>
          </a:extLst>
        </xdr:cNvPr>
        <xdr:cNvCxnSpPr/>
      </xdr:nvCxnSpPr>
      <xdr:spPr>
        <a:xfrm flipV="1">
          <a:off x="15452725" y="4013517"/>
          <a:ext cx="222250" cy="310369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285296</xdr:colOff>
      <xdr:row>15</xdr:row>
      <xdr:rowOff>169903</xdr:rowOff>
    </xdr:from>
    <xdr:to>
      <xdr:col>41</xdr:col>
      <xdr:colOff>171904</xdr:colOff>
      <xdr:row>16</xdr:row>
      <xdr:rowOff>66010</xdr:rowOff>
    </xdr:to>
    <xdr:cxnSp macro="">
      <xdr:nvCxnSpPr>
        <xdr:cNvPr id="2024" name="SCHEMA_T02_COND_0304">
          <a:extLst>
            <a:ext uri="{FF2B5EF4-FFF2-40B4-BE49-F238E27FC236}">
              <a16:creationId xmlns:a16="http://schemas.microsoft.com/office/drawing/2014/main" id="{CFEA38CE-4E40-B62A-573F-C985C15BF755}"/>
            </a:ext>
          </a:extLst>
        </xdr:cNvPr>
        <xdr:cNvCxnSpPr/>
      </xdr:nvCxnSpPr>
      <xdr:spPr>
        <a:xfrm flipV="1">
          <a:off x="15008225" y="4714689"/>
          <a:ext cx="222250" cy="14103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171904</xdr:colOff>
      <xdr:row>14</xdr:row>
      <xdr:rowOff>189129</xdr:rowOff>
    </xdr:from>
    <xdr:to>
      <xdr:col>42</xdr:col>
      <xdr:colOff>58511</xdr:colOff>
      <xdr:row>15</xdr:row>
      <xdr:rowOff>169903</xdr:rowOff>
    </xdr:to>
    <xdr:cxnSp macro="">
      <xdr:nvCxnSpPr>
        <xdr:cNvPr id="2025" name="SCHEMA_T02_COND_0305">
          <a:extLst>
            <a:ext uri="{FF2B5EF4-FFF2-40B4-BE49-F238E27FC236}">
              <a16:creationId xmlns:a16="http://schemas.microsoft.com/office/drawing/2014/main" id="{8DE1D523-65D4-D3D7-7B82-83B9651CD361}"/>
            </a:ext>
          </a:extLst>
        </xdr:cNvPr>
        <xdr:cNvCxnSpPr/>
      </xdr:nvCxnSpPr>
      <xdr:spPr>
        <a:xfrm flipV="1">
          <a:off x="15230475" y="4488986"/>
          <a:ext cx="222250" cy="22570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58511</xdr:colOff>
      <xdr:row>13</xdr:row>
      <xdr:rowOff>123688</xdr:rowOff>
    </xdr:from>
    <xdr:to>
      <xdr:col>42</xdr:col>
      <xdr:colOff>280761</xdr:colOff>
      <xdr:row>14</xdr:row>
      <xdr:rowOff>189129</xdr:rowOff>
    </xdr:to>
    <xdr:cxnSp macro="">
      <xdr:nvCxnSpPr>
        <xdr:cNvPr id="2026" name="SCHEMA_T02_COND_0306">
          <a:extLst>
            <a:ext uri="{FF2B5EF4-FFF2-40B4-BE49-F238E27FC236}">
              <a16:creationId xmlns:a16="http://schemas.microsoft.com/office/drawing/2014/main" id="{72B1FB99-9228-746E-1BF9-9B487371F645}"/>
            </a:ext>
          </a:extLst>
        </xdr:cNvPr>
        <xdr:cNvCxnSpPr/>
      </xdr:nvCxnSpPr>
      <xdr:spPr>
        <a:xfrm flipV="1">
          <a:off x="15452725" y="4178617"/>
          <a:ext cx="222250" cy="31036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285296</xdr:colOff>
      <xdr:row>16</xdr:row>
      <xdr:rowOff>26575</xdr:rowOff>
    </xdr:from>
    <xdr:to>
      <xdr:col>41</xdr:col>
      <xdr:colOff>171904</xdr:colOff>
      <xdr:row>16</xdr:row>
      <xdr:rowOff>167610</xdr:rowOff>
    </xdr:to>
    <xdr:cxnSp macro="">
      <xdr:nvCxnSpPr>
        <xdr:cNvPr id="2027" name="SCHEMA_T02_COND_0307">
          <a:extLst>
            <a:ext uri="{FF2B5EF4-FFF2-40B4-BE49-F238E27FC236}">
              <a16:creationId xmlns:a16="http://schemas.microsoft.com/office/drawing/2014/main" id="{639DC69E-23E5-B520-4CE1-A9084F80D19B}"/>
            </a:ext>
          </a:extLst>
        </xdr:cNvPr>
        <xdr:cNvCxnSpPr/>
      </xdr:nvCxnSpPr>
      <xdr:spPr>
        <a:xfrm flipV="1">
          <a:off x="15008225" y="4816289"/>
          <a:ext cx="222250" cy="14103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171904</xdr:colOff>
      <xdr:row>15</xdr:row>
      <xdr:rowOff>45800</xdr:rowOff>
    </xdr:from>
    <xdr:to>
      <xdr:col>42</xdr:col>
      <xdr:colOff>58511</xdr:colOff>
      <xdr:row>16</xdr:row>
      <xdr:rowOff>26575</xdr:rowOff>
    </xdr:to>
    <xdr:cxnSp macro="">
      <xdr:nvCxnSpPr>
        <xdr:cNvPr id="2028" name="SCHEMA_T02_COND_0308">
          <a:extLst>
            <a:ext uri="{FF2B5EF4-FFF2-40B4-BE49-F238E27FC236}">
              <a16:creationId xmlns:a16="http://schemas.microsoft.com/office/drawing/2014/main" id="{A2C203FB-9CBC-3E21-1B1F-A4F9ECE35617}"/>
            </a:ext>
          </a:extLst>
        </xdr:cNvPr>
        <xdr:cNvCxnSpPr/>
      </xdr:nvCxnSpPr>
      <xdr:spPr>
        <a:xfrm flipV="1">
          <a:off x="15230475" y="4590586"/>
          <a:ext cx="222250" cy="22570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58511</xdr:colOff>
      <xdr:row>13</xdr:row>
      <xdr:rowOff>225288</xdr:rowOff>
    </xdr:from>
    <xdr:to>
      <xdr:col>42</xdr:col>
      <xdr:colOff>280761</xdr:colOff>
      <xdr:row>15</xdr:row>
      <xdr:rowOff>45800</xdr:rowOff>
    </xdr:to>
    <xdr:cxnSp macro="">
      <xdr:nvCxnSpPr>
        <xdr:cNvPr id="2029" name="SCHEMA_T02_COND_0309">
          <a:extLst>
            <a:ext uri="{FF2B5EF4-FFF2-40B4-BE49-F238E27FC236}">
              <a16:creationId xmlns:a16="http://schemas.microsoft.com/office/drawing/2014/main" id="{24AD81F5-38A4-5FF8-6865-154B3B7DCF43}"/>
            </a:ext>
          </a:extLst>
        </xdr:cNvPr>
        <xdr:cNvCxnSpPr/>
      </xdr:nvCxnSpPr>
      <xdr:spPr>
        <a:xfrm flipV="1">
          <a:off x="15452725" y="4280217"/>
          <a:ext cx="222250" cy="31036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285296</xdr:colOff>
      <xdr:row>16</xdr:row>
      <xdr:rowOff>178975</xdr:rowOff>
    </xdr:from>
    <xdr:to>
      <xdr:col>41</xdr:col>
      <xdr:colOff>171904</xdr:colOff>
      <xdr:row>17</xdr:row>
      <xdr:rowOff>75081</xdr:rowOff>
    </xdr:to>
    <xdr:cxnSp macro="">
      <xdr:nvCxnSpPr>
        <xdr:cNvPr id="2030" name="SCHEMA_T02_COND_0310">
          <a:extLst>
            <a:ext uri="{FF2B5EF4-FFF2-40B4-BE49-F238E27FC236}">
              <a16:creationId xmlns:a16="http://schemas.microsoft.com/office/drawing/2014/main" id="{90A15F77-B796-2C15-45E3-A81DBCC0B007}"/>
            </a:ext>
          </a:extLst>
        </xdr:cNvPr>
        <xdr:cNvCxnSpPr/>
      </xdr:nvCxnSpPr>
      <xdr:spPr>
        <a:xfrm flipV="1">
          <a:off x="15008225" y="4968689"/>
          <a:ext cx="222250" cy="14103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171904</xdr:colOff>
      <xdr:row>15</xdr:row>
      <xdr:rowOff>198200</xdr:rowOff>
    </xdr:from>
    <xdr:to>
      <xdr:col>42</xdr:col>
      <xdr:colOff>58511</xdr:colOff>
      <xdr:row>16</xdr:row>
      <xdr:rowOff>178975</xdr:rowOff>
    </xdr:to>
    <xdr:cxnSp macro="">
      <xdr:nvCxnSpPr>
        <xdr:cNvPr id="2031" name="SCHEMA_T02_COND_0311">
          <a:extLst>
            <a:ext uri="{FF2B5EF4-FFF2-40B4-BE49-F238E27FC236}">
              <a16:creationId xmlns:a16="http://schemas.microsoft.com/office/drawing/2014/main" id="{3AF6A8BB-CB27-5C35-FCF2-7B323E936539}"/>
            </a:ext>
          </a:extLst>
        </xdr:cNvPr>
        <xdr:cNvCxnSpPr/>
      </xdr:nvCxnSpPr>
      <xdr:spPr>
        <a:xfrm flipV="1">
          <a:off x="15230475" y="4742986"/>
          <a:ext cx="222250" cy="22570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58511</xdr:colOff>
      <xdr:row>14</xdr:row>
      <xdr:rowOff>132760</xdr:rowOff>
    </xdr:from>
    <xdr:to>
      <xdr:col>42</xdr:col>
      <xdr:colOff>280761</xdr:colOff>
      <xdr:row>15</xdr:row>
      <xdr:rowOff>198200</xdr:rowOff>
    </xdr:to>
    <xdr:cxnSp macro="">
      <xdr:nvCxnSpPr>
        <xdr:cNvPr id="2032" name="SCHEMA_T02_COND_0312">
          <a:extLst>
            <a:ext uri="{FF2B5EF4-FFF2-40B4-BE49-F238E27FC236}">
              <a16:creationId xmlns:a16="http://schemas.microsoft.com/office/drawing/2014/main" id="{E16C9550-EBDE-B419-1386-46235FC69B77}"/>
            </a:ext>
          </a:extLst>
        </xdr:cNvPr>
        <xdr:cNvCxnSpPr/>
      </xdr:nvCxnSpPr>
      <xdr:spPr>
        <a:xfrm flipV="1">
          <a:off x="15452725" y="4432617"/>
          <a:ext cx="222250" cy="31036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285296</xdr:colOff>
      <xdr:row>17</xdr:row>
      <xdr:rowOff>35646</xdr:rowOff>
    </xdr:from>
    <xdr:to>
      <xdr:col>41</xdr:col>
      <xdr:colOff>171904</xdr:colOff>
      <xdr:row>17</xdr:row>
      <xdr:rowOff>176681</xdr:rowOff>
    </xdr:to>
    <xdr:cxnSp macro="">
      <xdr:nvCxnSpPr>
        <xdr:cNvPr id="2033" name="SCHEMA_T02_COND_0313">
          <a:extLst>
            <a:ext uri="{FF2B5EF4-FFF2-40B4-BE49-F238E27FC236}">
              <a16:creationId xmlns:a16="http://schemas.microsoft.com/office/drawing/2014/main" id="{43EFFA70-97F1-84D6-9ED1-0DD2A4C53A5D}"/>
            </a:ext>
          </a:extLst>
        </xdr:cNvPr>
        <xdr:cNvCxnSpPr/>
      </xdr:nvCxnSpPr>
      <xdr:spPr>
        <a:xfrm flipV="1">
          <a:off x="15008225" y="5070289"/>
          <a:ext cx="222250" cy="14103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171904</xdr:colOff>
      <xdr:row>16</xdr:row>
      <xdr:rowOff>54872</xdr:rowOff>
    </xdr:from>
    <xdr:to>
      <xdr:col>42</xdr:col>
      <xdr:colOff>58511</xdr:colOff>
      <xdr:row>17</xdr:row>
      <xdr:rowOff>35646</xdr:rowOff>
    </xdr:to>
    <xdr:cxnSp macro="">
      <xdr:nvCxnSpPr>
        <xdr:cNvPr id="2034" name="SCHEMA_T02_COND_0314">
          <a:extLst>
            <a:ext uri="{FF2B5EF4-FFF2-40B4-BE49-F238E27FC236}">
              <a16:creationId xmlns:a16="http://schemas.microsoft.com/office/drawing/2014/main" id="{A764FFFF-4E40-91A7-116A-BD2490175082}"/>
            </a:ext>
          </a:extLst>
        </xdr:cNvPr>
        <xdr:cNvCxnSpPr/>
      </xdr:nvCxnSpPr>
      <xdr:spPr>
        <a:xfrm flipV="1">
          <a:off x="15230475" y="4844586"/>
          <a:ext cx="222250" cy="22570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58511</xdr:colOff>
      <xdr:row>14</xdr:row>
      <xdr:rowOff>234360</xdr:rowOff>
    </xdr:from>
    <xdr:to>
      <xdr:col>42</xdr:col>
      <xdr:colOff>280761</xdr:colOff>
      <xdr:row>16</xdr:row>
      <xdr:rowOff>54872</xdr:rowOff>
    </xdr:to>
    <xdr:cxnSp macro="">
      <xdr:nvCxnSpPr>
        <xdr:cNvPr id="2035" name="SCHEMA_T02_COND_0315">
          <a:extLst>
            <a:ext uri="{FF2B5EF4-FFF2-40B4-BE49-F238E27FC236}">
              <a16:creationId xmlns:a16="http://schemas.microsoft.com/office/drawing/2014/main" id="{88FD6DF9-DDA0-9F9D-B265-03A791B48B31}"/>
            </a:ext>
          </a:extLst>
        </xdr:cNvPr>
        <xdr:cNvCxnSpPr/>
      </xdr:nvCxnSpPr>
      <xdr:spPr>
        <a:xfrm flipV="1">
          <a:off x="15452725" y="4534217"/>
          <a:ext cx="222250" cy="31036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280761</xdr:colOff>
      <xdr:row>12</xdr:row>
      <xdr:rowOff>203517</xdr:rowOff>
    </xdr:from>
    <xdr:to>
      <xdr:col>43</xdr:col>
      <xdr:colOff>167368</xdr:colOff>
      <xdr:row>13</xdr:row>
      <xdr:rowOff>43255</xdr:rowOff>
    </xdr:to>
    <xdr:cxnSp macro="">
      <xdr:nvCxnSpPr>
        <xdr:cNvPr id="2036" name="SCHEMA_T02_COND_0316">
          <a:extLst>
            <a:ext uri="{FF2B5EF4-FFF2-40B4-BE49-F238E27FC236}">
              <a16:creationId xmlns:a16="http://schemas.microsoft.com/office/drawing/2014/main" id="{798C862D-951A-063C-7BAE-25A0143144F1}"/>
            </a:ext>
          </a:extLst>
        </xdr:cNvPr>
        <xdr:cNvCxnSpPr/>
      </xdr:nvCxnSpPr>
      <xdr:spPr>
        <a:xfrm>
          <a:off x="15674975" y="4013517"/>
          <a:ext cx="222250" cy="84667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167368</xdr:colOff>
      <xdr:row>13</xdr:row>
      <xdr:rowOff>43255</xdr:rowOff>
    </xdr:from>
    <xdr:to>
      <xdr:col>44</xdr:col>
      <xdr:colOff>53975</xdr:colOff>
      <xdr:row>13</xdr:row>
      <xdr:rowOff>43255</xdr:rowOff>
    </xdr:to>
    <xdr:cxnSp macro="">
      <xdr:nvCxnSpPr>
        <xdr:cNvPr id="2037" name="SCHEMA_T02_COND_0317">
          <a:extLst>
            <a:ext uri="{FF2B5EF4-FFF2-40B4-BE49-F238E27FC236}">
              <a16:creationId xmlns:a16="http://schemas.microsoft.com/office/drawing/2014/main" id="{F8EDE1FF-6D54-C569-7B51-91A60AC1BBB6}"/>
            </a:ext>
          </a:extLst>
        </xdr:cNvPr>
        <xdr:cNvCxnSpPr/>
      </xdr:nvCxnSpPr>
      <xdr:spPr>
        <a:xfrm>
          <a:off x="15897225" y="4098184"/>
          <a:ext cx="222250" cy="0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53975</xdr:colOff>
      <xdr:row>12</xdr:row>
      <xdr:rowOff>203517</xdr:rowOff>
    </xdr:from>
    <xdr:to>
      <xdr:col>44</xdr:col>
      <xdr:colOff>276225</xdr:colOff>
      <xdr:row>13</xdr:row>
      <xdr:rowOff>43255</xdr:rowOff>
    </xdr:to>
    <xdr:cxnSp macro="">
      <xdr:nvCxnSpPr>
        <xdr:cNvPr id="2038" name="SCHEMA_T02_COND_0318">
          <a:extLst>
            <a:ext uri="{FF2B5EF4-FFF2-40B4-BE49-F238E27FC236}">
              <a16:creationId xmlns:a16="http://schemas.microsoft.com/office/drawing/2014/main" id="{F91963A5-49C7-8535-0F3A-973E9CA9BB59}"/>
            </a:ext>
          </a:extLst>
        </xdr:cNvPr>
        <xdr:cNvCxnSpPr/>
      </xdr:nvCxnSpPr>
      <xdr:spPr>
        <a:xfrm flipV="1">
          <a:off x="16314511" y="4013517"/>
          <a:ext cx="222250" cy="84667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280761</xdr:colOff>
      <xdr:row>13</xdr:row>
      <xdr:rowOff>123688</xdr:rowOff>
    </xdr:from>
    <xdr:to>
      <xdr:col>43</xdr:col>
      <xdr:colOff>167368</xdr:colOff>
      <xdr:row>13</xdr:row>
      <xdr:rowOff>208355</xdr:rowOff>
    </xdr:to>
    <xdr:cxnSp macro="">
      <xdr:nvCxnSpPr>
        <xdr:cNvPr id="2039" name="SCHEMA_T02_COND_0319">
          <a:extLst>
            <a:ext uri="{FF2B5EF4-FFF2-40B4-BE49-F238E27FC236}">
              <a16:creationId xmlns:a16="http://schemas.microsoft.com/office/drawing/2014/main" id="{20069E70-7198-D976-F0BF-C025336A57B6}"/>
            </a:ext>
          </a:extLst>
        </xdr:cNvPr>
        <xdr:cNvCxnSpPr/>
      </xdr:nvCxnSpPr>
      <xdr:spPr>
        <a:xfrm>
          <a:off x="15674975" y="4178617"/>
          <a:ext cx="222250" cy="8466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167368</xdr:colOff>
      <xdr:row>13</xdr:row>
      <xdr:rowOff>208355</xdr:rowOff>
    </xdr:from>
    <xdr:to>
      <xdr:col>44</xdr:col>
      <xdr:colOff>53975</xdr:colOff>
      <xdr:row>13</xdr:row>
      <xdr:rowOff>208355</xdr:rowOff>
    </xdr:to>
    <xdr:cxnSp macro="">
      <xdr:nvCxnSpPr>
        <xdr:cNvPr id="2040" name="SCHEMA_T02_COND_0320">
          <a:extLst>
            <a:ext uri="{FF2B5EF4-FFF2-40B4-BE49-F238E27FC236}">
              <a16:creationId xmlns:a16="http://schemas.microsoft.com/office/drawing/2014/main" id="{40053326-C527-6BD7-2B47-A90D370045E5}"/>
            </a:ext>
          </a:extLst>
        </xdr:cNvPr>
        <xdr:cNvCxnSpPr/>
      </xdr:nvCxnSpPr>
      <xdr:spPr>
        <a:xfrm>
          <a:off x="15897225" y="4263284"/>
          <a:ext cx="222250" cy="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203654</xdr:colOff>
      <xdr:row>14</xdr:row>
      <xdr:rowOff>191724</xdr:rowOff>
    </xdr:from>
    <xdr:to>
      <xdr:col>42</xdr:col>
      <xdr:colOff>85725</xdr:colOff>
      <xdr:row>15</xdr:row>
      <xdr:rowOff>31462</xdr:rowOff>
    </xdr:to>
    <xdr:cxnSp macro="">
      <xdr:nvCxnSpPr>
        <xdr:cNvPr id="2041" name="SCHEMA_T02_COND_0321">
          <a:extLst>
            <a:ext uri="{FF2B5EF4-FFF2-40B4-BE49-F238E27FC236}">
              <a16:creationId xmlns:a16="http://schemas.microsoft.com/office/drawing/2014/main" id="{60039048-1979-37ED-30D8-BACCA575D76C}"/>
            </a:ext>
          </a:extLst>
        </xdr:cNvPr>
        <xdr:cNvCxnSpPr/>
      </xdr:nvCxnSpPr>
      <xdr:spPr>
        <a:xfrm flipV="1">
          <a:off x="15443654" y="4491581"/>
          <a:ext cx="222250" cy="8466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280761</xdr:colOff>
      <xdr:row>13</xdr:row>
      <xdr:rowOff>225288</xdr:rowOff>
    </xdr:from>
    <xdr:to>
      <xdr:col>43</xdr:col>
      <xdr:colOff>167368</xdr:colOff>
      <xdr:row>14</xdr:row>
      <xdr:rowOff>65027</xdr:rowOff>
    </xdr:to>
    <xdr:cxnSp macro="">
      <xdr:nvCxnSpPr>
        <xdr:cNvPr id="2042" name="SCHEMA_T02_COND_0322">
          <a:extLst>
            <a:ext uri="{FF2B5EF4-FFF2-40B4-BE49-F238E27FC236}">
              <a16:creationId xmlns:a16="http://schemas.microsoft.com/office/drawing/2014/main" id="{358B2B58-E8BC-5834-C161-2B33E418400C}"/>
            </a:ext>
          </a:extLst>
        </xdr:cNvPr>
        <xdr:cNvCxnSpPr/>
      </xdr:nvCxnSpPr>
      <xdr:spPr>
        <a:xfrm>
          <a:off x="15674975" y="4280217"/>
          <a:ext cx="222250" cy="8466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167368</xdr:colOff>
      <xdr:row>14</xdr:row>
      <xdr:rowOff>65027</xdr:rowOff>
    </xdr:from>
    <xdr:to>
      <xdr:col>44</xdr:col>
      <xdr:colOff>53975</xdr:colOff>
      <xdr:row>14</xdr:row>
      <xdr:rowOff>65027</xdr:rowOff>
    </xdr:to>
    <xdr:cxnSp macro="">
      <xdr:nvCxnSpPr>
        <xdr:cNvPr id="2043" name="SCHEMA_T02_COND_0323">
          <a:extLst>
            <a:ext uri="{FF2B5EF4-FFF2-40B4-BE49-F238E27FC236}">
              <a16:creationId xmlns:a16="http://schemas.microsoft.com/office/drawing/2014/main" id="{9DAE9783-15C2-9BE4-D488-9B2FC39442D2}"/>
            </a:ext>
          </a:extLst>
        </xdr:cNvPr>
        <xdr:cNvCxnSpPr/>
      </xdr:nvCxnSpPr>
      <xdr:spPr>
        <a:xfrm>
          <a:off x="15897225" y="4364884"/>
          <a:ext cx="222250" cy="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53975</xdr:colOff>
      <xdr:row>13</xdr:row>
      <xdr:rowOff>225288</xdr:rowOff>
    </xdr:from>
    <xdr:to>
      <xdr:col>44</xdr:col>
      <xdr:colOff>276225</xdr:colOff>
      <xdr:row>14</xdr:row>
      <xdr:rowOff>65027</xdr:rowOff>
    </xdr:to>
    <xdr:cxnSp macro="">
      <xdr:nvCxnSpPr>
        <xdr:cNvPr id="2044" name="SCHEMA_T02_COND_0324">
          <a:extLst>
            <a:ext uri="{FF2B5EF4-FFF2-40B4-BE49-F238E27FC236}">
              <a16:creationId xmlns:a16="http://schemas.microsoft.com/office/drawing/2014/main" id="{E3EB426B-3D35-F032-2404-88C86033859F}"/>
            </a:ext>
          </a:extLst>
        </xdr:cNvPr>
        <xdr:cNvCxnSpPr/>
      </xdr:nvCxnSpPr>
      <xdr:spPr>
        <a:xfrm flipV="1">
          <a:off x="16119475" y="4280217"/>
          <a:ext cx="222250" cy="8466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280761</xdr:colOff>
      <xdr:row>14</xdr:row>
      <xdr:rowOff>132760</xdr:rowOff>
    </xdr:from>
    <xdr:to>
      <xdr:col>43</xdr:col>
      <xdr:colOff>167368</xdr:colOff>
      <xdr:row>14</xdr:row>
      <xdr:rowOff>217427</xdr:rowOff>
    </xdr:to>
    <xdr:cxnSp macro="">
      <xdr:nvCxnSpPr>
        <xdr:cNvPr id="2045" name="SCHEMA_T02_COND_0325">
          <a:extLst>
            <a:ext uri="{FF2B5EF4-FFF2-40B4-BE49-F238E27FC236}">
              <a16:creationId xmlns:a16="http://schemas.microsoft.com/office/drawing/2014/main" id="{EB69A2F0-5A9A-0C93-0C6D-7B13A5A31E45}"/>
            </a:ext>
          </a:extLst>
        </xdr:cNvPr>
        <xdr:cNvCxnSpPr/>
      </xdr:nvCxnSpPr>
      <xdr:spPr>
        <a:xfrm>
          <a:off x="15674975" y="4432617"/>
          <a:ext cx="222250" cy="8466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167368</xdr:colOff>
      <xdr:row>14</xdr:row>
      <xdr:rowOff>217427</xdr:rowOff>
    </xdr:from>
    <xdr:to>
      <xdr:col>44</xdr:col>
      <xdr:colOff>53975</xdr:colOff>
      <xdr:row>14</xdr:row>
      <xdr:rowOff>217427</xdr:rowOff>
    </xdr:to>
    <xdr:cxnSp macro="">
      <xdr:nvCxnSpPr>
        <xdr:cNvPr id="2046" name="SCHEMA_T02_COND_0326">
          <a:extLst>
            <a:ext uri="{FF2B5EF4-FFF2-40B4-BE49-F238E27FC236}">
              <a16:creationId xmlns:a16="http://schemas.microsoft.com/office/drawing/2014/main" id="{72557EBA-D18A-AAEB-0384-4C345BE5CA49}"/>
            </a:ext>
          </a:extLst>
        </xdr:cNvPr>
        <xdr:cNvCxnSpPr/>
      </xdr:nvCxnSpPr>
      <xdr:spPr>
        <a:xfrm>
          <a:off x="15897225" y="4517284"/>
          <a:ext cx="222250" cy="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53975</xdr:colOff>
      <xdr:row>14</xdr:row>
      <xdr:rowOff>132760</xdr:rowOff>
    </xdr:from>
    <xdr:to>
      <xdr:col>44</xdr:col>
      <xdr:colOff>276225</xdr:colOff>
      <xdr:row>14</xdr:row>
      <xdr:rowOff>217427</xdr:rowOff>
    </xdr:to>
    <xdr:cxnSp macro="">
      <xdr:nvCxnSpPr>
        <xdr:cNvPr id="2047" name="SCHEMA_T02_COND_0327">
          <a:extLst>
            <a:ext uri="{FF2B5EF4-FFF2-40B4-BE49-F238E27FC236}">
              <a16:creationId xmlns:a16="http://schemas.microsoft.com/office/drawing/2014/main" id="{912F3A92-813F-04E7-18BC-BCBA4C5E223C}"/>
            </a:ext>
          </a:extLst>
        </xdr:cNvPr>
        <xdr:cNvCxnSpPr/>
      </xdr:nvCxnSpPr>
      <xdr:spPr>
        <a:xfrm flipV="1">
          <a:off x="16119475" y="4432617"/>
          <a:ext cx="222250" cy="8466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280761</xdr:colOff>
      <xdr:row>14</xdr:row>
      <xdr:rowOff>234360</xdr:rowOff>
    </xdr:from>
    <xdr:to>
      <xdr:col>43</xdr:col>
      <xdr:colOff>167368</xdr:colOff>
      <xdr:row>15</xdr:row>
      <xdr:rowOff>74098</xdr:rowOff>
    </xdr:to>
    <xdr:cxnSp macro="">
      <xdr:nvCxnSpPr>
        <xdr:cNvPr id="2048" name="SCHEMA_T02_COND_0328">
          <a:extLst>
            <a:ext uri="{FF2B5EF4-FFF2-40B4-BE49-F238E27FC236}">
              <a16:creationId xmlns:a16="http://schemas.microsoft.com/office/drawing/2014/main" id="{2DBD431E-2EFB-1087-A84A-FD4EE6862716}"/>
            </a:ext>
          </a:extLst>
        </xdr:cNvPr>
        <xdr:cNvCxnSpPr/>
      </xdr:nvCxnSpPr>
      <xdr:spPr>
        <a:xfrm>
          <a:off x="15674975" y="4534217"/>
          <a:ext cx="222250" cy="8466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167368</xdr:colOff>
      <xdr:row>15</xdr:row>
      <xdr:rowOff>74098</xdr:rowOff>
    </xdr:from>
    <xdr:to>
      <xdr:col>44</xdr:col>
      <xdr:colOff>53975</xdr:colOff>
      <xdr:row>15</xdr:row>
      <xdr:rowOff>74098</xdr:rowOff>
    </xdr:to>
    <xdr:cxnSp macro="">
      <xdr:nvCxnSpPr>
        <xdr:cNvPr id="2049" name="SCHEMA_T02_COND_0329">
          <a:extLst>
            <a:ext uri="{FF2B5EF4-FFF2-40B4-BE49-F238E27FC236}">
              <a16:creationId xmlns:a16="http://schemas.microsoft.com/office/drawing/2014/main" id="{6F47680F-9E79-3C22-8F26-35EF4FBA6C85}"/>
            </a:ext>
          </a:extLst>
        </xdr:cNvPr>
        <xdr:cNvCxnSpPr/>
      </xdr:nvCxnSpPr>
      <xdr:spPr>
        <a:xfrm>
          <a:off x="15897225" y="4618884"/>
          <a:ext cx="222250" cy="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53975</xdr:colOff>
      <xdr:row>14</xdr:row>
      <xdr:rowOff>234360</xdr:rowOff>
    </xdr:from>
    <xdr:to>
      <xdr:col>44</xdr:col>
      <xdr:colOff>276225</xdr:colOff>
      <xdr:row>15</xdr:row>
      <xdr:rowOff>74098</xdr:rowOff>
    </xdr:to>
    <xdr:cxnSp macro="">
      <xdr:nvCxnSpPr>
        <xdr:cNvPr id="2050" name="SCHEMA_T02_COND_0330">
          <a:extLst>
            <a:ext uri="{FF2B5EF4-FFF2-40B4-BE49-F238E27FC236}">
              <a16:creationId xmlns:a16="http://schemas.microsoft.com/office/drawing/2014/main" id="{439E0B62-3FD0-0A4F-CA79-8F88015566B8}"/>
            </a:ext>
          </a:extLst>
        </xdr:cNvPr>
        <xdr:cNvCxnSpPr/>
      </xdr:nvCxnSpPr>
      <xdr:spPr>
        <a:xfrm flipV="1">
          <a:off x="16119475" y="4534217"/>
          <a:ext cx="222250" cy="8466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240393</xdr:colOff>
      <xdr:row>25</xdr:row>
      <xdr:rowOff>41729</xdr:rowOff>
    </xdr:from>
    <xdr:to>
      <xdr:col>43</xdr:col>
      <xdr:colOff>316593</xdr:colOff>
      <xdr:row>25</xdr:row>
      <xdr:rowOff>117929</xdr:rowOff>
    </xdr:to>
    <xdr:sp macro="" textlink="">
      <xdr:nvSpPr>
        <xdr:cNvPr id="2051" name="SCHEMA_T02_ATTRAV_22">
          <a:extLst>
            <a:ext uri="{FF2B5EF4-FFF2-40B4-BE49-F238E27FC236}">
              <a16:creationId xmlns:a16="http://schemas.microsoft.com/office/drawing/2014/main" id="{836BFC79-05D8-BE71-0786-9CD566C3270D}"/>
            </a:ext>
          </a:extLst>
        </xdr:cNvPr>
        <xdr:cNvSpPr/>
      </xdr:nvSpPr>
      <xdr:spPr>
        <a:xfrm>
          <a:off x="15970250" y="7035800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1266825</xdr:colOff>
      <xdr:row>24</xdr:row>
      <xdr:rowOff>146957</xdr:rowOff>
    </xdr:from>
    <xdr:to>
      <xdr:col>0</xdr:col>
      <xdr:colOff>1520825</xdr:colOff>
      <xdr:row>25</xdr:row>
      <xdr:rowOff>29029</xdr:rowOff>
    </xdr:to>
    <xdr:sp macro="" textlink="">
      <xdr:nvSpPr>
        <xdr:cNvPr id="2052" name="SCHEMA_T02_FRENO_CORPO">
          <a:extLst>
            <a:ext uri="{FF2B5EF4-FFF2-40B4-BE49-F238E27FC236}">
              <a16:creationId xmlns:a16="http://schemas.microsoft.com/office/drawing/2014/main" id="{F3B197B9-8003-6A1D-87B5-BD0F41031E1E}"/>
            </a:ext>
          </a:extLst>
        </xdr:cNvPr>
        <xdr:cNvSpPr/>
      </xdr:nvSpPr>
      <xdr:spPr>
        <a:xfrm>
          <a:off x="1266825" y="6896100"/>
          <a:ext cx="254000" cy="127000"/>
        </a:xfrm>
        <a:prstGeom prst="rect">
          <a:avLst/>
        </a:prstGeom>
        <a:solidFill>
          <a:srgbClr val="003F87">
            <a:alpha val="90000"/>
          </a:srgbClr>
        </a:solidFill>
        <a:ln w="17780">
          <a:solidFill>
            <a:srgbClr val="003F8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1279525</xdr:colOff>
      <xdr:row>25</xdr:row>
      <xdr:rowOff>3629</xdr:rowOff>
    </xdr:from>
    <xdr:to>
      <xdr:col>0</xdr:col>
      <xdr:colOff>1355725</xdr:colOff>
      <xdr:row>25</xdr:row>
      <xdr:rowOff>79829</xdr:rowOff>
    </xdr:to>
    <xdr:sp macro="" textlink="">
      <xdr:nvSpPr>
        <xdr:cNvPr id="2053" name="SCHEMA_T02_FRENO_RUOTA_1">
          <a:extLst>
            <a:ext uri="{FF2B5EF4-FFF2-40B4-BE49-F238E27FC236}">
              <a16:creationId xmlns:a16="http://schemas.microsoft.com/office/drawing/2014/main" id="{56FD5711-C462-B1AC-84E8-861954057247}"/>
            </a:ext>
          </a:extLst>
        </xdr:cNvPr>
        <xdr:cNvSpPr/>
      </xdr:nvSpPr>
      <xdr:spPr>
        <a:xfrm>
          <a:off x="1279525" y="6997700"/>
          <a:ext cx="76200" cy="76200"/>
        </a:xfrm>
        <a:prstGeom prst="ellipse">
          <a:avLst/>
        </a:prstGeom>
        <a:solidFill>
          <a:srgbClr val="FFFFFF"/>
        </a:solidFill>
        <a:ln w="15240">
          <a:solidFill>
            <a:srgbClr val="003F8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1431925</xdr:colOff>
      <xdr:row>25</xdr:row>
      <xdr:rowOff>3629</xdr:rowOff>
    </xdr:from>
    <xdr:to>
      <xdr:col>0</xdr:col>
      <xdr:colOff>1508125</xdr:colOff>
      <xdr:row>25</xdr:row>
      <xdr:rowOff>79829</xdr:rowOff>
    </xdr:to>
    <xdr:sp macro="" textlink="">
      <xdr:nvSpPr>
        <xdr:cNvPr id="2054" name="SCHEMA_T02_FRENO_RUOTA_2">
          <a:extLst>
            <a:ext uri="{FF2B5EF4-FFF2-40B4-BE49-F238E27FC236}">
              <a16:creationId xmlns:a16="http://schemas.microsoft.com/office/drawing/2014/main" id="{6CB3D4C3-5FAD-2829-92E2-819030C91C3D}"/>
            </a:ext>
          </a:extLst>
        </xdr:cNvPr>
        <xdr:cNvSpPr/>
      </xdr:nvSpPr>
      <xdr:spPr>
        <a:xfrm>
          <a:off x="1431925" y="6997700"/>
          <a:ext cx="76200" cy="76200"/>
        </a:xfrm>
        <a:prstGeom prst="ellipse">
          <a:avLst/>
        </a:prstGeom>
        <a:solidFill>
          <a:srgbClr val="FFFFFF"/>
        </a:solidFill>
        <a:ln w="15240">
          <a:solidFill>
            <a:srgbClr val="003F8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1520825</xdr:colOff>
      <xdr:row>24</xdr:row>
      <xdr:rowOff>210457</xdr:rowOff>
    </xdr:from>
    <xdr:to>
      <xdr:col>1</xdr:col>
      <xdr:colOff>40368</xdr:colOff>
      <xdr:row>25</xdr:row>
      <xdr:rowOff>67129</xdr:rowOff>
    </xdr:to>
    <xdr:cxnSp macro="">
      <xdr:nvCxnSpPr>
        <xdr:cNvPr id="2055" name="SCHEMA_T02_FRENO_COLLEGAMENTO">
          <a:extLst>
            <a:ext uri="{FF2B5EF4-FFF2-40B4-BE49-F238E27FC236}">
              <a16:creationId xmlns:a16="http://schemas.microsoft.com/office/drawing/2014/main" id="{3AF99A84-9F4F-1D82-BAD4-C3D8465920FB}"/>
            </a:ext>
          </a:extLst>
        </xdr:cNvPr>
        <xdr:cNvCxnSpPr/>
      </xdr:nvCxnSpPr>
      <xdr:spPr>
        <a:xfrm flipH="1" flipV="1">
          <a:off x="1520825" y="6959600"/>
          <a:ext cx="152400" cy="101600"/>
        </a:xfrm>
        <a:prstGeom prst="line">
          <a:avLst/>
        </a:prstGeom>
        <a:ln w="15240">
          <a:solidFill>
            <a:srgbClr val="003F87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1076325</xdr:colOff>
      <xdr:row>23</xdr:row>
      <xdr:rowOff>226786</xdr:rowOff>
    </xdr:from>
    <xdr:to>
      <xdr:col>1</xdr:col>
      <xdr:colOff>78468</xdr:colOff>
      <xdr:row>24</xdr:row>
      <xdr:rowOff>121557</xdr:rowOff>
    </xdr:to>
    <xdr:sp macro="" textlink="">
      <xdr:nvSpPr>
        <xdr:cNvPr id="2056" name="SCHEMA_T02_FRENO_LBL">
          <a:extLst>
            <a:ext uri="{FF2B5EF4-FFF2-40B4-BE49-F238E27FC236}">
              <a16:creationId xmlns:a16="http://schemas.microsoft.com/office/drawing/2014/main" id="{EF9CFDCC-C722-01CA-1812-77B2D85A186A}"/>
            </a:ext>
          </a:extLst>
        </xdr:cNvPr>
        <xdr:cNvSpPr txBox="1"/>
      </xdr:nvSpPr>
      <xdr:spPr>
        <a:xfrm>
          <a:off x="1076325" y="6731000"/>
          <a:ext cx="635000" cy="139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s-ES" sz="650" b="1">
              <a:solidFill>
                <a:srgbClr val="003F87"/>
              </a:solidFill>
            </a:rPr>
            <a:t>FRENO</a:t>
          </a:r>
        </a:p>
      </xdr:txBody>
    </xdr:sp>
    <xdr:clientData/>
  </xdr:twoCellAnchor>
  <xdr:twoCellAnchor>
    <xdr:from>
      <xdr:col>45</xdr:col>
      <xdr:colOff>92982</xdr:colOff>
      <xdr:row>24</xdr:row>
      <xdr:rowOff>146957</xdr:rowOff>
    </xdr:from>
    <xdr:to>
      <xdr:col>46</xdr:col>
      <xdr:colOff>11339</xdr:colOff>
      <xdr:row>25</xdr:row>
      <xdr:rowOff>29029</xdr:rowOff>
    </xdr:to>
    <xdr:sp macro="" textlink="">
      <xdr:nvSpPr>
        <xdr:cNvPr id="2057" name="SCHEMA_T02_ARGANO_CORPO">
          <a:extLst>
            <a:ext uri="{FF2B5EF4-FFF2-40B4-BE49-F238E27FC236}">
              <a16:creationId xmlns:a16="http://schemas.microsoft.com/office/drawing/2014/main" id="{D664ADD1-9308-53E2-CFEB-C0F2CE80E6EF}"/>
            </a:ext>
          </a:extLst>
        </xdr:cNvPr>
        <xdr:cNvSpPr/>
      </xdr:nvSpPr>
      <xdr:spPr>
        <a:xfrm>
          <a:off x="16494125" y="6896100"/>
          <a:ext cx="254000" cy="127000"/>
        </a:xfrm>
        <a:prstGeom prst="rect">
          <a:avLst/>
        </a:prstGeom>
        <a:solidFill>
          <a:srgbClr val="F47C00">
            <a:alpha val="90000"/>
          </a:srgbClr>
        </a:solidFill>
        <a:ln w="17780"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45</xdr:col>
      <xdr:colOff>105682</xdr:colOff>
      <xdr:row>25</xdr:row>
      <xdr:rowOff>3629</xdr:rowOff>
    </xdr:from>
    <xdr:to>
      <xdr:col>45</xdr:col>
      <xdr:colOff>181882</xdr:colOff>
      <xdr:row>25</xdr:row>
      <xdr:rowOff>79829</xdr:rowOff>
    </xdr:to>
    <xdr:sp macro="" textlink="">
      <xdr:nvSpPr>
        <xdr:cNvPr id="2058" name="SCHEMA_T02_ARGANO_RUOTA_1">
          <a:extLst>
            <a:ext uri="{FF2B5EF4-FFF2-40B4-BE49-F238E27FC236}">
              <a16:creationId xmlns:a16="http://schemas.microsoft.com/office/drawing/2014/main" id="{15B6A524-D023-5D15-69C6-87C4BCD4E849}"/>
            </a:ext>
          </a:extLst>
        </xdr:cNvPr>
        <xdr:cNvSpPr/>
      </xdr:nvSpPr>
      <xdr:spPr>
        <a:xfrm>
          <a:off x="16506825" y="6997700"/>
          <a:ext cx="76200" cy="76200"/>
        </a:xfrm>
        <a:prstGeom prst="ellipse">
          <a:avLst/>
        </a:prstGeom>
        <a:solidFill>
          <a:srgbClr val="FFFFFF"/>
        </a:solidFill>
        <a:ln w="15240"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45</xdr:col>
      <xdr:colOff>258082</xdr:colOff>
      <xdr:row>25</xdr:row>
      <xdr:rowOff>3629</xdr:rowOff>
    </xdr:from>
    <xdr:to>
      <xdr:col>45</xdr:col>
      <xdr:colOff>334282</xdr:colOff>
      <xdr:row>25</xdr:row>
      <xdr:rowOff>79829</xdr:rowOff>
    </xdr:to>
    <xdr:sp macro="" textlink="">
      <xdr:nvSpPr>
        <xdr:cNvPr id="2059" name="SCHEMA_T02_ARGANO_RUOTA_2">
          <a:extLst>
            <a:ext uri="{FF2B5EF4-FFF2-40B4-BE49-F238E27FC236}">
              <a16:creationId xmlns:a16="http://schemas.microsoft.com/office/drawing/2014/main" id="{21857D02-AB63-2C9F-8E8B-39DC987C40FC}"/>
            </a:ext>
          </a:extLst>
        </xdr:cNvPr>
        <xdr:cNvSpPr/>
      </xdr:nvSpPr>
      <xdr:spPr>
        <a:xfrm>
          <a:off x="16659225" y="6997700"/>
          <a:ext cx="76200" cy="76200"/>
        </a:xfrm>
        <a:prstGeom prst="ellipse">
          <a:avLst/>
        </a:prstGeom>
        <a:solidFill>
          <a:srgbClr val="FFFFFF"/>
        </a:solidFill>
        <a:ln w="15240"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44</xdr:col>
      <xdr:colOff>276225</xdr:colOff>
      <xdr:row>24</xdr:row>
      <xdr:rowOff>210457</xdr:rowOff>
    </xdr:from>
    <xdr:to>
      <xdr:col>45</xdr:col>
      <xdr:colOff>92982</xdr:colOff>
      <xdr:row>25</xdr:row>
      <xdr:rowOff>67129</xdr:rowOff>
    </xdr:to>
    <xdr:cxnSp macro="">
      <xdr:nvCxnSpPr>
        <xdr:cNvPr id="2060" name="SCHEMA_T02_ARGANO_COLLEGAMENTO">
          <a:extLst>
            <a:ext uri="{FF2B5EF4-FFF2-40B4-BE49-F238E27FC236}">
              <a16:creationId xmlns:a16="http://schemas.microsoft.com/office/drawing/2014/main" id="{86E488A9-A0E6-96B4-AFB9-12EA3214BCFA}"/>
            </a:ext>
          </a:extLst>
        </xdr:cNvPr>
        <xdr:cNvCxnSpPr/>
      </xdr:nvCxnSpPr>
      <xdr:spPr>
        <a:xfrm flipV="1">
          <a:off x="16341725" y="6959600"/>
          <a:ext cx="152400" cy="101600"/>
        </a:xfrm>
        <a:prstGeom prst="line">
          <a:avLst/>
        </a:prstGeom>
        <a:ln w="15240">
          <a:solidFill>
            <a:srgbClr val="F47C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238125</xdr:colOff>
      <xdr:row>23</xdr:row>
      <xdr:rowOff>226786</xdr:rowOff>
    </xdr:from>
    <xdr:to>
      <xdr:col>46</xdr:col>
      <xdr:colOff>201839</xdr:colOff>
      <xdr:row>24</xdr:row>
      <xdr:rowOff>121557</xdr:rowOff>
    </xdr:to>
    <xdr:sp macro="" textlink="">
      <xdr:nvSpPr>
        <xdr:cNvPr id="2061" name="SCHEMA_T02_ARGANO_LBL">
          <a:extLst>
            <a:ext uri="{FF2B5EF4-FFF2-40B4-BE49-F238E27FC236}">
              <a16:creationId xmlns:a16="http://schemas.microsoft.com/office/drawing/2014/main" id="{AB0F0FD1-2235-A62A-1FED-EFD76B5369A5}"/>
            </a:ext>
          </a:extLst>
        </xdr:cNvPr>
        <xdr:cNvSpPr txBox="1"/>
      </xdr:nvSpPr>
      <xdr:spPr>
        <a:xfrm>
          <a:off x="16303625" y="6731000"/>
          <a:ext cx="635000" cy="139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s-ES" sz="650" b="1">
              <a:solidFill>
                <a:srgbClr val="F47C00"/>
              </a:solidFill>
            </a:rPr>
            <a:t>ARGANO</a:t>
          </a:r>
        </a:p>
      </xdr:txBody>
    </xdr:sp>
    <xdr:clientData/>
  </xdr:twoCellAnchor>
  <xdr:twoCellAnchor>
    <xdr:from>
      <xdr:col>1</xdr:col>
      <xdr:colOff>40368</xdr:colOff>
      <xdr:row>25</xdr:row>
      <xdr:rowOff>117929</xdr:rowOff>
    </xdr:from>
    <xdr:to>
      <xdr:col>1</xdr:col>
      <xdr:colOff>40368</xdr:colOff>
      <xdr:row>25</xdr:row>
      <xdr:rowOff>194129</xdr:rowOff>
    </xdr:to>
    <xdr:cxnSp macro="">
      <xdr:nvCxnSpPr>
        <xdr:cNvPr id="2062" name="SCHEMA_T02_TERRA_01_V">
          <a:extLst>
            <a:ext uri="{FF2B5EF4-FFF2-40B4-BE49-F238E27FC236}">
              <a16:creationId xmlns:a16="http://schemas.microsoft.com/office/drawing/2014/main" id="{EF1FB659-5A8C-CB1D-D4E4-256DC9D8E4B9}"/>
            </a:ext>
          </a:extLst>
        </xdr:cNvPr>
        <xdr:cNvCxnSpPr/>
      </xdr:nvCxnSpPr>
      <xdr:spPr>
        <a:xfrm>
          <a:off x="1673225" y="7112000"/>
          <a:ext cx="0" cy="7620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1609725</xdr:colOff>
      <xdr:row>25</xdr:row>
      <xdr:rowOff>194129</xdr:rowOff>
    </xdr:from>
    <xdr:to>
      <xdr:col>1</xdr:col>
      <xdr:colOff>103868</xdr:colOff>
      <xdr:row>25</xdr:row>
      <xdr:rowOff>194129</xdr:rowOff>
    </xdr:to>
    <xdr:cxnSp macro="">
      <xdr:nvCxnSpPr>
        <xdr:cNvPr id="2063" name="SCHEMA_T02_TERRA_01_1">
          <a:extLst>
            <a:ext uri="{FF2B5EF4-FFF2-40B4-BE49-F238E27FC236}">
              <a16:creationId xmlns:a16="http://schemas.microsoft.com/office/drawing/2014/main" id="{D412946A-5897-04FA-51AC-94AC921B09B8}"/>
            </a:ext>
          </a:extLst>
        </xdr:cNvPr>
        <xdr:cNvCxnSpPr/>
      </xdr:nvCxnSpPr>
      <xdr:spPr>
        <a:xfrm>
          <a:off x="1609725" y="7188200"/>
          <a:ext cx="1270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1628775</xdr:colOff>
      <xdr:row>25</xdr:row>
      <xdr:rowOff>222069</xdr:rowOff>
    </xdr:from>
    <xdr:to>
      <xdr:col>1</xdr:col>
      <xdr:colOff>84818</xdr:colOff>
      <xdr:row>25</xdr:row>
      <xdr:rowOff>222069</xdr:rowOff>
    </xdr:to>
    <xdr:cxnSp macro="">
      <xdr:nvCxnSpPr>
        <xdr:cNvPr id="2064" name="SCHEMA_T02_TERRA_01_2">
          <a:extLst>
            <a:ext uri="{FF2B5EF4-FFF2-40B4-BE49-F238E27FC236}">
              <a16:creationId xmlns:a16="http://schemas.microsoft.com/office/drawing/2014/main" id="{8D58E316-4246-1C03-0E14-55026399D928}"/>
            </a:ext>
          </a:extLst>
        </xdr:cNvPr>
        <xdr:cNvCxnSpPr/>
      </xdr:nvCxnSpPr>
      <xdr:spPr>
        <a:xfrm>
          <a:off x="1628775" y="7216140"/>
          <a:ext cx="889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14968</xdr:colOff>
      <xdr:row>26</xdr:row>
      <xdr:rowOff>5080</xdr:rowOff>
    </xdr:from>
    <xdr:to>
      <xdr:col>1</xdr:col>
      <xdr:colOff>65768</xdr:colOff>
      <xdr:row>26</xdr:row>
      <xdr:rowOff>5080</xdr:rowOff>
    </xdr:to>
    <xdr:cxnSp macro="">
      <xdr:nvCxnSpPr>
        <xdr:cNvPr id="2065" name="SCHEMA_T02_TERRA_01_3">
          <a:extLst>
            <a:ext uri="{FF2B5EF4-FFF2-40B4-BE49-F238E27FC236}">
              <a16:creationId xmlns:a16="http://schemas.microsoft.com/office/drawing/2014/main" id="{9DF30E6D-A1C7-A88D-B5A4-38C451457453}"/>
            </a:ext>
          </a:extLst>
        </xdr:cNvPr>
        <xdr:cNvCxnSpPr/>
      </xdr:nvCxnSpPr>
      <xdr:spPr>
        <a:xfrm>
          <a:off x="1647825" y="7244080"/>
          <a:ext cx="508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22225</xdr:colOff>
      <xdr:row>25</xdr:row>
      <xdr:rowOff>117929</xdr:rowOff>
    </xdr:from>
    <xdr:to>
      <xdr:col>9</xdr:col>
      <xdr:colOff>22225</xdr:colOff>
      <xdr:row>25</xdr:row>
      <xdr:rowOff>194129</xdr:rowOff>
    </xdr:to>
    <xdr:cxnSp macro="">
      <xdr:nvCxnSpPr>
        <xdr:cNvPr id="2066" name="SCHEMA_T02_TERRA_05_V">
          <a:extLst>
            <a:ext uri="{FF2B5EF4-FFF2-40B4-BE49-F238E27FC236}">
              <a16:creationId xmlns:a16="http://schemas.microsoft.com/office/drawing/2014/main" id="{4DB0799A-1F6E-1EBC-FFA1-E43A59B5124A}"/>
            </a:ext>
          </a:extLst>
        </xdr:cNvPr>
        <xdr:cNvCxnSpPr/>
      </xdr:nvCxnSpPr>
      <xdr:spPr>
        <a:xfrm>
          <a:off x="4340225" y="7112000"/>
          <a:ext cx="0" cy="7620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294368</xdr:colOff>
      <xdr:row>25</xdr:row>
      <xdr:rowOff>194129</xdr:rowOff>
    </xdr:from>
    <xdr:to>
      <xdr:col>9</xdr:col>
      <xdr:colOff>85725</xdr:colOff>
      <xdr:row>25</xdr:row>
      <xdr:rowOff>194129</xdr:rowOff>
    </xdr:to>
    <xdr:cxnSp macro="">
      <xdr:nvCxnSpPr>
        <xdr:cNvPr id="2067" name="SCHEMA_T02_TERRA_05_1">
          <a:extLst>
            <a:ext uri="{FF2B5EF4-FFF2-40B4-BE49-F238E27FC236}">
              <a16:creationId xmlns:a16="http://schemas.microsoft.com/office/drawing/2014/main" id="{4A7EA65F-108E-F264-3770-24612A301056}"/>
            </a:ext>
          </a:extLst>
        </xdr:cNvPr>
        <xdr:cNvCxnSpPr/>
      </xdr:nvCxnSpPr>
      <xdr:spPr>
        <a:xfrm>
          <a:off x="4276725" y="7188200"/>
          <a:ext cx="1270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313418</xdr:colOff>
      <xdr:row>25</xdr:row>
      <xdr:rowOff>222069</xdr:rowOff>
    </xdr:from>
    <xdr:to>
      <xdr:col>9</xdr:col>
      <xdr:colOff>66675</xdr:colOff>
      <xdr:row>25</xdr:row>
      <xdr:rowOff>222069</xdr:rowOff>
    </xdr:to>
    <xdr:cxnSp macro="">
      <xdr:nvCxnSpPr>
        <xdr:cNvPr id="2068" name="SCHEMA_T02_TERRA_05_2">
          <a:extLst>
            <a:ext uri="{FF2B5EF4-FFF2-40B4-BE49-F238E27FC236}">
              <a16:creationId xmlns:a16="http://schemas.microsoft.com/office/drawing/2014/main" id="{EF1C6C9C-14DC-AF5C-866B-3453DE407951}"/>
            </a:ext>
          </a:extLst>
        </xdr:cNvPr>
        <xdr:cNvCxnSpPr/>
      </xdr:nvCxnSpPr>
      <xdr:spPr>
        <a:xfrm>
          <a:off x="4295775" y="7216140"/>
          <a:ext cx="889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332468</xdr:colOff>
      <xdr:row>26</xdr:row>
      <xdr:rowOff>5080</xdr:rowOff>
    </xdr:from>
    <xdr:to>
      <xdr:col>9</xdr:col>
      <xdr:colOff>47625</xdr:colOff>
      <xdr:row>26</xdr:row>
      <xdr:rowOff>5080</xdr:rowOff>
    </xdr:to>
    <xdr:cxnSp macro="">
      <xdr:nvCxnSpPr>
        <xdr:cNvPr id="2069" name="SCHEMA_T02_TERRA_05_3">
          <a:extLst>
            <a:ext uri="{FF2B5EF4-FFF2-40B4-BE49-F238E27FC236}">
              <a16:creationId xmlns:a16="http://schemas.microsoft.com/office/drawing/2014/main" id="{4E10CE75-EC06-44A4-6E40-CFE10C04436B}"/>
            </a:ext>
          </a:extLst>
        </xdr:cNvPr>
        <xdr:cNvCxnSpPr/>
      </xdr:nvCxnSpPr>
      <xdr:spPr>
        <a:xfrm>
          <a:off x="4314825" y="7244080"/>
          <a:ext cx="508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4082</xdr:colOff>
      <xdr:row>25</xdr:row>
      <xdr:rowOff>117929</xdr:rowOff>
    </xdr:from>
    <xdr:to>
      <xdr:col>17</xdr:col>
      <xdr:colOff>4082</xdr:colOff>
      <xdr:row>25</xdr:row>
      <xdr:rowOff>194129</xdr:rowOff>
    </xdr:to>
    <xdr:cxnSp macro="">
      <xdr:nvCxnSpPr>
        <xdr:cNvPr id="2070" name="SCHEMA_T02_TERRA_09_V">
          <a:extLst>
            <a:ext uri="{FF2B5EF4-FFF2-40B4-BE49-F238E27FC236}">
              <a16:creationId xmlns:a16="http://schemas.microsoft.com/office/drawing/2014/main" id="{30D2ACE4-2BE9-B44F-623E-16CA8A23D21C}"/>
            </a:ext>
          </a:extLst>
        </xdr:cNvPr>
        <xdr:cNvCxnSpPr/>
      </xdr:nvCxnSpPr>
      <xdr:spPr>
        <a:xfrm>
          <a:off x="7007225" y="7112000"/>
          <a:ext cx="0" cy="7620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276225</xdr:colOff>
      <xdr:row>25</xdr:row>
      <xdr:rowOff>194129</xdr:rowOff>
    </xdr:from>
    <xdr:to>
      <xdr:col>17</xdr:col>
      <xdr:colOff>67582</xdr:colOff>
      <xdr:row>25</xdr:row>
      <xdr:rowOff>194129</xdr:rowOff>
    </xdr:to>
    <xdr:cxnSp macro="">
      <xdr:nvCxnSpPr>
        <xdr:cNvPr id="2071" name="SCHEMA_T02_TERRA_09_1">
          <a:extLst>
            <a:ext uri="{FF2B5EF4-FFF2-40B4-BE49-F238E27FC236}">
              <a16:creationId xmlns:a16="http://schemas.microsoft.com/office/drawing/2014/main" id="{FE6B3C65-25B8-E258-F8D7-4F7505125731}"/>
            </a:ext>
          </a:extLst>
        </xdr:cNvPr>
        <xdr:cNvCxnSpPr/>
      </xdr:nvCxnSpPr>
      <xdr:spPr>
        <a:xfrm>
          <a:off x="6943725" y="7188200"/>
          <a:ext cx="1270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295275</xdr:colOff>
      <xdr:row>25</xdr:row>
      <xdr:rowOff>222069</xdr:rowOff>
    </xdr:from>
    <xdr:to>
      <xdr:col>17</xdr:col>
      <xdr:colOff>48532</xdr:colOff>
      <xdr:row>25</xdr:row>
      <xdr:rowOff>222069</xdr:rowOff>
    </xdr:to>
    <xdr:cxnSp macro="">
      <xdr:nvCxnSpPr>
        <xdr:cNvPr id="2072" name="SCHEMA_T02_TERRA_09_2">
          <a:extLst>
            <a:ext uri="{FF2B5EF4-FFF2-40B4-BE49-F238E27FC236}">
              <a16:creationId xmlns:a16="http://schemas.microsoft.com/office/drawing/2014/main" id="{1F8DD202-45D6-4C4F-F5CC-256F50C8D8BB}"/>
            </a:ext>
          </a:extLst>
        </xdr:cNvPr>
        <xdr:cNvCxnSpPr/>
      </xdr:nvCxnSpPr>
      <xdr:spPr>
        <a:xfrm>
          <a:off x="6962775" y="7216140"/>
          <a:ext cx="889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314325</xdr:colOff>
      <xdr:row>26</xdr:row>
      <xdr:rowOff>5080</xdr:rowOff>
    </xdr:from>
    <xdr:to>
      <xdr:col>17</xdr:col>
      <xdr:colOff>29482</xdr:colOff>
      <xdr:row>26</xdr:row>
      <xdr:rowOff>5080</xdr:rowOff>
    </xdr:to>
    <xdr:cxnSp macro="">
      <xdr:nvCxnSpPr>
        <xdr:cNvPr id="2073" name="SCHEMA_T02_TERRA_09_3">
          <a:extLst>
            <a:ext uri="{FF2B5EF4-FFF2-40B4-BE49-F238E27FC236}">
              <a16:creationId xmlns:a16="http://schemas.microsoft.com/office/drawing/2014/main" id="{86B4A535-7F19-4BA9-4C0B-89410B743B5C}"/>
            </a:ext>
          </a:extLst>
        </xdr:cNvPr>
        <xdr:cNvCxnSpPr/>
      </xdr:nvCxnSpPr>
      <xdr:spPr>
        <a:xfrm>
          <a:off x="6981825" y="7244080"/>
          <a:ext cx="508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321582</xdr:colOff>
      <xdr:row>25</xdr:row>
      <xdr:rowOff>117929</xdr:rowOff>
    </xdr:from>
    <xdr:to>
      <xdr:col>24</xdr:col>
      <xdr:colOff>321582</xdr:colOff>
      <xdr:row>25</xdr:row>
      <xdr:rowOff>194129</xdr:rowOff>
    </xdr:to>
    <xdr:cxnSp macro="">
      <xdr:nvCxnSpPr>
        <xdr:cNvPr id="2074" name="SCHEMA_T02_TERRA_13_V">
          <a:extLst>
            <a:ext uri="{FF2B5EF4-FFF2-40B4-BE49-F238E27FC236}">
              <a16:creationId xmlns:a16="http://schemas.microsoft.com/office/drawing/2014/main" id="{2C597336-6569-931D-CBE5-55E50796844A}"/>
            </a:ext>
          </a:extLst>
        </xdr:cNvPr>
        <xdr:cNvCxnSpPr/>
      </xdr:nvCxnSpPr>
      <xdr:spPr>
        <a:xfrm>
          <a:off x="9674225" y="7112000"/>
          <a:ext cx="0" cy="7620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258082</xdr:colOff>
      <xdr:row>25</xdr:row>
      <xdr:rowOff>194129</xdr:rowOff>
    </xdr:from>
    <xdr:to>
      <xdr:col>25</xdr:col>
      <xdr:colOff>49439</xdr:colOff>
      <xdr:row>25</xdr:row>
      <xdr:rowOff>194129</xdr:rowOff>
    </xdr:to>
    <xdr:cxnSp macro="">
      <xdr:nvCxnSpPr>
        <xdr:cNvPr id="2075" name="SCHEMA_T02_TERRA_13_1">
          <a:extLst>
            <a:ext uri="{FF2B5EF4-FFF2-40B4-BE49-F238E27FC236}">
              <a16:creationId xmlns:a16="http://schemas.microsoft.com/office/drawing/2014/main" id="{A7586F5A-7150-E890-AA81-353809386765}"/>
            </a:ext>
          </a:extLst>
        </xdr:cNvPr>
        <xdr:cNvCxnSpPr/>
      </xdr:nvCxnSpPr>
      <xdr:spPr>
        <a:xfrm>
          <a:off x="9610725" y="7188200"/>
          <a:ext cx="1270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277132</xdr:colOff>
      <xdr:row>25</xdr:row>
      <xdr:rowOff>222069</xdr:rowOff>
    </xdr:from>
    <xdr:to>
      <xdr:col>25</xdr:col>
      <xdr:colOff>30389</xdr:colOff>
      <xdr:row>25</xdr:row>
      <xdr:rowOff>222069</xdr:rowOff>
    </xdr:to>
    <xdr:cxnSp macro="">
      <xdr:nvCxnSpPr>
        <xdr:cNvPr id="2076" name="SCHEMA_T02_TERRA_13_2">
          <a:extLst>
            <a:ext uri="{FF2B5EF4-FFF2-40B4-BE49-F238E27FC236}">
              <a16:creationId xmlns:a16="http://schemas.microsoft.com/office/drawing/2014/main" id="{08F32A54-668C-C48D-E193-2CF571F9CD10}"/>
            </a:ext>
          </a:extLst>
        </xdr:cNvPr>
        <xdr:cNvCxnSpPr/>
      </xdr:nvCxnSpPr>
      <xdr:spPr>
        <a:xfrm>
          <a:off x="9629775" y="7216140"/>
          <a:ext cx="889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296182</xdr:colOff>
      <xdr:row>26</xdr:row>
      <xdr:rowOff>5080</xdr:rowOff>
    </xdr:from>
    <xdr:to>
      <xdr:col>25</xdr:col>
      <xdr:colOff>11339</xdr:colOff>
      <xdr:row>26</xdr:row>
      <xdr:rowOff>5080</xdr:rowOff>
    </xdr:to>
    <xdr:cxnSp macro="">
      <xdr:nvCxnSpPr>
        <xdr:cNvPr id="2077" name="SCHEMA_T02_TERRA_13_3">
          <a:extLst>
            <a:ext uri="{FF2B5EF4-FFF2-40B4-BE49-F238E27FC236}">
              <a16:creationId xmlns:a16="http://schemas.microsoft.com/office/drawing/2014/main" id="{703D3A9A-9C7B-51C7-EABE-74584385FB77}"/>
            </a:ext>
          </a:extLst>
        </xdr:cNvPr>
        <xdr:cNvCxnSpPr/>
      </xdr:nvCxnSpPr>
      <xdr:spPr>
        <a:xfrm>
          <a:off x="9648825" y="7244080"/>
          <a:ext cx="508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303439</xdr:colOff>
      <xdr:row>25</xdr:row>
      <xdr:rowOff>117929</xdr:rowOff>
    </xdr:from>
    <xdr:to>
      <xdr:col>32</xdr:col>
      <xdr:colOff>303439</xdr:colOff>
      <xdr:row>25</xdr:row>
      <xdr:rowOff>194129</xdr:rowOff>
    </xdr:to>
    <xdr:cxnSp macro="">
      <xdr:nvCxnSpPr>
        <xdr:cNvPr id="2078" name="SCHEMA_T02_TERRA_17_V">
          <a:extLst>
            <a:ext uri="{FF2B5EF4-FFF2-40B4-BE49-F238E27FC236}">
              <a16:creationId xmlns:a16="http://schemas.microsoft.com/office/drawing/2014/main" id="{08F0AF6E-1F3C-7F9F-BF9B-9B2A13D2D4C6}"/>
            </a:ext>
          </a:extLst>
        </xdr:cNvPr>
        <xdr:cNvCxnSpPr/>
      </xdr:nvCxnSpPr>
      <xdr:spPr>
        <a:xfrm>
          <a:off x="12341225" y="7112000"/>
          <a:ext cx="0" cy="7620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239939</xdr:colOff>
      <xdr:row>25</xdr:row>
      <xdr:rowOff>194129</xdr:rowOff>
    </xdr:from>
    <xdr:to>
      <xdr:col>33</xdr:col>
      <xdr:colOff>31296</xdr:colOff>
      <xdr:row>25</xdr:row>
      <xdr:rowOff>194129</xdr:rowOff>
    </xdr:to>
    <xdr:cxnSp macro="">
      <xdr:nvCxnSpPr>
        <xdr:cNvPr id="2079" name="SCHEMA_T02_TERRA_17_1">
          <a:extLst>
            <a:ext uri="{FF2B5EF4-FFF2-40B4-BE49-F238E27FC236}">
              <a16:creationId xmlns:a16="http://schemas.microsoft.com/office/drawing/2014/main" id="{849CA20C-D35D-EDDA-8FFF-29CDB207423F}"/>
            </a:ext>
          </a:extLst>
        </xdr:cNvPr>
        <xdr:cNvCxnSpPr/>
      </xdr:nvCxnSpPr>
      <xdr:spPr>
        <a:xfrm>
          <a:off x="12277725" y="7188200"/>
          <a:ext cx="1270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258989</xdr:colOff>
      <xdr:row>25</xdr:row>
      <xdr:rowOff>222069</xdr:rowOff>
    </xdr:from>
    <xdr:to>
      <xdr:col>33</xdr:col>
      <xdr:colOff>12246</xdr:colOff>
      <xdr:row>25</xdr:row>
      <xdr:rowOff>222069</xdr:rowOff>
    </xdr:to>
    <xdr:cxnSp macro="">
      <xdr:nvCxnSpPr>
        <xdr:cNvPr id="2080" name="SCHEMA_T02_TERRA_17_2">
          <a:extLst>
            <a:ext uri="{FF2B5EF4-FFF2-40B4-BE49-F238E27FC236}">
              <a16:creationId xmlns:a16="http://schemas.microsoft.com/office/drawing/2014/main" id="{6868921C-34D5-7BE0-8BD8-F90A854898B5}"/>
            </a:ext>
          </a:extLst>
        </xdr:cNvPr>
        <xdr:cNvCxnSpPr/>
      </xdr:nvCxnSpPr>
      <xdr:spPr>
        <a:xfrm>
          <a:off x="12296775" y="7216140"/>
          <a:ext cx="889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278039</xdr:colOff>
      <xdr:row>26</xdr:row>
      <xdr:rowOff>5080</xdr:rowOff>
    </xdr:from>
    <xdr:to>
      <xdr:col>32</xdr:col>
      <xdr:colOff>328839</xdr:colOff>
      <xdr:row>26</xdr:row>
      <xdr:rowOff>5080</xdr:rowOff>
    </xdr:to>
    <xdr:cxnSp macro="">
      <xdr:nvCxnSpPr>
        <xdr:cNvPr id="2081" name="SCHEMA_T02_TERRA_17_3">
          <a:extLst>
            <a:ext uri="{FF2B5EF4-FFF2-40B4-BE49-F238E27FC236}">
              <a16:creationId xmlns:a16="http://schemas.microsoft.com/office/drawing/2014/main" id="{BEE049F9-6E1A-E5B0-D48D-951B379AC9A8}"/>
            </a:ext>
          </a:extLst>
        </xdr:cNvPr>
        <xdr:cNvCxnSpPr/>
      </xdr:nvCxnSpPr>
      <xdr:spPr>
        <a:xfrm>
          <a:off x="12315825" y="7244080"/>
          <a:ext cx="508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285296</xdr:colOff>
      <xdr:row>25</xdr:row>
      <xdr:rowOff>117929</xdr:rowOff>
    </xdr:from>
    <xdr:to>
      <xdr:col>40</xdr:col>
      <xdr:colOff>285296</xdr:colOff>
      <xdr:row>25</xdr:row>
      <xdr:rowOff>194129</xdr:rowOff>
    </xdr:to>
    <xdr:cxnSp macro="">
      <xdr:nvCxnSpPr>
        <xdr:cNvPr id="2082" name="SCHEMA_T02_TERRA_21_V">
          <a:extLst>
            <a:ext uri="{FF2B5EF4-FFF2-40B4-BE49-F238E27FC236}">
              <a16:creationId xmlns:a16="http://schemas.microsoft.com/office/drawing/2014/main" id="{5A7677DD-C71C-6C12-3D32-9A3CA891287C}"/>
            </a:ext>
          </a:extLst>
        </xdr:cNvPr>
        <xdr:cNvCxnSpPr/>
      </xdr:nvCxnSpPr>
      <xdr:spPr>
        <a:xfrm>
          <a:off x="15008225" y="7112000"/>
          <a:ext cx="0" cy="7620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221796</xdr:colOff>
      <xdr:row>25</xdr:row>
      <xdr:rowOff>194129</xdr:rowOff>
    </xdr:from>
    <xdr:to>
      <xdr:col>41</xdr:col>
      <xdr:colOff>13154</xdr:colOff>
      <xdr:row>25</xdr:row>
      <xdr:rowOff>194129</xdr:rowOff>
    </xdr:to>
    <xdr:cxnSp macro="">
      <xdr:nvCxnSpPr>
        <xdr:cNvPr id="2083" name="SCHEMA_T02_TERRA_21_1">
          <a:extLst>
            <a:ext uri="{FF2B5EF4-FFF2-40B4-BE49-F238E27FC236}">
              <a16:creationId xmlns:a16="http://schemas.microsoft.com/office/drawing/2014/main" id="{54FEEC6F-F451-5BD3-59AE-3C5ABD16D09B}"/>
            </a:ext>
          </a:extLst>
        </xdr:cNvPr>
        <xdr:cNvCxnSpPr/>
      </xdr:nvCxnSpPr>
      <xdr:spPr>
        <a:xfrm>
          <a:off x="14944725" y="7188200"/>
          <a:ext cx="1270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240846</xdr:colOff>
      <xdr:row>25</xdr:row>
      <xdr:rowOff>222069</xdr:rowOff>
    </xdr:from>
    <xdr:to>
      <xdr:col>40</xdr:col>
      <xdr:colOff>329746</xdr:colOff>
      <xdr:row>25</xdr:row>
      <xdr:rowOff>222069</xdr:rowOff>
    </xdr:to>
    <xdr:cxnSp macro="">
      <xdr:nvCxnSpPr>
        <xdr:cNvPr id="2084" name="SCHEMA_T02_TERRA_21_2">
          <a:extLst>
            <a:ext uri="{FF2B5EF4-FFF2-40B4-BE49-F238E27FC236}">
              <a16:creationId xmlns:a16="http://schemas.microsoft.com/office/drawing/2014/main" id="{07CF5A06-FA11-A0E6-BFC0-DB74F6DBAC21}"/>
            </a:ext>
          </a:extLst>
        </xdr:cNvPr>
        <xdr:cNvCxnSpPr/>
      </xdr:nvCxnSpPr>
      <xdr:spPr>
        <a:xfrm>
          <a:off x="14963775" y="7216140"/>
          <a:ext cx="889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259896</xdr:colOff>
      <xdr:row>26</xdr:row>
      <xdr:rowOff>5080</xdr:rowOff>
    </xdr:from>
    <xdr:to>
      <xdr:col>40</xdr:col>
      <xdr:colOff>310696</xdr:colOff>
      <xdr:row>26</xdr:row>
      <xdr:rowOff>5080</xdr:rowOff>
    </xdr:to>
    <xdr:cxnSp macro="">
      <xdr:nvCxnSpPr>
        <xdr:cNvPr id="2085" name="SCHEMA_T02_TERRA_21_3">
          <a:extLst>
            <a:ext uri="{FF2B5EF4-FFF2-40B4-BE49-F238E27FC236}">
              <a16:creationId xmlns:a16="http://schemas.microsoft.com/office/drawing/2014/main" id="{C2EFDB77-B21F-0B82-B889-20E864B33C03}"/>
            </a:ext>
          </a:extLst>
        </xdr:cNvPr>
        <xdr:cNvCxnSpPr/>
      </xdr:nvCxnSpPr>
      <xdr:spPr>
        <a:xfrm>
          <a:off x="14982825" y="7244080"/>
          <a:ext cx="508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276225</xdr:colOff>
      <xdr:row>25</xdr:row>
      <xdr:rowOff>117929</xdr:rowOff>
    </xdr:from>
    <xdr:to>
      <xdr:col>44</xdr:col>
      <xdr:colOff>276225</xdr:colOff>
      <xdr:row>25</xdr:row>
      <xdr:rowOff>194129</xdr:rowOff>
    </xdr:to>
    <xdr:cxnSp macro="">
      <xdr:nvCxnSpPr>
        <xdr:cNvPr id="2086" name="SCHEMA_T02_TERRA_23_V">
          <a:extLst>
            <a:ext uri="{FF2B5EF4-FFF2-40B4-BE49-F238E27FC236}">
              <a16:creationId xmlns:a16="http://schemas.microsoft.com/office/drawing/2014/main" id="{1337BDFC-9F27-3799-9032-EDDD7D0154E0}"/>
            </a:ext>
          </a:extLst>
        </xdr:cNvPr>
        <xdr:cNvCxnSpPr/>
      </xdr:nvCxnSpPr>
      <xdr:spPr>
        <a:xfrm>
          <a:off x="16341725" y="7112000"/>
          <a:ext cx="0" cy="7620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212725</xdr:colOff>
      <xdr:row>25</xdr:row>
      <xdr:rowOff>194129</xdr:rowOff>
    </xdr:from>
    <xdr:to>
      <xdr:col>45</xdr:col>
      <xdr:colOff>4082</xdr:colOff>
      <xdr:row>25</xdr:row>
      <xdr:rowOff>194129</xdr:rowOff>
    </xdr:to>
    <xdr:cxnSp macro="">
      <xdr:nvCxnSpPr>
        <xdr:cNvPr id="2087" name="SCHEMA_T02_TERRA_23_1">
          <a:extLst>
            <a:ext uri="{FF2B5EF4-FFF2-40B4-BE49-F238E27FC236}">
              <a16:creationId xmlns:a16="http://schemas.microsoft.com/office/drawing/2014/main" id="{66A61C97-5D05-3C05-0060-F81E99F57DF9}"/>
            </a:ext>
          </a:extLst>
        </xdr:cNvPr>
        <xdr:cNvCxnSpPr/>
      </xdr:nvCxnSpPr>
      <xdr:spPr>
        <a:xfrm>
          <a:off x="16278225" y="7188200"/>
          <a:ext cx="1270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231775</xdr:colOff>
      <xdr:row>25</xdr:row>
      <xdr:rowOff>222069</xdr:rowOff>
    </xdr:from>
    <xdr:to>
      <xdr:col>44</xdr:col>
      <xdr:colOff>320675</xdr:colOff>
      <xdr:row>25</xdr:row>
      <xdr:rowOff>222069</xdr:rowOff>
    </xdr:to>
    <xdr:cxnSp macro="">
      <xdr:nvCxnSpPr>
        <xdr:cNvPr id="2088" name="SCHEMA_T02_TERRA_23_2">
          <a:extLst>
            <a:ext uri="{FF2B5EF4-FFF2-40B4-BE49-F238E27FC236}">
              <a16:creationId xmlns:a16="http://schemas.microsoft.com/office/drawing/2014/main" id="{B39D54AD-8127-9D57-EE2C-C3899A8E9609}"/>
            </a:ext>
          </a:extLst>
        </xdr:cNvPr>
        <xdr:cNvCxnSpPr/>
      </xdr:nvCxnSpPr>
      <xdr:spPr>
        <a:xfrm>
          <a:off x="16297275" y="7216140"/>
          <a:ext cx="889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250825</xdr:colOff>
      <xdr:row>26</xdr:row>
      <xdr:rowOff>5080</xdr:rowOff>
    </xdr:from>
    <xdr:to>
      <xdr:col>44</xdr:col>
      <xdr:colOff>301625</xdr:colOff>
      <xdr:row>26</xdr:row>
      <xdr:rowOff>5080</xdr:rowOff>
    </xdr:to>
    <xdr:cxnSp macro="">
      <xdr:nvCxnSpPr>
        <xdr:cNvPr id="2089" name="SCHEMA_T02_TERRA_23_3">
          <a:extLst>
            <a:ext uri="{FF2B5EF4-FFF2-40B4-BE49-F238E27FC236}">
              <a16:creationId xmlns:a16="http://schemas.microsoft.com/office/drawing/2014/main" id="{DFA2F80D-9AD8-E998-C72F-A2DD2CFBC670}"/>
            </a:ext>
          </a:extLst>
        </xdr:cNvPr>
        <xdr:cNvCxnSpPr/>
      </xdr:nvCxnSpPr>
      <xdr:spPr>
        <a:xfrm>
          <a:off x="16316325" y="7244080"/>
          <a:ext cx="508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97518</xdr:colOff>
      <xdr:row>10</xdr:row>
      <xdr:rowOff>86632</xdr:rowOff>
    </xdr:from>
    <xdr:to>
      <xdr:col>3</xdr:col>
      <xdr:colOff>124732</xdr:colOff>
      <xdr:row>10</xdr:row>
      <xdr:rowOff>239032</xdr:rowOff>
    </xdr:to>
    <xdr:sp macro="" textlink="">
      <xdr:nvSpPr>
        <xdr:cNvPr id="2090" name="SCHEMA_T02_LEG_OPGW">
          <a:extLst>
            <a:ext uri="{FF2B5EF4-FFF2-40B4-BE49-F238E27FC236}">
              <a16:creationId xmlns:a16="http://schemas.microsoft.com/office/drawing/2014/main" id="{BA8C874C-19A8-C529-53D3-A8C4280096EF}"/>
            </a:ext>
          </a:extLst>
        </xdr:cNvPr>
        <xdr:cNvSpPr txBox="1"/>
      </xdr:nvSpPr>
      <xdr:spPr>
        <a:xfrm>
          <a:off x="1730375" y="3406775"/>
          <a:ext cx="6985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s-ES" sz="650" b="1">
              <a:solidFill>
                <a:srgbClr val="00A651"/>
              </a:solidFill>
            </a:rPr>
            <a:t>OPGW</a:t>
          </a:r>
        </a:p>
      </xdr:txBody>
    </xdr:sp>
    <xdr:clientData/>
  </xdr:twoCellAnchor>
  <xdr:twoCellAnchor>
    <xdr:from>
      <xdr:col>1</xdr:col>
      <xdr:colOff>97518</xdr:colOff>
      <xdr:row>10</xdr:row>
      <xdr:rowOff>239032</xdr:rowOff>
    </xdr:from>
    <xdr:to>
      <xdr:col>3</xdr:col>
      <xdr:colOff>124732</xdr:colOff>
      <xdr:row>11</xdr:row>
      <xdr:rowOff>146504</xdr:rowOff>
    </xdr:to>
    <xdr:sp macro="" textlink="">
      <xdr:nvSpPr>
        <xdr:cNvPr id="2091" name="SCHEMA_T02_LEG_C1">
          <a:extLst>
            <a:ext uri="{FF2B5EF4-FFF2-40B4-BE49-F238E27FC236}">
              <a16:creationId xmlns:a16="http://schemas.microsoft.com/office/drawing/2014/main" id="{38C72D6D-1813-BA18-5ADB-4615FE96EC0C}"/>
            </a:ext>
          </a:extLst>
        </xdr:cNvPr>
        <xdr:cNvSpPr txBox="1"/>
      </xdr:nvSpPr>
      <xdr:spPr>
        <a:xfrm>
          <a:off x="1730375" y="3559175"/>
          <a:ext cx="6985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s-ES" sz="650" b="0">
              <a:solidFill>
                <a:srgbClr val="ED1C24"/>
              </a:solidFill>
            </a:rPr>
            <a:t>CIRCUITO 1</a:t>
          </a:r>
        </a:p>
      </xdr:txBody>
    </xdr:sp>
    <xdr:clientData/>
  </xdr:twoCellAnchor>
  <xdr:twoCellAnchor>
    <xdr:from>
      <xdr:col>1</xdr:col>
      <xdr:colOff>97518</xdr:colOff>
      <xdr:row>11</xdr:row>
      <xdr:rowOff>146504</xdr:rowOff>
    </xdr:from>
    <xdr:to>
      <xdr:col>3</xdr:col>
      <xdr:colOff>124732</xdr:colOff>
      <xdr:row>12</xdr:row>
      <xdr:rowOff>53975</xdr:rowOff>
    </xdr:to>
    <xdr:sp macro="" textlink="">
      <xdr:nvSpPr>
        <xdr:cNvPr id="2092" name="SCHEMA_T02_LEG_C2">
          <a:extLst>
            <a:ext uri="{FF2B5EF4-FFF2-40B4-BE49-F238E27FC236}">
              <a16:creationId xmlns:a16="http://schemas.microsoft.com/office/drawing/2014/main" id="{986E2069-3F36-A390-97E7-609A54BEB2A3}"/>
            </a:ext>
          </a:extLst>
        </xdr:cNvPr>
        <xdr:cNvSpPr txBox="1"/>
      </xdr:nvSpPr>
      <xdr:spPr>
        <a:xfrm>
          <a:off x="1730375" y="3711575"/>
          <a:ext cx="6985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s-ES" sz="650" b="0">
              <a:solidFill>
                <a:srgbClr val="315A9B"/>
              </a:solidFill>
            </a:rPr>
            <a:t>CIRCUITO 2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428750" cy="47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absoluteAnchor>
    <xdr:pos x="762000" y="6229350"/>
    <xdr:ext cx="929386" cy="660400"/>
    <xdr:pic>
      <xdr:nvPicPr>
        <xdr:cNvPr id="3" name="MACCHINA_FRENO_T03">
          <a:extLst>
            <a:ext uri="{FF2B5EF4-FFF2-40B4-BE49-F238E27FC236}">
              <a16:creationId xmlns:a16="http://schemas.microsoft.com/office/drawing/2014/main" id="{FBA31C53-25B4-2A76-3EBC-C1480B08F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6229350"/>
          <a:ext cx="926211" cy="657225"/>
        </a:xfrm>
        <a:prstGeom prst="rect">
          <a:avLst/>
        </a:prstGeom>
      </xdr:spPr>
    </xdr:pic>
    <xdr:clientData/>
  </xdr:absoluteAnchor>
  <xdr:absoluteAnchor>
    <xdr:pos x="13911035" y="6542495"/>
    <xdr:ext cx="923036" cy="660400"/>
    <xdr:pic>
      <xdr:nvPicPr>
        <xdr:cNvPr id="333" name="MACCHINA_ARGANO_T03">
          <a:extLst>
            <a:ext uri="{FF2B5EF4-FFF2-40B4-BE49-F238E27FC236}">
              <a16:creationId xmlns:a16="http://schemas.microsoft.com/office/drawing/2014/main" id="{EE244DA9-E439-ACE7-D22F-A64C3B594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911035" y="6542495"/>
          <a:ext cx="923036" cy="660400"/>
        </a:xfrm>
        <a:prstGeom prst="rect">
          <a:avLst/>
        </a:prstGeom>
      </xdr:spPr>
    </xdr:pic>
    <xdr:clientData/>
  </xdr:absoluteAnchor>
  <xdr:absoluteAnchor>
    <xdr:pos x="2115273" y="3816350"/>
    <xdr:ext cx="415290" cy="508000"/>
    <xdr:pic>
      <xdr:nvPicPr>
        <xdr:cNvPr id="334" name="PAT_T03_1">
          <a:extLst>
            <a:ext uri="{FF2B5EF4-FFF2-40B4-BE49-F238E27FC236}">
              <a16:creationId xmlns:a16="http://schemas.microsoft.com/office/drawing/2014/main" id="{350F667A-1E1E-CFF8-7151-FB29E85D3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15273" y="3816350"/>
          <a:ext cx="415290" cy="508000"/>
        </a:xfrm>
        <a:prstGeom prst="rect">
          <a:avLst/>
        </a:prstGeom>
      </xdr:spPr>
    </xdr:pic>
    <xdr:clientData/>
  </xdr:absoluteAnchor>
  <xdr:absoluteAnchor>
    <xdr:pos x="4401273" y="3816350"/>
    <xdr:ext cx="415290" cy="508000"/>
    <xdr:pic>
      <xdr:nvPicPr>
        <xdr:cNvPr id="335" name="PAT_T03_4">
          <a:extLst>
            <a:ext uri="{FF2B5EF4-FFF2-40B4-BE49-F238E27FC236}">
              <a16:creationId xmlns:a16="http://schemas.microsoft.com/office/drawing/2014/main" id="{F1770A5B-408F-DCF0-5003-555A28754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01273" y="3816350"/>
          <a:ext cx="415290" cy="508000"/>
        </a:xfrm>
        <a:prstGeom prst="rect">
          <a:avLst/>
        </a:prstGeom>
      </xdr:spPr>
    </xdr:pic>
    <xdr:clientData/>
  </xdr:absoluteAnchor>
  <xdr:absoluteAnchor>
    <xdr:pos x="6687273" y="3816350"/>
    <xdr:ext cx="415290" cy="508000"/>
    <xdr:pic>
      <xdr:nvPicPr>
        <xdr:cNvPr id="336" name="PAT_T03_7">
          <a:extLst>
            <a:ext uri="{FF2B5EF4-FFF2-40B4-BE49-F238E27FC236}">
              <a16:creationId xmlns:a16="http://schemas.microsoft.com/office/drawing/2014/main" id="{C3BA43C1-ECD1-0920-19C1-D1847319B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87273" y="3816350"/>
          <a:ext cx="415290" cy="508000"/>
        </a:xfrm>
        <a:prstGeom prst="rect">
          <a:avLst/>
        </a:prstGeom>
      </xdr:spPr>
    </xdr:pic>
    <xdr:clientData/>
  </xdr:absoluteAnchor>
  <xdr:absoluteAnchor>
    <xdr:pos x="8973273" y="3816350"/>
    <xdr:ext cx="415290" cy="508000"/>
    <xdr:pic>
      <xdr:nvPicPr>
        <xdr:cNvPr id="337" name="PAT_T03_10">
          <a:extLst>
            <a:ext uri="{FF2B5EF4-FFF2-40B4-BE49-F238E27FC236}">
              <a16:creationId xmlns:a16="http://schemas.microsoft.com/office/drawing/2014/main" id="{694268B3-4AB7-2861-EB44-634159EED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73273" y="3816350"/>
          <a:ext cx="415290" cy="508000"/>
        </a:xfrm>
        <a:prstGeom prst="rect">
          <a:avLst/>
        </a:prstGeom>
      </xdr:spPr>
    </xdr:pic>
    <xdr:clientData/>
  </xdr:absoluteAnchor>
  <xdr:absoluteAnchor>
    <xdr:pos x="11259273" y="3816350"/>
    <xdr:ext cx="415290" cy="508000"/>
    <xdr:pic>
      <xdr:nvPicPr>
        <xdr:cNvPr id="338" name="PAT_T03_13">
          <a:extLst>
            <a:ext uri="{FF2B5EF4-FFF2-40B4-BE49-F238E27FC236}">
              <a16:creationId xmlns:a16="http://schemas.microsoft.com/office/drawing/2014/main" id="{E95C8C66-4337-A110-7539-0A9E83B09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259273" y="3816350"/>
          <a:ext cx="415290" cy="508000"/>
        </a:xfrm>
        <a:prstGeom prst="rect">
          <a:avLst/>
        </a:prstGeom>
      </xdr:spPr>
    </xdr:pic>
    <xdr:clientData/>
  </xdr:absoluteAnchor>
  <xdr:absoluteAnchor>
    <xdr:pos x="13545273" y="3816350"/>
    <xdr:ext cx="415290" cy="508000"/>
    <xdr:pic>
      <xdr:nvPicPr>
        <xdr:cNvPr id="339" name="PAT_T03_16">
          <a:extLst>
            <a:ext uri="{FF2B5EF4-FFF2-40B4-BE49-F238E27FC236}">
              <a16:creationId xmlns:a16="http://schemas.microsoft.com/office/drawing/2014/main" id="{0E8892D4-C5D8-00BE-5230-D7DB42D9F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45273" y="3816350"/>
          <a:ext cx="415290" cy="508000"/>
        </a:xfrm>
        <a:prstGeom prst="rect">
          <a:avLst/>
        </a:prstGeom>
      </xdr:spPr>
    </xdr:pic>
    <xdr:clientData/>
  </xdr:absoluteAnchor>
  <xdr:absoluteAnchor>
    <xdr:pos x="15831273" y="3816350"/>
    <xdr:ext cx="415290" cy="508000"/>
    <xdr:pic>
      <xdr:nvPicPr>
        <xdr:cNvPr id="340" name="PAT_T03_19">
          <a:extLst>
            <a:ext uri="{FF2B5EF4-FFF2-40B4-BE49-F238E27FC236}">
              <a16:creationId xmlns:a16="http://schemas.microsoft.com/office/drawing/2014/main" id="{DA5A30BD-7C02-5C98-350A-5C509940F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831273" y="3816350"/>
          <a:ext cx="415290" cy="508000"/>
        </a:xfrm>
        <a:prstGeom prst="rect">
          <a:avLst/>
        </a:prstGeom>
      </xdr:spPr>
    </xdr:pic>
    <xdr:clientData/>
  </xdr:absoluteAnchor>
  <xdr:twoCellAnchor>
    <xdr:from>
      <xdr:col>0</xdr:col>
      <xdr:colOff>1628775</xdr:colOff>
      <xdr:row>25</xdr:row>
      <xdr:rowOff>130629</xdr:rowOff>
    </xdr:from>
    <xdr:to>
      <xdr:col>38</xdr:col>
      <xdr:colOff>245382</xdr:colOff>
      <xdr:row>25</xdr:row>
      <xdr:rowOff>130629</xdr:rowOff>
    </xdr:to>
    <xdr:cxnSp macro="">
      <xdr:nvCxnSpPr>
        <xdr:cNvPr id="4" name="SCHEMA_T03_TERRENO">
          <a:extLst>
            <a:ext uri="{FF2B5EF4-FFF2-40B4-BE49-F238E27FC236}">
              <a16:creationId xmlns:a16="http://schemas.microsoft.com/office/drawing/2014/main" id="{4062FC79-0B2E-8936-9899-03B282FD57CB}"/>
            </a:ext>
          </a:extLst>
        </xdr:cNvPr>
        <xdr:cNvCxnSpPr/>
      </xdr:nvCxnSpPr>
      <xdr:spPr>
        <a:xfrm>
          <a:off x="1628775" y="7124700"/>
          <a:ext cx="12668250" cy="0"/>
        </a:xfrm>
        <a:prstGeom prst="line">
          <a:avLst/>
        </a:prstGeom>
        <a:ln w="15240">
          <a:solidFill>
            <a:srgbClr val="80808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1628775</xdr:colOff>
      <xdr:row>13</xdr:row>
      <xdr:rowOff>9388</xdr:rowOff>
    </xdr:from>
    <xdr:to>
      <xdr:col>1</xdr:col>
      <xdr:colOff>40368</xdr:colOff>
      <xdr:row>25</xdr:row>
      <xdr:rowOff>130629</xdr:rowOff>
    </xdr:to>
    <xdr:cxnSp macro="">
      <xdr:nvCxnSpPr>
        <xdr:cNvPr id="5" name="SCHEMA_T03_SOSTEGNO_01_SX">
          <a:extLst>
            <a:ext uri="{FF2B5EF4-FFF2-40B4-BE49-F238E27FC236}">
              <a16:creationId xmlns:a16="http://schemas.microsoft.com/office/drawing/2014/main" id="{F47BEAB6-58EE-78FA-D986-DC1B02062061}"/>
            </a:ext>
          </a:extLst>
        </xdr:cNvPr>
        <xdr:cNvCxnSpPr/>
      </xdr:nvCxnSpPr>
      <xdr:spPr>
        <a:xfrm flipV="1">
          <a:off x="1628775" y="4064317"/>
          <a:ext cx="44450" cy="3060383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40368</xdr:colOff>
      <xdr:row>13</xdr:row>
      <xdr:rowOff>9388</xdr:rowOff>
    </xdr:from>
    <xdr:to>
      <xdr:col>1</xdr:col>
      <xdr:colOff>84818</xdr:colOff>
      <xdr:row>25</xdr:row>
      <xdr:rowOff>130629</xdr:rowOff>
    </xdr:to>
    <xdr:cxnSp macro="">
      <xdr:nvCxnSpPr>
        <xdr:cNvPr id="6" name="SCHEMA_T03_SOSTEGNO_01_DX">
          <a:extLst>
            <a:ext uri="{FF2B5EF4-FFF2-40B4-BE49-F238E27FC236}">
              <a16:creationId xmlns:a16="http://schemas.microsoft.com/office/drawing/2014/main" id="{41A36A69-85A3-0906-A15F-197051BD2DF7}"/>
            </a:ext>
          </a:extLst>
        </xdr:cNvPr>
        <xdr:cNvCxnSpPr/>
      </xdr:nvCxnSpPr>
      <xdr:spPr>
        <a:xfrm flipH="1" flipV="1">
          <a:off x="1673225" y="4064317"/>
          <a:ext cx="44450" cy="3060383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1628775</xdr:colOff>
      <xdr:row>15</xdr:row>
      <xdr:rowOff>70401</xdr:rowOff>
    </xdr:from>
    <xdr:to>
      <xdr:col>1</xdr:col>
      <xdr:colOff>84818</xdr:colOff>
      <xdr:row>15</xdr:row>
      <xdr:rowOff>70401</xdr:rowOff>
    </xdr:to>
    <xdr:cxnSp macro="">
      <xdr:nvCxnSpPr>
        <xdr:cNvPr id="7" name="SCHEMA_T03_SOSTEGNO_01_TR1">
          <a:extLst>
            <a:ext uri="{FF2B5EF4-FFF2-40B4-BE49-F238E27FC236}">
              <a16:creationId xmlns:a16="http://schemas.microsoft.com/office/drawing/2014/main" id="{243C638E-4EFE-FE1A-0C6F-CC05531D8ECE}"/>
            </a:ext>
          </a:extLst>
        </xdr:cNvPr>
        <xdr:cNvCxnSpPr/>
      </xdr:nvCxnSpPr>
      <xdr:spPr>
        <a:xfrm>
          <a:off x="1628775" y="4615187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1628775</xdr:colOff>
      <xdr:row>16</xdr:row>
      <xdr:rowOff>192718</xdr:rowOff>
    </xdr:from>
    <xdr:to>
      <xdr:col>1</xdr:col>
      <xdr:colOff>84818</xdr:colOff>
      <xdr:row>16</xdr:row>
      <xdr:rowOff>192718</xdr:rowOff>
    </xdr:to>
    <xdr:cxnSp macro="">
      <xdr:nvCxnSpPr>
        <xdr:cNvPr id="8" name="SCHEMA_T03_SOSTEGNO_01_TR2">
          <a:extLst>
            <a:ext uri="{FF2B5EF4-FFF2-40B4-BE49-F238E27FC236}">
              <a16:creationId xmlns:a16="http://schemas.microsoft.com/office/drawing/2014/main" id="{E9A6518A-CBE1-3921-1101-F31A7A347DCB}"/>
            </a:ext>
          </a:extLst>
        </xdr:cNvPr>
        <xdr:cNvCxnSpPr/>
      </xdr:nvCxnSpPr>
      <xdr:spPr>
        <a:xfrm>
          <a:off x="1628775" y="4982432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1628775</xdr:colOff>
      <xdr:row>18</xdr:row>
      <xdr:rowOff>70107</xdr:rowOff>
    </xdr:from>
    <xdr:to>
      <xdr:col>1</xdr:col>
      <xdr:colOff>84818</xdr:colOff>
      <xdr:row>18</xdr:row>
      <xdr:rowOff>70107</xdr:rowOff>
    </xdr:to>
    <xdr:cxnSp macro="">
      <xdr:nvCxnSpPr>
        <xdr:cNvPr id="9" name="SCHEMA_T03_SOSTEGNO_01_TR3">
          <a:extLst>
            <a:ext uri="{FF2B5EF4-FFF2-40B4-BE49-F238E27FC236}">
              <a16:creationId xmlns:a16="http://schemas.microsoft.com/office/drawing/2014/main" id="{8F4894CD-0308-8535-7494-43AAC99537FF}"/>
            </a:ext>
          </a:extLst>
        </xdr:cNvPr>
        <xdr:cNvCxnSpPr/>
      </xdr:nvCxnSpPr>
      <xdr:spPr>
        <a:xfrm>
          <a:off x="1628775" y="5349678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327025</xdr:colOff>
      <xdr:row>14</xdr:row>
      <xdr:rowOff>27150</xdr:rowOff>
    </xdr:from>
    <xdr:to>
      <xdr:col>3</xdr:col>
      <xdr:colOff>35832</xdr:colOff>
      <xdr:row>25</xdr:row>
      <xdr:rowOff>130629</xdr:rowOff>
    </xdr:to>
    <xdr:cxnSp macro="">
      <xdr:nvCxnSpPr>
        <xdr:cNvPr id="10" name="SCHEMA_T03_SOSTEGNO_02_SX">
          <a:extLst>
            <a:ext uri="{FF2B5EF4-FFF2-40B4-BE49-F238E27FC236}">
              <a16:creationId xmlns:a16="http://schemas.microsoft.com/office/drawing/2014/main" id="{9A4E1E59-A3EE-0539-2C30-784E5F5B07DF}"/>
            </a:ext>
          </a:extLst>
        </xdr:cNvPr>
        <xdr:cNvCxnSpPr/>
      </xdr:nvCxnSpPr>
      <xdr:spPr>
        <a:xfrm flipV="1">
          <a:off x="2295525" y="4327007"/>
          <a:ext cx="44450" cy="2797693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35832</xdr:colOff>
      <xdr:row>14</xdr:row>
      <xdr:rowOff>27150</xdr:rowOff>
    </xdr:from>
    <xdr:to>
      <xdr:col>3</xdr:col>
      <xdr:colOff>80282</xdr:colOff>
      <xdr:row>25</xdr:row>
      <xdr:rowOff>130629</xdr:rowOff>
    </xdr:to>
    <xdr:cxnSp macro="">
      <xdr:nvCxnSpPr>
        <xdr:cNvPr id="11" name="SCHEMA_T03_SOSTEGNO_02_DX">
          <a:extLst>
            <a:ext uri="{FF2B5EF4-FFF2-40B4-BE49-F238E27FC236}">
              <a16:creationId xmlns:a16="http://schemas.microsoft.com/office/drawing/2014/main" id="{41238E32-0B3E-2C1B-443C-D3376D719E92}"/>
            </a:ext>
          </a:extLst>
        </xdr:cNvPr>
        <xdr:cNvCxnSpPr/>
      </xdr:nvCxnSpPr>
      <xdr:spPr>
        <a:xfrm flipH="1" flipV="1">
          <a:off x="2339975" y="4327007"/>
          <a:ext cx="44450" cy="2797693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327025</xdr:colOff>
      <xdr:row>16</xdr:row>
      <xdr:rowOff>40878</xdr:rowOff>
    </xdr:from>
    <xdr:to>
      <xdr:col>3</xdr:col>
      <xdr:colOff>80282</xdr:colOff>
      <xdr:row>16</xdr:row>
      <xdr:rowOff>40878</xdr:rowOff>
    </xdr:to>
    <xdr:cxnSp macro="">
      <xdr:nvCxnSpPr>
        <xdr:cNvPr id="12" name="SCHEMA_T03_SOSTEGNO_02_TR1">
          <a:extLst>
            <a:ext uri="{FF2B5EF4-FFF2-40B4-BE49-F238E27FC236}">
              <a16:creationId xmlns:a16="http://schemas.microsoft.com/office/drawing/2014/main" id="{D23810CB-3F21-2F07-1110-D9CCB18D299A}"/>
            </a:ext>
          </a:extLst>
        </xdr:cNvPr>
        <xdr:cNvCxnSpPr/>
      </xdr:nvCxnSpPr>
      <xdr:spPr>
        <a:xfrm>
          <a:off x="2295525" y="4830592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327025</xdr:colOff>
      <xdr:row>17</xdr:row>
      <xdr:rowOff>131672</xdr:rowOff>
    </xdr:from>
    <xdr:to>
      <xdr:col>3</xdr:col>
      <xdr:colOff>80282</xdr:colOff>
      <xdr:row>17</xdr:row>
      <xdr:rowOff>131672</xdr:rowOff>
    </xdr:to>
    <xdr:cxnSp macro="">
      <xdr:nvCxnSpPr>
        <xdr:cNvPr id="13" name="SCHEMA_T03_SOSTEGNO_02_TR2">
          <a:extLst>
            <a:ext uri="{FF2B5EF4-FFF2-40B4-BE49-F238E27FC236}">
              <a16:creationId xmlns:a16="http://schemas.microsoft.com/office/drawing/2014/main" id="{5DF08F5F-0AE8-31F7-B705-BDAFAEE82763}"/>
            </a:ext>
          </a:extLst>
        </xdr:cNvPr>
        <xdr:cNvCxnSpPr/>
      </xdr:nvCxnSpPr>
      <xdr:spPr>
        <a:xfrm>
          <a:off x="2295525" y="5166315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327025</xdr:colOff>
      <xdr:row>18</xdr:row>
      <xdr:rowOff>222467</xdr:rowOff>
    </xdr:from>
    <xdr:to>
      <xdr:col>3</xdr:col>
      <xdr:colOff>80282</xdr:colOff>
      <xdr:row>18</xdr:row>
      <xdr:rowOff>222467</xdr:rowOff>
    </xdr:to>
    <xdr:cxnSp macro="">
      <xdr:nvCxnSpPr>
        <xdr:cNvPr id="14" name="SCHEMA_T03_SOSTEGNO_02_TR3">
          <a:extLst>
            <a:ext uri="{FF2B5EF4-FFF2-40B4-BE49-F238E27FC236}">
              <a16:creationId xmlns:a16="http://schemas.microsoft.com/office/drawing/2014/main" id="{4FCC58E7-D0AA-7C5C-C8F5-E57697931E24}"/>
            </a:ext>
          </a:extLst>
        </xdr:cNvPr>
        <xdr:cNvCxnSpPr/>
      </xdr:nvCxnSpPr>
      <xdr:spPr>
        <a:xfrm>
          <a:off x="2295525" y="5502038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322489</xdr:colOff>
      <xdr:row>16</xdr:row>
      <xdr:rowOff>11276</xdr:rowOff>
    </xdr:from>
    <xdr:to>
      <xdr:col>5</xdr:col>
      <xdr:colOff>31296</xdr:colOff>
      <xdr:row>25</xdr:row>
      <xdr:rowOff>130629</xdr:rowOff>
    </xdr:to>
    <xdr:cxnSp macro="">
      <xdr:nvCxnSpPr>
        <xdr:cNvPr id="15" name="SCHEMA_T03_SOSTEGNO_03_SX">
          <a:extLst>
            <a:ext uri="{FF2B5EF4-FFF2-40B4-BE49-F238E27FC236}">
              <a16:creationId xmlns:a16="http://schemas.microsoft.com/office/drawing/2014/main" id="{52279C8C-AEB9-6FD1-F9DE-6F9439BB44DB}"/>
            </a:ext>
          </a:extLst>
        </xdr:cNvPr>
        <xdr:cNvCxnSpPr/>
      </xdr:nvCxnSpPr>
      <xdr:spPr>
        <a:xfrm flipV="1">
          <a:off x="2962275" y="4800990"/>
          <a:ext cx="44450" cy="2323710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31296</xdr:colOff>
      <xdr:row>16</xdr:row>
      <xdr:rowOff>11276</xdr:rowOff>
    </xdr:from>
    <xdr:to>
      <xdr:col>5</xdr:col>
      <xdr:colOff>75746</xdr:colOff>
      <xdr:row>25</xdr:row>
      <xdr:rowOff>130629</xdr:rowOff>
    </xdr:to>
    <xdr:cxnSp macro="">
      <xdr:nvCxnSpPr>
        <xdr:cNvPr id="16" name="SCHEMA_T03_SOSTEGNO_03_DX">
          <a:extLst>
            <a:ext uri="{FF2B5EF4-FFF2-40B4-BE49-F238E27FC236}">
              <a16:creationId xmlns:a16="http://schemas.microsoft.com/office/drawing/2014/main" id="{C5F05C16-B5E2-A14C-957E-D86017F8EE43}"/>
            </a:ext>
          </a:extLst>
        </xdr:cNvPr>
        <xdr:cNvCxnSpPr/>
      </xdr:nvCxnSpPr>
      <xdr:spPr>
        <a:xfrm flipH="1" flipV="1">
          <a:off x="3006725" y="4800990"/>
          <a:ext cx="44450" cy="2323710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322489</xdr:colOff>
      <xdr:row>17</xdr:row>
      <xdr:rowOff>184614</xdr:rowOff>
    </xdr:from>
    <xdr:to>
      <xdr:col>5</xdr:col>
      <xdr:colOff>75746</xdr:colOff>
      <xdr:row>17</xdr:row>
      <xdr:rowOff>184614</xdr:rowOff>
    </xdr:to>
    <xdr:cxnSp macro="">
      <xdr:nvCxnSpPr>
        <xdr:cNvPr id="17" name="SCHEMA_T03_SOSTEGNO_03_TR1">
          <a:extLst>
            <a:ext uri="{FF2B5EF4-FFF2-40B4-BE49-F238E27FC236}">
              <a16:creationId xmlns:a16="http://schemas.microsoft.com/office/drawing/2014/main" id="{00069FEE-4D50-FE71-6974-FBD4ED5B9972}"/>
            </a:ext>
          </a:extLst>
        </xdr:cNvPr>
        <xdr:cNvCxnSpPr/>
      </xdr:nvCxnSpPr>
      <xdr:spPr>
        <a:xfrm>
          <a:off x="2962275" y="5219257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322489</xdr:colOff>
      <xdr:row>18</xdr:row>
      <xdr:rowOff>218532</xdr:rowOff>
    </xdr:from>
    <xdr:to>
      <xdr:col>5</xdr:col>
      <xdr:colOff>75746</xdr:colOff>
      <xdr:row>18</xdr:row>
      <xdr:rowOff>218532</xdr:rowOff>
    </xdr:to>
    <xdr:cxnSp macro="">
      <xdr:nvCxnSpPr>
        <xdr:cNvPr id="18" name="SCHEMA_T03_SOSTEGNO_03_TR2">
          <a:extLst>
            <a:ext uri="{FF2B5EF4-FFF2-40B4-BE49-F238E27FC236}">
              <a16:creationId xmlns:a16="http://schemas.microsoft.com/office/drawing/2014/main" id="{9C9B6938-204E-DF89-0A50-5A9A7EF65984}"/>
            </a:ext>
          </a:extLst>
        </xdr:cNvPr>
        <xdr:cNvCxnSpPr/>
      </xdr:nvCxnSpPr>
      <xdr:spPr>
        <a:xfrm>
          <a:off x="2962275" y="5498103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322489</xdr:colOff>
      <xdr:row>20</xdr:row>
      <xdr:rowOff>7519</xdr:rowOff>
    </xdr:from>
    <xdr:to>
      <xdr:col>5</xdr:col>
      <xdr:colOff>75746</xdr:colOff>
      <xdr:row>20</xdr:row>
      <xdr:rowOff>7519</xdr:rowOff>
    </xdr:to>
    <xdr:cxnSp macro="">
      <xdr:nvCxnSpPr>
        <xdr:cNvPr id="19" name="SCHEMA_T03_SOSTEGNO_03_TR3">
          <a:extLst>
            <a:ext uri="{FF2B5EF4-FFF2-40B4-BE49-F238E27FC236}">
              <a16:creationId xmlns:a16="http://schemas.microsoft.com/office/drawing/2014/main" id="{AC90DAE0-7019-7C90-A16F-1B65A6AB0C30}"/>
            </a:ext>
          </a:extLst>
        </xdr:cNvPr>
        <xdr:cNvCxnSpPr/>
      </xdr:nvCxnSpPr>
      <xdr:spPr>
        <a:xfrm>
          <a:off x="2962275" y="5776948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317954</xdr:colOff>
      <xdr:row>15</xdr:row>
      <xdr:rowOff>96306</xdr:rowOff>
    </xdr:from>
    <xdr:to>
      <xdr:col>7</xdr:col>
      <xdr:colOff>26761</xdr:colOff>
      <xdr:row>25</xdr:row>
      <xdr:rowOff>130629</xdr:rowOff>
    </xdr:to>
    <xdr:cxnSp macro="">
      <xdr:nvCxnSpPr>
        <xdr:cNvPr id="20" name="SCHEMA_T03_SOSTEGNO_04_SX">
          <a:extLst>
            <a:ext uri="{FF2B5EF4-FFF2-40B4-BE49-F238E27FC236}">
              <a16:creationId xmlns:a16="http://schemas.microsoft.com/office/drawing/2014/main" id="{B04323BD-4E2B-535D-9AB6-CBFCEFEBA3B7}"/>
            </a:ext>
          </a:extLst>
        </xdr:cNvPr>
        <xdr:cNvCxnSpPr/>
      </xdr:nvCxnSpPr>
      <xdr:spPr>
        <a:xfrm flipV="1">
          <a:off x="3629025" y="4641092"/>
          <a:ext cx="44450" cy="2483608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26761</xdr:colOff>
      <xdr:row>15</xdr:row>
      <xdr:rowOff>96306</xdr:rowOff>
    </xdr:from>
    <xdr:to>
      <xdr:col>7</xdr:col>
      <xdr:colOff>71211</xdr:colOff>
      <xdr:row>25</xdr:row>
      <xdr:rowOff>130629</xdr:rowOff>
    </xdr:to>
    <xdr:cxnSp macro="">
      <xdr:nvCxnSpPr>
        <xdr:cNvPr id="21" name="SCHEMA_T03_SOSTEGNO_04_DX">
          <a:extLst>
            <a:ext uri="{FF2B5EF4-FFF2-40B4-BE49-F238E27FC236}">
              <a16:creationId xmlns:a16="http://schemas.microsoft.com/office/drawing/2014/main" id="{F8539DEF-3ACF-4837-2873-E10E810AB9D3}"/>
            </a:ext>
          </a:extLst>
        </xdr:cNvPr>
        <xdr:cNvCxnSpPr/>
      </xdr:nvCxnSpPr>
      <xdr:spPr>
        <a:xfrm flipH="1" flipV="1">
          <a:off x="3673475" y="4641092"/>
          <a:ext cx="44450" cy="2483608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317954</xdr:colOff>
      <xdr:row>17</xdr:row>
      <xdr:rowOff>53498</xdr:rowOff>
    </xdr:from>
    <xdr:to>
      <xdr:col>7</xdr:col>
      <xdr:colOff>71211</xdr:colOff>
      <xdr:row>17</xdr:row>
      <xdr:rowOff>53498</xdr:rowOff>
    </xdr:to>
    <xdr:cxnSp macro="">
      <xdr:nvCxnSpPr>
        <xdr:cNvPr id="22" name="SCHEMA_T03_SOSTEGNO_04_TR1">
          <a:extLst>
            <a:ext uri="{FF2B5EF4-FFF2-40B4-BE49-F238E27FC236}">
              <a16:creationId xmlns:a16="http://schemas.microsoft.com/office/drawing/2014/main" id="{6524F8C9-9CD5-D142-2B57-504C7D3FDE13}"/>
            </a:ext>
          </a:extLst>
        </xdr:cNvPr>
        <xdr:cNvCxnSpPr/>
      </xdr:nvCxnSpPr>
      <xdr:spPr>
        <a:xfrm>
          <a:off x="3629025" y="5088141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317954</xdr:colOff>
      <xdr:row>18</xdr:row>
      <xdr:rowOff>106603</xdr:rowOff>
    </xdr:from>
    <xdr:to>
      <xdr:col>7</xdr:col>
      <xdr:colOff>71211</xdr:colOff>
      <xdr:row>18</xdr:row>
      <xdr:rowOff>106603</xdr:rowOff>
    </xdr:to>
    <xdr:cxnSp macro="">
      <xdr:nvCxnSpPr>
        <xdr:cNvPr id="23" name="SCHEMA_T03_SOSTEGNO_04_TR2">
          <a:extLst>
            <a:ext uri="{FF2B5EF4-FFF2-40B4-BE49-F238E27FC236}">
              <a16:creationId xmlns:a16="http://schemas.microsoft.com/office/drawing/2014/main" id="{5D09808B-8B5C-D440-5380-7A98993ACB81}"/>
            </a:ext>
          </a:extLst>
        </xdr:cNvPr>
        <xdr:cNvCxnSpPr/>
      </xdr:nvCxnSpPr>
      <xdr:spPr>
        <a:xfrm>
          <a:off x="3629025" y="5386174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317954</xdr:colOff>
      <xdr:row>19</xdr:row>
      <xdr:rowOff>159707</xdr:rowOff>
    </xdr:from>
    <xdr:to>
      <xdr:col>7</xdr:col>
      <xdr:colOff>71211</xdr:colOff>
      <xdr:row>19</xdr:row>
      <xdr:rowOff>159707</xdr:rowOff>
    </xdr:to>
    <xdr:cxnSp macro="">
      <xdr:nvCxnSpPr>
        <xdr:cNvPr id="24" name="SCHEMA_T03_SOSTEGNO_04_TR3">
          <a:extLst>
            <a:ext uri="{FF2B5EF4-FFF2-40B4-BE49-F238E27FC236}">
              <a16:creationId xmlns:a16="http://schemas.microsoft.com/office/drawing/2014/main" id="{BB058BA7-97DD-2DBD-CF1F-073641B20267}"/>
            </a:ext>
          </a:extLst>
        </xdr:cNvPr>
        <xdr:cNvCxnSpPr/>
      </xdr:nvCxnSpPr>
      <xdr:spPr>
        <a:xfrm>
          <a:off x="3629025" y="5684207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313418</xdr:colOff>
      <xdr:row>15</xdr:row>
      <xdr:rowOff>107727</xdr:rowOff>
    </xdr:from>
    <xdr:to>
      <xdr:col>9</xdr:col>
      <xdr:colOff>22225</xdr:colOff>
      <xdr:row>25</xdr:row>
      <xdr:rowOff>130629</xdr:rowOff>
    </xdr:to>
    <xdr:cxnSp macro="">
      <xdr:nvCxnSpPr>
        <xdr:cNvPr id="25" name="SCHEMA_T03_SOSTEGNO_05_SX">
          <a:extLst>
            <a:ext uri="{FF2B5EF4-FFF2-40B4-BE49-F238E27FC236}">
              <a16:creationId xmlns:a16="http://schemas.microsoft.com/office/drawing/2014/main" id="{F45CAF22-F7C6-C688-9121-45F9FDC90628}"/>
            </a:ext>
          </a:extLst>
        </xdr:cNvPr>
        <xdr:cNvCxnSpPr/>
      </xdr:nvCxnSpPr>
      <xdr:spPr>
        <a:xfrm flipV="1">
          <a:off x="4295775" y="4652513"/>
          <a:ext cx="44450" cy="2472187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22225</xdr:colOff>
      <xdr:row>15</xdr:row>
      <xdr:rowOff>107727</xdr:rowOff>
    </xdr:from>
    <xdr:to>
      <xdr:col>9</xdr:col>
      <xdr:colOff>66675</xdr:colOff>
      <xdr:row>25</xdr:row>
      <xdr:rowOff>130629</xdr:rowOff>
    </xdr:to>
    <xdr:cxnSp macro="">
      <xdr:nvCxnSpPr>
        <xdr:cNvPr id="26" name="SCHEMA_T03_SOSTEGNO_05_DX">
          <a:extLst>
            <a:ext uri="{FF2B5EF4-FFF2-40B4-BE49-F238E27FC236}">
              <a16:creationId xmlns:a16="http://schemas.microsoft.com/office/drawing/2014/main" id="{8F7E3B71-1F97-A40C-BF2A-01D23748507E}"/>
            </a:ext>
          </a:extLst>
        </xdr:cNvPr>
        <xdr:cNvCxnSpPr/>
      </xdr:nvCxnSpPr>
      <xdr:spPr>
        <a:xfrm flipH="1" flipV="1">
          <a:off x="4340225" y="4652513"/>
          <a:ext cx="44450" cy="2472187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313418</xdr:colOff>
      <xdr:row>17</xdr:row>
      <xdr:rowOff>62864</xdr:rowOff>
    </xdr:from>
    <xdr:to>
      <xdr:col>9</xdr:col>
      <xdr:colOff>66675</xdr:colOff>
      <xdr:row>17</xdr:row>
      <xdr:rowOff>62864</xdr:rowOff>
    </xdr:to>
    <xdr:cxnSp macro="">
      <xdr:nvCxnSpPr>
        <xdr:cNvPr id="27" name="SCHEMA_T03_SOSTEGNO_05_TR1">
          <a:extLst>
            <a:ext uri="{FF2B5EF4-FFF2-40B4-BE49-F238E27FC236}">
              <a16:creationId xmlns:a16="http://schemas.microsoft.com/office/drawing/2014/main" id="{F054963C-78F9-282B-A915-C7B494BB312C}"/>
            </a:ext>
          </a:extLst>
        </xdr:cNvPr>
        <xdr:cNvCxnSpPr/>
      </xdr:nvCxnSpPr>
      <xdr:spPr>
        <a:xfrm>
          <a:off x="4295775" y="5097507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313418</xdr:colOff>
      <xdr:row>18</xdr:row>
      <xdr:rowOff>114598</xdr:rowOff>
    </xdr:from>
    <xdr:to>
      <xdr:col>9</xdr:col>
      <xdr:colOff>66675</xdr:colOff>
      <xdr:row>18</xdr:row>
      <xdr:rowOff>114598</xdr:rowOff>
    </xdr:to>
    <xdr:cxnSp macro="">
      <xdr:nvCxnSpPr>
        <xdr:cNvPr id="28" name="SCHEMA_T03_SOSTEGNO_05_TR2">
          <a:extLst>
            <a:ext uri="{FF2B5EF4-FFF2-40B4-BE49-F238E27FC236}">
              <a16:creationId xmlns:a16="http://schemas.microsoft.com/office/drawing/2014/main" id="{B06DC711-773F-C5F4-B784-E89EF711524B}"/>
            </a:ext>
          </a:extLst>
        </xdr:cNvPr>
        <xdr:cNvCxnSpPr/>
      </xdr:nvCxnSpPr>
      <xdr:spPr>
        <a:xfrm>
          <a:off x="4295775" y="5394169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313418</xdr:colOff>
      <xdr:row>19</xdr:row>
      <xdr:rowOff>166332</xdr:rowOff>
    </xdr:from>
    <xdr:to>
      <xdr:col>9</xdr:col>
      <xdr:colOff>66675</xdr:colOff>
      <xdr:row>19</xdr:row>
      <xdr:rowOff>166332</xdr:rowOff>
    </xdr:to>
    <xdr:cxnSp macro="">
      <xdr:nvCxnSpPr>
        <xdr:cNvPr id="29" name="SCHEMA_T03_SOSTEGNO_05_TR3">
          <a:extLst>
            <a:ext uri="{FF2B5EF4-FFF2-40B4-BE49-F238E27FC236}">
              <a16:creationId xmlns:a16="http://schemas.microsoft.com/office/drawing/2014/main" id="{8F2219FE-39EB-4377-8EDB-EE323886039C}"/>
            </a:ext>
          </a:extLst>
        </xdr:cNvPr>
        <xdr:cNvCxnSpPr/>
      </xdr:nvCxnSpPr>
      <xdr:spPr>
        <a:xfrm>
          <a:off x="4295775" y="5690832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308882</xdr:colOff>
      <xdr:row>15</xdr:row>
      <xdr:rowOff>50621</xdr:rowOff>
    </xdr:from>
    <xdr:to>
      <xdr:col>11</xdr:col>
      <xdr:colOff>17689</xdr:colOff>
      <xdr:row>25</xdr:row>
      <xdr:rowOff>130629</xdr:rowOff>
    </xdr:to>
    <xdr:cxnSp macro="">
      <xdr:nvCxnSpPr>
        <xdr:cNvPr id="30" name="SCHEMA_T03_SOSTEGNO_06_SX">
          <a:extLst>
            <a:ext uri="{FF2B5EF4-FFF2-40B4-BE49-F238E27FC236}">
              <a16:creationId xmlns:a16="http://schemas.microsoft.com/office/drawing/2014/main" id="{93908B8E-CC14-CFBF-DB32-25763BF77843}"/>
            </a:ext>
          </a:extLst>
        </xdr:cNvPr>
        <xdr:cNvCxnSpPr/>
      </xdr:nvCxnSpPr>
      <xdr:spPr>
        <a:xfrm flipV="1">
          <a:off x="4962525" y="4595407"/>
          <a:ext cx="44450" cy="2529293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17689</xdr:colOff>
      <xdr:row>15</xdr:row>
      <xdr:rowOff>50621</xdr:rowOff>
    </xdr:from>
    <xdr:to>
      <xdr:col>11</xdr:col>
      <xdr:colOff>62139</xdr:colOff>
      <xdr:row>25</xdr:row>
      <xdr:rowOff>130629</xdr:rowOff>
    </xdr:to>
    <xdr:cxnSp macro="">
      <xdr:nvCxnSpPr>
        <xdr:cNvPr id="31" name="SCHEMA_T03_SOSTEGNO_06_DX">
          <a:extLst>
            <a:ext uri="{FF2B5EF4-FFF2-40B4-BE49-F238E27FC236}">
              <a16:creationId xmlns:a16="http://schemas.microsoft.com/office/drawing/2014/main" id="{99EE7DEC-D2EC-9BBA-37EE-EDB6F9399562}"/>
            </a:ext>
          </a:extLst>
        </xdr:cNvPr>
        <xdr:cNvCxnSpPr/>
      </xdr:nvCxnSpPr>
      <xdr:spPr>
        <a:xfrm flipH="1" flipV="1">
          <a:off x="5006975" y="4595407"/>
          <a:ext cx="44450" cy="2529293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308882</xdr:colOff>
      <xdr:row>17</xdr:row>
      <xdr:rowOff>16037</xdr:rowOff>
    </xdr:from>
    <xdr:to>
      <xdr:col>11</xdr:col>
      <xdr:colOff>62139</xdr:colOff>
      <xdr:row>17</xdr:row>
      <xdr:rowOff>16037</xdr:rowOff>
    </xdr:to>
    <xdr:cxnSp macro="">
      <xdr:nvCxnSpPr>
        <xdr:cNvPr id="32" name="SCHEMA_T03_SOSTEGNO_06_TR1">
          <a:extLst>
            <a:ext uri="{FF2B5EF4-FFF2-40B4-BE49-F238E27FC236}">
              <a16:creationId xmlns:a16="http://schemas.microsoft.com/office/drawing/2014/main" id="{4D88084E-BDBD-3BF7-B1F5-9717A228224C}"/>
            </a:ext>
          </a:extLst>
        </xdr:cNvPr>
        <xdr:cNvCxnSpPr/>
      </xdr:nvCxnSpPr>
      <xdr:spPr>
        <a:xfrm>
          <a:off x="4962525" y="5050680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308882</xdr:colOff>
      <xdr:row>18</xdr:row>
      <xdr:rowOff>74624</xdr:rowOff>
    </xdr:from>
    <xdr:to>
      <xdr:col>11</xdr:col>
      <xdr:colOff>62139</xdr:colOff>
      <xdr:row>18</xdr:row>
      <xdr:rowOff>74624</xdr:rowOff>
    </xdr:to>
    <xdr:cxnSp macro="">
      <xdr:nvCxnSpPr>
        <xdr:cNvPr id="33" name="SCHEMA_T03_SOSTEGNO_06_TR2">
          <a:extLst>
            <a:ext uri="{FF2B5EF4-FFF2-40B4-BE49-F238E27FC236}">
              <a16:creationId xmlns:a16="http://schemas.microsoft.com/office/drawing/2014/main" id="{83D1A4C3-9076-0D7C-31AB-EFB493DB05A8}"/>
            </a:ext>
          </a:extLst>
        </xdr:cNvPr>
        <xdr:cNvCxnSpPr/>
      </xdr:nvCxnSpPr>
      <xdr:spPr>
        <a:xfrm>
          <a:off x="4962525" y="5354195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308882</xdr:colOff>
      <xdr:row>19</xdr:row>
      <xdr:rowOff>133210</xdr:rowOff>
    </xdr:from>
    <xdr:to>
      <xdr:col>11</xdr:col>
      <xdr:colOff>62139</xdr:colOff>
      <xdr:row>19</xdr:row>
      <xdr:rowOff>133210</xdr:rowOff>
    </xdr:to>
    <xdr:cxnSp macro="">
      <xdr:nvCxnSpPr>
        <xdr:cNvPr id="34" name="SCHEMA_T03_SOSTEGNO_06_TR3">
          <a:extLst>
            <a:ext uri="{FF2B5EF4-FFF2-40B4-BE49-F238E27FC236}">
              <a16:creationId xmlns:a16="http://schemas.microsoft.com/office/drawing/2014/main" id="{15E95B31-194E-2828-A552-7058FC7ED8FF}"/>
            </a:ext>
          </a:extLst>
        </xdr:cNvPr>
        <xdr:cNvCxnSpPr/>
      </xdr:nvCxnSpPr>
      <xdr:spPr>
        <a:xfrm>
          <a:off x="4962525" y="5657710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304346</xdr:colOff>
      <xdr:row>15</xdr:row>
      <xdr:rowOff>181965</xdr:rowOff>
    </xdr:from>
    <xdr:to>
      <xdr:col>13</xdr:col>
      <xdr:colOff>13154</xdr:colOff>
      <xdr:row>25</xdr:row>
      <xdr:rowOff>130629</xdr:rowOff>
    </xdr:to>
    <xdr:cxnSp macro="">
      <xdr:nvCxnSpPr>
        <xdr:cNvPr id="35" name="SCHEMA_T03_SOSTEGNO_07_SX">
          <a:extLst>
            <a:ext uri="{FF2B5EF4-FFF2-40B4-BE49-F238E27FC236}">
              <a16:creationId xmlns:a16="http://schemas.microsoft.com/office/drawing/2014/main" id="{64694B41-2773-6606-E680-AC6DA3351424}"/>
            </a:ext>
          </a:extLst>
        </xdr:cNvPr>
        <xdr:cNvCxnSpPr/>
      </xdr:nvCxnSpPr>
      <xdr:spPr>
        <a:xfrm flipV="1">
          <a:off x="5629275" y="4726751"/>
          <a:ext cx="44450" cy="2397949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13154</xdr:colOff>
      <xdr:row>15</xdr:row>
      <xdr:rowOff>181965</xdr:rowOff>
    </xdr:from>
    <xdr:to>
      <xdr:col>13</xdr:col>
      <xdr:colOff>57604</xdr:colOff>
      <xdr:row>25</xdr:row>
      <xdr:rowOff>130629</xdr:rowOff>
    </xdr:to>
    <xdr:cxnSp macro="">
      <xdr:nvCxnSpPr>
        <xdr:cNvPr id="36" name="SCHEMA_T03_SOSTEGNO_07_DX">
          <a:extLst>
            <a:ext uri="{FF2B5EF4-FFF2-40B4-BE49-F238E27FC236}">
              <a16:creationId xmlns:a16="http://schemas.microsoft.com/office/drawing/2014/main" id="{CFA77217-D4C5-BD16-6ACC-51451DCDEBC5}"/>
            </a:ext>
          </a:extLst>
        </xdr:cNvPr>
        <xdr:cNvCxnSpPr/>
      </xdr:nvCxnSpPr>
      <xdr:spPr>
        <a:xfrm flipH="1" flipV="1">
          <a:off x="5673725" y="4726751"/>
          <a:ext cx="44450" cy="2397949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304346</xdr:colOff>
      <xdr:row>17</xdr:row>
      <xdr:rowOff>123739</xdr:rowOff>
    </xdr:from>
    <xdr:to>
      <xdr:col>13</xdr:col>
      <xdr:colOff>57604</xdr:colOff>
      <xdr:row>17</xdr:row>
      <xdr:rowOff>123739</xdr:rowOff>
    </xdr:to>
    <xdr:cxnSp macro="">
      <xdr:nvCxnSpPr>
        <xdr:cNvPr id="37" name="SCHEMA_T03_SOSTEGNO_07_TR1">
          <a:extLst>
            <a:ext uri="{FF2B5EF4-FFF2-40B4-BE49-F238E27FC236}">
              <a16:creationId xmlns:a16="http://schemas.microsoft.com/office/drawing/2014/main" id="{3438D942-BCCD-D9E2-73E4-E028F598B05E}"/>
            </a:ext>
          </a:extLst>
        </xdr:cNvPr>
        <xdr:cNvCxnSpPr/>
      </xdr:nvCxnSpPr>
      <xdr:spPr>
        <a:xfrm>
          <a:off x="5629275" y="5158382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304346</xdr:colOff>
      <xdr:row>18</xdr:row>
      <xdr:rowOff>166565</xdr:rowOff>
    </xdr:from>
    <xdr:to>
      <xdr:col>13</xdr:col>
      <xdr:colOff>57604</xdr:colOff>
      <xdr:row>18</xdr:row>
      <xdr:rowOff>166565</xdr:rowOff>
    </xdr:to>
    <xdr:cxnSp macro="">
      <xdr:nvCxnSpPr>
        <xdr:cNvPr id="38" name="SCHEMA_T03_SOSTEGNO_07_TR2">
          <a:extLst>
            <a:ext uri="{FF2B5EF4-FFF2-40B4-BE49-F238E27FC236}">
              <a16:creationId xmlns:a16="http://schemas.microsoft.com/office/drawing/2014/main" id="{BD0D61D1-F941-C6A4-4EE5-4D90B760BAB0}"/>
            </a:ext>
          </a:extLst>
        </xdr:cNvPr>
        <xdr:cNvCxnSpPr/>
      </xdr:nvCxnSpPr>
      <xdr:spPr>
        <a:xfrm>
          <a:off x="5629275" y="5446136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304346</xdr:colOff>
      <xdr:row>19</xdr:row>
      <xdr:rowOff>209390</xdr:rowOff>
    </xdr:from>
    <xdr:to>
      <xdr:col>13</xdr:col>
      <xdr:colOff>57604</xdr:colOff>
      <xdr:row>19</xdr:row>
      <xdr:rowOff>209390</xdr:rowOff>
    </xdr:to>
    <xdr:cxnSp macro="">
      <xdr:nvCxnSpPr>
        <xdr:cNvPr id="39" name="SCHEMA_T03_SOSTEGNO_07_TR3">
          <a:extLst>
            <a:ext uri="{FF2B5EF4-FFF2-40B4-BE49-F238E27FC236}">
              <a16:creationId xmlns:a16="http://schemas.microsoft.com/office/drawing/2014/main" id="{E6F71DA0-0CBA-AEC2-D3EA-022D33B77FDF}"/>
            </a:ext>
          </a:extLst>
        </xdr:cNvPr>
        <xdr:cNvCxnSpPr/>
      </xdr:nvCxnSpPr>
      <xdr:spPr>
        <a:xfrm>
          <a:off x="5629275" y="5733890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299811</xdr:colOff>
      <xdr:row>14</xdr:row>
      <xdr:rowOff>107099</xdr:rowOff>
    </xdr:from>
    <xdr:to>
      <xdr:col>15</xdr:col>
      <xdr:colOff>8618</xdr:colOff>
      <xdr:row>25</xdr:row>
      <xdr:rowOff>130629</xdr:rowOff>
    </xdr:to>
    <xdr:cxnSp macro="">
      <xdr:nvCxnSpPr>
        <xdr:cNvPr id="40" name="SCHEMA_T03_SOSTEGNO_08_SX">
          <a:extLst>
            <a:ext uri="{FF2B5EF4-FFF2-40B4-BE49-F238E27FC236}">
              <a16:creationId xmlns:a16="http://schemas.microsoft.com/office/drawing/2014/main" id="{95FD5A47-FBCD-CD6A-873D-603BEA445554}"/>
            </a:ext>
          </a:extLst>
        </xdr:cNvPr>
        <xdr:cNvCxnSpPr/>
      </xdr:nvCxnSpPr>
      <xdr:spPr>
        <a:xfrm flipV="1">
          <a:off x="6296025" y="4406956"/>
          <a:ext cx="44450" cy="2717744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8618</xdr:colOff>
      <xdr:row>14</xdr:row>
      <xdr:rowOff>107099</xdr:rowOff>
    </xdr:from>
    <xdr:to>
      <xdr:col>15</xdr:col>
      <xdr:colOff>53068</xdr:colOff>
      <xdr:row>25</xdr:row>
      <xdr:rowOff>130629</xdr:rowOff>
    </xdr:to>
    <xdr:cxnSp macro="">
      <xdr:nvCxnSpPr>
        <xdr:cNvPr id="41" name="SCHEMA_T03_SOSTEGNO_08_DX">
          <a:extLst>
            <a:ext uri="{FF2B5EF4-FFF2-40B4-BE49-F238E27FC236}">
              <a16:creationId xmlns:a16="http://schemas.microsoft.com/office/drawing/2014/main" id="{C6D1FE9B-9083-0714-3C43-805F28C8032B}"/>
            </a:ext>
          </a:extLst>
        </xdr:cNvPr>
        <xdr:cNvCxnSpPr/>
      </xdr:nvCxnSpPr>
      <xdr:spPr>
        <a:xfrm flipH="1" flipV="1">
          <a:off x="6340475" y="4406956"/>
          <a:ext cx="44450" cy="2717744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299811</xdr:colOff>
      <xdr:row>16</xdr:row>
      <xdr:rowOff>106436</xdr:rowOff>
    </xdr:from>
    <xdr:to>
      <xdr:col>15</xdr:col>
      <xdr:colOff>53068</xdr:colOff>
      <xdr:row>16</xdr:row>
      <xdr:rowOff>106436</xdr:rowOff>
    </xdr:to>
    <xdr:cxnSp macro="">
      <xdr:nvCxnSpPr>
        <xdr:cNvPr id="42" name="SCHEMA_T03_SOSTEGNO_08_TR1">
          <a:extLst>
            <a:ext uri="{FF2B5EF4-FFF2-40B4-BE49-F238E27FC236}">
              <a16:creationId xmlns:a16="http://schemas.microsoft.com/office/drawing/2014/main" id="{E5D53A1D-3E1F-8F1B-1419-43A4EB84C46A}"/>
            </a:ext>
          </a:extLst>
        </xdr:cNvPr>
        <xdr:cNvCxnSpPr/>
      </xdr:nvCxnSpPr>
      <xdr:spPr>
        <a:xfrm>
          <a:off x="6296025" y="4896150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299811</xdr:colOff>
      <xdr:row>17</xdr:row>
      <xdr:rowOff>187636</xdr:rowOff>
    </xdr:from>
    <xdr:to>
      <xdr:col>15</xdr:col>
      <xdr:colOff>53068</xdr:colOff>
      <xdr:row>17</xdr:row>
      <xdr:rowOff>187636</xdr:rowOff>
    </xdr:to>
    <xdr:cxnSp macro="">
      <xdr:nvCxnSpPr>
        <xdr:cNvPr id="43" name="SCHEMA_T03_SOSTEGNO_08_TR2">
          <a:extLst>
            <a:ext uri="{FF2B5EF4-FFF2-40B4-BE49-F238E27FC236}">
              <a16:creationId xmlns:a16="http://schemas.microsoft.com/office/drawing/2014/main" id="{0CE1764F-DC8B-F8F1-C662-C3013C8D1B85}"/>
            </a:ext>
          </a:extLst>
        </xdr:cNvPr>
        <xdr:cNvCxnSpPr/>
      </xdr:nvCxnSpPr>
      <xdr:spPr>
        <a:xfrm>
          <a:off x="6296025" y="5222279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299811</xdr:colOff>
      <xdr:row>19</xdr:row>
      <xdr:rowOff>23908</xdr:rowOff>
    </xdr:from>
    <xdr:to>
      <xdr:col>15</xdr:col>
      <xdr:colOff>53068</xdr:colOff>
      <xdr:row>19</xdr:row>
      <xdr:rowOff>23908</xdr:rowOff>
    </xdr:to>
    <xdr:cxnSp macro="">
      <xdr:nvCxnSpPr>
        <xdr:cNvPr id="44" name="SCHEMA_T03_SOSTEGNO_08_TR3">
          <a:extLst>
            <a:ext uri="{FF2B5EF4-FFF2-40B4-BE49-F238E27FC236}">
              <a16:creationId xmlns:a16="http://schemas.microsoft.com/office/drawing/2014/main" id="{9E3BE19C-1D7C-5A44-F2A5-704FA202993E}"/>
            </a:ext>
          </a:extLst>
        </xdr:cNvPr>
        <xdr:cNvCxnSpPr/>
      </xdr:nvCxnSpPr>
      <xdr:spPr>
        <a:xfrm>
          <a:off x="6296025" y="5548408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295275</xdr:colOff>
      <xdr:row>15</xdr:row>
      <xdr:rowOff>227651</xdr:rowOff>
    </xdr:from>
    <xdr:to>
      <xdr:col>17</xdr:col>
      <xdr:colOff>4082</xdr:colOff>
      <xdr:row>25</xdr:row>
      <xdr:rowOff>130629</xdr:rowOff>
    </xdr:to>
    <xdr:cxnSp macro="">
      <xdr:nvCxnSpPr>
        <xdr:cNvPr id="45" name="SCHEMA_T03_SOSTEGNO_09_SX">
          <a:extLst>
            <a:ext uri="{FF2B5EF4-FFF2-40B4-BE49-F238E27FC236}">
              <a16:creationId xmlns:a16="http://schemas.microsoft.com/office/drawing/2014/main" id="{DB51E227-444B-C8D4-03BF-95C03CECF3B6}"/>
            </a:ext>
          </a:extLst>
        </xdr:cNvPr>
        <xdr:cNvCxnSpPr/>
      </xdr:nvCxnSpPr>
      <xdr:spPr>
        <a:xfrm flipV="1">
          <a:off x="6962775" y="4772437"/>
          <a:ext cx="44450" cy="2352263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4082</xdr:colOff>
      <xdr:row>15</xdr:row>
      <xdr:rowOff>227651</xdr:rowOff>
    </xdr:from>
    <xdr:to>
      <xdr:col>17</xdr:col>
      <xdr:colOff>48532</xdr:colOff>
      <xdr:row>25</xdr:row>
      <xdr:rowOff>130629</xdr:rowOff>
    </xdr:to>
    <xdr:cxnSp macro="">
      <xdr:nvCxnSpPr>
        <xdr:cNvPr id="46" name="SCHEMA_T03_SOSTEGNO_09_DX">
          <a:extLst>
            <a:ext uri="{FF2B5EF4-FFF2-40B4-BE49-F238E27FC236}">
              <a16:creationId xmlns:a16="http://schemas.microsoft.com/office/drawing/2014/main" id="{7D6E1140-A869-0ADF-8233-E1E8B1E60FF3}"/>
            </a:ext>
          </a:extLst>
        </xdr:cNvPr>
        <xdr:cNvCxnSpPr/>
      </xdr:nvCxnSpPr>
      <xdr:spPr>
        <a:xfrm flipH="1" flipV="1">
          <a:off x="7007225" y="4772437"/>
          <a:ext cx="44450" cy="2352263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295275</xdr:colOff>
      <xdr:row>17</xdr:row>
      <xdr:rowOff>161201</xdr:rowOff>
    </xdr:from>
    <xdr:to>
      <xdr:col>17</xdr:col>
      <xdr:colOff>48532</xdr:colOff>
      <xdr:row>17</xdr:row>
      <xdr:rowOff>161201</xdr:rowOff>
    </xdr:to>
    <xdr:cxnSp macro="">
      <xdr:nvCxnSpPr>
        <xdr:cNvPr id="47" name="SCHEMA_T03_SOSTEGNO_09_TR1">
          <a:extLst>
            <a:ext uri="{FF2B5EF4-FFF2-40B4-BE49-F238E27FC236}">
              <a16:creationId xmlns:a16="http://schemas.microsoft.com/office/drawing/2014/main" id="{CA2D3FF8-FD11-CE11-A11B-A1373158F98C}"/>
            </a:ext>
          </a:extLst>
        </xdr:cNvPr>
        <xdr:cNvCxnSpPr/>
      </xdr:nvCxnSpPr>
      <xdr:spPr>
        <a:xfrm>
          <a:off x="6962775" y="5195844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295275</xdr:colOff>
      <xdr:row>18</xdr:row>
      <xdr:rowOff>198545</xdr:rowOff>
    </xdr:from>
    <xdr:to>
      <xdr:col>17</xdr:col>
      <xdr:colOff>48532</xdr:colOff>
      <xdr:row>18</xdr:row>
      <xdr:rowOff>198545</xdr:rowOff>
    </xdr:to>
    <xdr:cxnSp macro="">
      <xdr:nvCxnSpPr>
        <xdr:cNvPr id="48" name="SCHEMA_T03_SOSTEGNO_09_TR2">
          <a:extLst>
            <a:ext uri="{FF2B5EF4-FFF2-40B4-BE49-F238E27FC236}">
              <a16:creationId xmlns:a16="http://schemas.microsoft.com/office/drawing/2014/main" id="{823C4FD0-B9DA-8621-E2FD-B1C0DAA298E1}"/>
            </a:ext>
          </a:extLst>
        </xdr:cNvPr>
        <xdr:cNvCxnSpPr/>
      </xdr:nvCxnSpPr>
      <xdr:spPr>
        <a:xfrm>
          <a:off x="6962775" y="5478116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295275</xdr:colOff>
      <xdr:row>19</xdr:row>
      <xdr:rowOff>235887</xdr:rowOff>
    </xdr:from>
    <xdr:to>
      <xdr:col>17</xdr:col>
      <xdr:colOff>48532</xdr:colOff>
      <xdr:row>19</xdr:row>
      <xdr:rowOff>235887</xdr:rowOff>
    </xdr:to>
    <xdr:cxnSp macro="">
      <xdr:nvCxnSpPr>
        <xdr:cNvPr id="49" name="SCHEMA_T03_SOSTEGNO_09_TR3">
          <a:extLst>
            <a:ext uri="{FF2B5EF4-FFF2-40B4-BE49-F238E27FC236}">
              <a16:creationId xmlns:a16="http://schemas.microsoft.com/office/drawing/2014/main" id="{1B5C3332-A75E-701F-DE25-D97F43B84CEB}"/>
            </a:ext>
          </a:extLst>
        </xdr:cNvPr>
        <xdr:cNvCxnSpPr/>
      </xdr:nvCxnSpPr>
      <xdr:spPr>
        <a:xfrm>
          <a:off x="6962775" y="5760387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290739</xdr:colOff>
      <xdr:row>16</xdr:row>
      <xdr:rowOff>16986</xdr:rowOff>
    </xdr:from>
    <xdr:to>
      <xdr:col>18</xdr:col>
      <xdr:colOff>335189</xdr:colOff>
      <xdr:row>25</xdr:row>
      <xdr:rowOff>130629</xdr:rowOff>
    </xdr:to>
    <xdr:cxnSp macro="">
      <xdr:nvCxnSpPr>
        <xdr:cNvPr id="50" name="SCHEMA_T03_SOSTEGNO_10_SX">
          <a:extLst>
            <a:ext uri="{FF2B5EF4-FFF2-40B4-BE49-F238E27FC236}">
              <a16:creationId xmlns:a16="http://schemas.microsoft.com/office/drawing/2014/main" id="{AE0D0A99-8A03-ED2A-76D5-A98AF6A88790}"/>
            </a:ext>
          </a:extLst>
        </xdr:cNvPr>
        <xdr:cNvCxnSpPr/>
      </xdr:nvCxnSpPr>
      <xdr:spPr>
        <a:xfrm flipV="1">
          <a:off x="7629525" y="4806700"/>
          <a:ext cx="44450" cy="2318000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335189</xdr:colOff>
      <xdr:row>16</xdr:row>
      <xdr:rowOff>16986</xdr:rowOff>
    </xdr:from>
    <xdr:to>
      <xdr:col>19</xdr:col>
      <xdr:colOff>43996</xdr:colOff>
      <xdr:row>25</xdr:row>
      <xdr:rowOff>130629</xdr:rowOff>
    </xdr:to>
    <xdr:cxnSp macro="">
      <xdr:nvCxnSpPr>
        <xdr:cNvPr id="51" name="SCHEMA_T03_SOSTEGNO_10_DX">
          <a:extLst>
            <a:ext uri="{FF2B5EF4-FFF2-40B4-BE49-F238E27FC236}">
              <a16:creationId xmlns:a16="http://schemas.microsoft.com/office/drawing/2014/main" id="{34A2DF6E-9284-536A-51E6-B58453B49BBE}"/>
            </a:ext>
          </a:extLst>
        </xdr:cNvPr>
        <xdr:cNvCxnSpPr/>
      </xdr:nvCxnSpPr>
      <xdr:spPr>
        <a:xfrm flipH="1" flipV="1">
          <a:off x="7673975" y="4806700"/>
          <a:ext cx="44450" cy="2318000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290739</xdr:colOff>
      <xdr:row>17</xdr:row>
      <xdr:rowOff>189297</xdr:rowOff>
    </xdr:from>
    <xdr:to>
      <xdr:col>19</xdr:col>
      <xdr:colOff>43996</xdr:colOff>
      <xdr:row>17</xdr:row>
      <xdr:rowOff>189297</xdr:rowOff>
    </xdr:to>
    <xdr:cxnSp macro="">
      <xdr:nvCxnSpPr>
        <xdr:cNvPr id="52" name="SCHEMA_T03_SOSTEGNO_10_TR1">
          <a:extLst>
            <a:ext uri="{FF2B5EF4-FFF2-40B4-BE49-F238E27FC236}">
              <a16:creationId xmlns:a16="http://schemas.microsoft.com/office/drawing/2014/main" id="{F32452BE-855D-E56B-9E28-F582AD3A0E53}"/>
            </a:ext>
          </a:extLst>
        </xdr:cNvPr>
        <xdr:cNvCxnSpPr/>
      </xdr:nvCxnSpPr>
      <xdr:spPr>
        <a:xfrm>
          <a:off x="7629525" y="5223940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290739</xdr:colOff>
      <xdr:row>18</xdr:row>
      <xdr:rowOff>222529</xdr:rowOff>
    </xdr:from>
    <xdr:to>
      <xdr:col>19</xdr:col>
      <xdr:colOff>43996</xdr:colOff>
      <xdr:row>18</xdr:row>
      <xdr:rowOff>222529</xdr:rowOff>
    </xdr:to>
    <xdr:cxnSp macro="">
      <xdr:nvCxnSpPr>
        <xdr:cNvPr id="53" name="SCHEMA_T03_SOSTEGNO_10_TR2">
          <a:extLst>
            <a:ext uri="{FF2B5EF4-FFF2-40B4-BE49-F238E27FC236}">
              <a16:creationId xmlns:a16="http://schemas.microsoft.com/office/drawing/2014/main" id="{53D7442A-BD9A-18D7-CF9E-39DA0B5EA8FF}"/>
            </a:ext>
          </a:extLst>
        </xdr:cNvPr>
        <xdr:cNvCxnSpPr/>
      </xdr:nvCxnSpPr>
      <xdr:spPr>
        <a:xfrm>
          <a:off x="7629525" y="5502100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290739</xdr:colOff>
      <xdr:row>20</xdr:row>
      <xdr:rowOff>10831</xdr:rowOff>
    </xdr:from>
    <xdr:to>
      <xdr:col>19</xdr:col>
      <xdr:colOff>43996</xdr:colOff>
      <xdr:row>20</xdr:row>
      <xdr:rowOff>10831</xdr:rowOff>
    </xdr:to>
    <xdr:cxnSp macro="">
      <xdr:nvCxnSpPr>
        <xdr:cNvPr id="54" name="SCHEMA_T03_SOSTEGNO_10_TR3">
          <a:extLst>
            <a:ext uri="{FF2B5EF4-FFF2-40B4-BE49-F238E27FC236}">
              <a16:creationId xmlns:a16="http://schemas.microsoft.com/office/drawing/2014/main" id="{379D9467-2EBB-075B-AA13-2AAD7F71F93C}"/>
            </a:ext>
          </a:extLst>
        </xdr:cNvPr>
        <xdr:cNvCxnSpPr/>
      </xdr:nvCxnSpPr>
      <xdr:spPr>
        <a:xfrm>
          <a:off x="7629525" y="5780260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286204</xdr:colOff>
      <xdr:row>15</xdr:row>
      <xdr:rowOff>210519</xdr:rowOff>
    </xdr:from>
    <xdr:to>
      <xdr:col>20</xdr:col>
      <xdr:colOff>330654</xdr:colOff>
      <xdr:row>25</xdr:row>
      <xdr:rowOff>130629</xdr:rowOff>
    </xdr:to>
    <xdr:cxnSp macro="">
      <xdr:nvCxnSpPr>
        <xdr:cNvPr id="55" name="SCHEMA_T03_SOSTEGNO_11_SX">
          <a:extLst>
            <a:ext uri="{FF2B5EF4-FFF2-40B4-BE49-F238E27FC236}">
              <a16:creationId xmlns:a16="http://schemas.microsoft.com/office/drawing/2014/main" id="{CD7849CC-D1DD-3D17-3D67-A69BD210B356}"/>
            </a:ext>
          </a:extLst>
        </xdr:cNvPr>
        <xdr:cNvCxnSpPr/>
      </xdr:nvCxnSpPr>
      <xdr:spPr>
        <a:xfrm flipV="1">
          <a:off x="8296275" y="4755305"/>
          <a:ext cx="44450" cy="2369395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330654</xdr:colOff>
      <xdr:row>15</xdr:row>
      <xdr:rowOff>210519</xdr:rowOff>
    </xdr:from>
    <xdr:to>
      <xdr:col>21</xdr:col>
      <xdr:colOff>39461</xdr:colOff>
      <xdr:row>25</xdr:row>
      <xdr:rowOff>130629</xdr:rowOff>
    </xdr:to>
    <xdr:cxnSp macro="">
      <xdr:nvCxnSpPr>
        <xdr:cNvPr id="56" name="SCHEMA_T03_SOSTEGNO_11_DX">
          <a:extLst>
            <a:ext uri="{FF2B5EF4-FFF2-40B4-BE49-F238E27FC236}">
              <a16:creationId xmlns:a16="http://schemas.microsoft.com/office/drawing/2014/main" id="{14F33A7F-6A07-DFBE-3CE3-8D71B1FDF241}"/>
            </a:ext>
          </a:extLst>
        </xdr:cNvPr>
        <xdr:cNvCxnSpPr/>
      </xdr:nvCxnSpPr>
      <xdr:spPr>
        <a:xfrm flipH="1" flipV="1">
          <a:off x="8340725" y="4755305"/>
          <a:ext cx="44450" cy="2369395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286204</xdr:colOff>
      <xdr:row>17</xdr:row>
      <xdr:rowOff>147153</xdr:rowOff>
    </xdr:from>
    <xdr:to>
      <xdr:col>21</xdr:col>
      <xdr:colOff>39461</xdr:colOff>
      <xdr:row>17</xdr:row>
      <xdr:rowOff>147153</xdr:rowOff>
    </xdr:to>
    <xdr:cxnSp macro="">
      <xdr:nvCxnSpPr>
        <xdr:cNvPr id="57" name="SCHEMA_T03_SOSTEGNO_11_TR1">
          <a:extLst>
            <a:ext uri="{FF2B5EF4-FFF2-40B4-BE49-F238E27FC236}">
              <a16:creationId xmlns:a16="http://schemas.microsoft.com/office/drawing/2014/main" id="{4D4EC383-B846-1246-3E16-ACF3B1BA8F7A}"/>
            </a:ext>
          </a:extLst>
        </xdr:cNvPr>
        <xdr:cNvCxnSpPr/>
      </xdr:nvCxnSpPr>
      <xdr:spPr>
        <a:xfrm>
          <a:off x="8296275" y="5181796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286204</xdr:colOff>
      <xdr:row>18</xdr:row>
      <xdr:rowOff>186552</xdr:rowOff>
    </xdr:from>
    <xdr:to>
      <xdr:col>21</xdr:col>
      <xdr:colOff>39461</xdr:colOff>
      <xdr:row>18</xdr:row>
      <xdr:rowOff>186552</xdr:rowOff>
    </xdr:to>
    <xdr:cxnSp macro="">
      <xdr:nvCxnSpPr>
        <xdr:cNvPr id="58" name="SCHEMA_T03_SOSTEGNO_11_TR2">
          <a:extLst>
            <a:ext uri="{FF2B5EF4-FFF2-40B4-BE49-F238E27FC236}">
              <a16:creationId xmlns:a16="http://schemas.microsoft.com/office/drawing/2014/main" id="{EAA61BAF-665F-CC1F-AF06-66045D59145E}"/>
            </a:ext>
          </a:extLst>
        </xdr:cNvPr>
        <xdr:cNvCxnSpPr/>
      </xdr:nvCxnSpPr>
      <xdr:spPr>
        <a:xfrm>
          <a:off x="8296275" y="5466123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286204</xdr:colOff>
      <xdr:row>19</xdr:row>
      <xdr:rowOff>225951</xdr:rowOff>
    </xdr:from>
    <xdr:to>
      <xdr:col>21</xdr:col>
      <xdr:colOff>39461</xdr:colOff>
      <xdr:row>19</xdr:row>
      <xdr:rowOff>225951</xdr:rowOff>
    </xdr:to>
    <xdr:cxnSp macro="">
      <xdr:nvCxnSpPr>
        <xdr:cNvPr id="59" name="SCHEMA_T03_SOSTEGNO_11_TR3">
          <a:extLst>
            <a:ext uri="{FF2B5EF4-FFF2-40B4-BE49-F238E27FC236}">
              <a16:creationId xmlns:a16="http://schemas.microsoft.com/office/drawing/2014/main" id="{DA55A91A-7168-E128-6A21-C160384B0A10}"/>
            </a:ext>
          </a:extLst>
        </xdr:cNvPr>
        <xdr:cNvCxnSpPr/>
      </xdr:nvCxnSpPr>
      <xdr:spPr>
        <a:xfrm>
          <a:off x="8296275" y="5750451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281668</xdr:colOff>
      <xdr:row>15</xdr:row>
      <xdr:rowOff>130570</xdr:rowOff>
    </xdr:from>
    <xdr:to>
      <xdr:col>22</xdr:col>
      <xdr:colOff>326118</xdr:colOff>
      <xdr:row>25</xdr:row>
      <xdr:rowOff>130629</xdr:rowOff>
    </xdr:to>
    <xdr:cxnSp macro="">
      <xdr:nvCxnSpPr>
        <xdr:cNvPr id="60" name="SCHEMA_T03_SOSTEGNO_12_SX">
          <a:extLst>
            <a:ext uri="{FF2B5EF4-FFF2-40B4-BE49-F238E27FC236}">
              <a16:creationId xmlns:a16="http://schemas.microsoft.com/office/drawing/2014/main" id="{91B08B02-5084-2E99-FE3D-83B145A7041E}"/>
            </a:ext>
          </a:extLst>
        </xdr:cNvPr>
        <xdr:cNvCxnSpPr/>
      </xdr:nvCxnSpPr>
      <xdr:spPr>
        <a:xfrm flipV="1">
          <a:off x="8963025" y="4675356"/>
          <a:ext cx="44450" cy="2449344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326118</xdr:colOff>
      <xdr:row>15</xdr:row>
      <xdr:rowOff>130570</xdr:rowOff>
    </xdr:from>
    <xdr:to>
      <xdr:col>23</xdr:col>
      <xdr:colOff>34925</xdr:colOff>
      <xdr:row>25</xdr:row>
      <xdr:rowOff>130629</xdr:rowOff>
    </xdr:to>
    <xdr:cxnSp macro="">
      <xdr:nvCxnSpPr>
        <xdr:cNvPr id="61" name="SCHEMA_T03_SOSTEGNO_12_DX">
          <a:extLst>
            <a:ext uri="{FF2B5EF4-FFF2-40B4-BE49-F238E27FC236}">
              <a16:creationId xmlns:a16="http://schemas.microsoft.com/office/drawing/2014/main" id="{DD44F66D-FF5B-0D47-D6BE-6E75AA4BEE41}"/>
            </a:ext>
          </a:extLst>
        </xdr:cNvPr>
        <xdr:cNvCxnSpPr/>
      </xdr:nvCxnSpPr>
      <xdr:spPr>
        <a:xfrm flipH="1" flipV="1">
          <a:off x="9007475" y="4675356"/>
          <a:ext cx="44450" cy="2449344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281668</xdr:colOff>
      <xdr:row>17</xdr:row>
      <xdr:rowOff>81595</xdr:rowOff>
    </xdr:from>
    <xdr:to>
      <xdr:col>23</xdr:col>
      <xdr:colOff>34925</xdr:colOff>
      <xdr:row>17</xdr:row>
      <xdr:rowOff>81595</xdr:rowOff>
    </xdr:to>
    <xdr:cxnSp macro="">
      <xdr:nvCxnSpPr>
        <xdr:cNvPr id="62" name="SCHEMA_T03_SOSTEGNO_12_TR1">
          <a:extLst>
            <a:ext uri="{FF2B5EF4-FFF2-40B4-BE49-F238E27FC236}">
              <a16:creationId xmlns:a16="http://schemas.microsoft.com/office/drawing/2014/main" id="{082E8A5E-85A3-ED61-8A67-E6F0E1EB6445}"/>
            </a:ext>
          </a:extLst>
        </xdr:cNvPr>
        <xdr:cNvCxnSpPr/>
      </xdr:nvCxnSpPr>
      <xdr:spPr>
        <a:xfrm>
          <a:off x="8963025" y="5116238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281668</xdr:colOff>
      <xdr:row>18</xdr:row>
      <xdr:rowOff>130588</xdr:rowOff>
    </xdr:from>
    <xdr:to>
      <xdr:col>23</xdr:col>
      <xdr:colOff>34925</xdr:colOff>
      <xdr:row>18</xdr:row>
      <xdr:rowOff>130588</xdr:rowOff>
    </xdr:to>
    <xdr:cxnSp macro="">
      <xdr:nvCxnSpPr>
        <xdr:cNvPr id="63" name="SCHEMA_T03_SOSTEGNO_12_TR2">
          <a:extLst>
            <a:ext uri="{FF2B5EF4-FFF2-40B4-BE49-F238E27FC236}">
              <a16:creationId xmlns:a16="http://schemas.microsoft.com/office/drawing/2014/main" id="{36530372-919B-B3B8-0E99-F2E64FF53CA0}"/>
            </a:ext>
          </a:extLst>
        </xdr:cNvPr>
        <xdr:cNvCxnSpPr/>
      </xdr:nvCxnSpPr>
      <xdr:spPr>
        <a:xfrm>
          <a:off x="8963025" y="5410159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281668</xdr:colOff>
      <xdr:row>19</xdr:row>
      <xdr:rowOff>179580</xdr:rowOff>
    </xdr:from>
    <xdr:to>
      <xdr:col>23</xdr:col>
      <xdr:colOff>34925</xdr:colOff>
      <xdr:row>19</xdr:row>
      <xdr:rowOff>179580</xdr:rowOff>
    </xdr:to>
    <xdr:cxnSp macro="">
      <xdr:nvCxnSpPr>
        <xdr:cNvPr id="1412" name="SCHEMA_T03_SOSTEGNO_12_TR3">
          <a:extLst>
            <a:ext uri="{FF2B5EF4-FFF2-40B4-BE49-F238E27FC236}">
              <a16:creationId xmlns:a16="http://schemas.microsoft.com/office/drawing/2014/main" id="{FF60E675-9B4D-3442-31C0-9A62147332E6}"/>
            </a:ext>
          </a:extLst>
        </xdr:cNvPr>
        <xdr:cNvCxnSpPr/>
      </xdr:nvCxnSpPr>
      <xdr:spPr>
        <a:xfrm>
          <a:off x="8963025" y="5704080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277132</xdr:colOff>
      <xdr:row>15</xdr:row>
      <xdr:rowOff>130570</xdr:rowOff>
    </xdr:from>
    <xdr:to>
      <xdr:col>24</xdr:col>
      <xdr:colOff>321582</xdr:colOff>
      <xdr:row>25</xdr:row>
      <xdr:rowOff>130629</xdr:rowOff>
    </xdr:to>
    <xdr:cxnSp macro="">
      <xdr:nvCxnSpPr>
        <xdr:cNvPr id="1413" name="SCHEMA_T03_SOSTEGNO_13_SX">
          <a:extLst>
            <a:ext uri="{FF2B5EF4-FFF2-40B4-BE49-F238E27FC236}">
              <a16:creationId xmlns:a16="http://schemas.microsoft.com/office/drawing/2014/main" id="{CC962D84-514E-B68D-235B-77BE91B63B04}"/>
            </a:ext>
          </a:extLst>
        </xdr:cNvPr>
        <xdr:cNvCxnSpPr/>
      </xdr:nvCxnSpPr>
      <xdr:spPr>
        <a:xfrm flipV="1">
          <a:off x="9629775" y="4675356"/>
          <a:ext cx="44450" cy="2449344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321582</xdr:colOff>
      <xdr:row>15</xdr:row>
      <xdr:rowOff>130570</xdr:rowOff>
    </xdr:from>
    <xdr:to>
      <xdr:col>25</xdr:col>
      <xdr:colOff>30389</xdr:colOff>
      <xdr:row>25</xdr:row>
      <xdr:rowOff>130629</xdr:rowOff>
    </xdr:to>
    <xdr:cxnSp macro="">
      <xdr:nvCxnSpPr>
        <xdr:cNvPr id="1414" name="SCHEMA_T03_SOSTEGNO_13_DX">
          <a:extLst>
            <a:ext uri="{FF2B5EF4-FFF2-40B4-BE49-F238E27FC236}">
              <a16:creationId xmlns:a16="http://schemas.microsoft.com/office/drawing/2014/main" id="{A1C2AEA0-D09C-1FBD-0F99-6AA2AE7069FD}"/>
            </a:ext>
          </a:extLst>
        </xdr:cNvPr>
        <xdr:cNvCxnSpPr/>
      </xdr:nvCxnSpPr>
      <xdr:spPr>
        <a:xfrm flipH="1" flipV="1">
          <a:off x="9674225" y="4675356"/>
          <a:ext cx="44450" cy="2449344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277132</xdr:colOff>
      <xdr:row>17</xdr:row>
      <xdr:rowOff>81595</xdr:rowOff>
    </xdr:from>
    <xdr:to>
      <xdr:col>25</xdr:col>
      <xdr:colOff>30389</xdr:colOff>
      <xdr:row>17</xdr:row>
      <xdr:rowOff>81595</xdr:rowOff>
    </xdr:to>
    <xdr:cxnSp macro="">
      <xdr:nvCxnSpPr>
        <xdr:cNvPr id="1415" name="SCHEMA_T03_SOSTEGNO_13_TR1">
          <a:extLst>
            <a:ext uri="{FF2B5EF4-FFF2-40B4-BE49-F238E27FC236}">
              <a16:creationId xmlns:a16="http://schemas.microsoft.com/office/drawing/2014/main" id="{519A8E55-9D98-24C9-71EF-8C3228248483}"/>
            </a:ext>
          </a:extLst>
        </xdr:cNvPr>
        <xdr:cNvCxnSpPr/>
      </xdr:nvCxnSpPr>
      <xdr:spPr>
        <a:xfrm>
          <a:off x="9629775" y="5116238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277132</xdr:colOff>
      <xdr:row>18</xdr:row>
      <xdr:rowOff>130588</xdr:rowOff>
    </xdr:from>
    <xdr:to>
      <xdr:col>25</xdr:col>
      <xdr:colOff>30389</xdr:colOff>
      <xdr:row>18</xdr:row>
      <xdr:rowOff>130588</xdr:rowOff>
    </xdr:to>
    <xdr:cxnSp macro="">
      <xdr:nvCxnSpPr>
        <xdr:cNvPr id="1416" name="SCHEMA_T03_SOSTEGNO_13_TR2">
          <a:extLst>
            <a:ext uri="{FF2B5EF4-FFF2-40B4-BE49-F238E27FC236}">
              <a16:creationId xmlns:a16="http://schemas.microsoft.com/office/drawing/2014/main" id="{78942E15-108E-7829-2D3A-5F8E893CD335}"/>
            </a:ext>
          </a:extLst>
        </xdr:cNvPr>
        <xdr:cNvCxnSpPr/>
      </xdr:nvCxnSpPr>
      <xdr:spPr>
        <a:xfrm>
          <a:off x="9629775" y="5410159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277132</xdr:colOff>
      <xdr:row>19</xdr:row>
      <xdr:rowOff>179580</xdr:rowOff>
    </xdr:from>
    <xdr:to>
      <xdr:col>25</xdr:col>
      <xdr:colOff>30389</xdr:colOff>
      <xdr:row>19</xdr:row>
      <xdr:rowOff>179580</xdr:rowOff>
    </xdr:to>
    <xdr:cxnSp macro="">
      <xdr:nvCxnSpPr>
        <xdr:cNvPr id="1417" name="SCHEMA_T03_SOSTEGNO_13_TR3">
          <a:extLst>
            <a:ext uri="{FF2B5EF4-FFF2-40B4-BE49-F238E27FC236}">
              <a16:creationId xmlns:a16="http://schemas.microsoft.com/office/drawing/2014/main" id="{67C0B576-7B53-F3BC-BC45-4969B9C01303}"/>
            </a:ext>
          </a:extLst>
        </xdr:cNvPr>
        <xdr:cNvCxnSpPr/>
      </xdr:nvCxnSpPr>
      <xdr:spPr>
        <a:xfrm>
          <a:off x="9629775" y="5704080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272596</xdr:colOff>
      <xdr:row>16</xdr:row>
      <xdr:rowOff>22697</xdr:rowOff>
    </xdr:from>
    <xdr:to>
      <xdr:col>26</xdr:col>
      <xdr:colOff>317046</xdr:colOff>
      <xdr:row>25</xdr:row>
      <xdr:rowOff>130629</xdr:rowOff>
    </xdr:to>
    <xdr:cxnSp macro="">
      <xdr:nvCxnSpPr>
        <xdr:cNvPr id="1418" name="SCHEMA_T03_SOSTEGNO_14_SX">
          <a:extLst>
            <a:ext uri="{FF2B5EF4-FFF2-40B4-BE49-F238E27FC236}">
              <a16:creationId xmlns:a16="http://schemas.microsoft.com/office/drawing/2014/main" id="{55D2298C-7D8D-7A97-D33A-54EC0B2DB9AA}"/>
            </a:ext>
          </a:extLst>
        </xdr:cNvPr>
        <xdr:cNvCxnSpPr/>
      </xdr:nvCxnSpPr>
      <xdr:spPr>
        <a:xfrm flipV="1">
          <a:off x="10296525" y="4812411"/>
          <a:ext cx="44450" cy="2312289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317046</xdr:colOff>
      <xdr:row>16</xdr:row>
      <xdr:rowOff>22697</xdr:rowOff>
    </xdr:from>
    <xdr:to>
      <xdr:col>27</xdr:col>
      <xdr:colOff>25854</xdr:colOff>
      <xdr:row>25</xdr:row>
      <xdr:rowOff>130629</xdr:rowOff>
    </xdr:to>
    <xdr:cxnSp macro="">
      <xdr:nvCxnSpPr>
        <xdr:cNvPr id="1419" name="SCHEMA_T03_SOSTEGNO_14_DX">
          <a:extLst>
            <a:ext uri="{FF2B5EF4-FFF2-40B4-BE49-F238E27FC236}">
              <a16:creationId xmlns:a16="http://schemas.microsoft.com/office/drawing/2014/main" id="{69CC2B99-736F-D06D-ED4E-D6D7650AA056}"/>
            </a:ext>
          </a:extLst>
        </xdr:cNvPr>
        <xdr:cNvCxnSpPr/>
      </xdr:nvCxnSpPr>
      <xdr:spPr>
        <a:xfrm flipH="1" flipV="1">
          <a:off x="10340975" y="4812411"/>
          <a:ext cx="44450" cy="2312289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272596</xdr:colOff>
      <xdr:row>17</xdr:row>
      <xdr:rowOff>193980</xdr:rowOff>
    </xdr:from>
    <xdr:to>
      <xdr:col>27</xdr:col>
      <xdr:colOff>25854</xdr:colOff>
      <xdr:row>17</xdr:row>
      <xdr:rowOff>193980</xdr:rowOff>
    </xdr:to>
    <xdr:cxnSp macro="">
      <xdr:nvCxnSpPr>
        <xdr:cNvPr id="1420" name="SCHEMA_T03_SOSTEGNO_14_TR1">
          <a:extLst>
            <a:ext uri="{FF2B5EF4-FFF2-40B4-BE49-F238E27FC236}">
              <a16:creationId xmlns:a16="http://schemas.microsoft.com/office/drawing/2014/main" id="{53D72403-1BC8-D828-2EAD-326C72781C6C}"/>
            </a:ext>
          </a:extLst>
        </xdr:cNvPr>
        <xdr:cNvCxnSpPr/>
      </xdr:nvCxnSpPr>
      <xdr:spPr>
        <a:xfrm>
          <a:off x="10296525" y="5228623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272596</xdr:colOff>
      <xdr:row>18</xdr:row>
      <xdr:rowOff>226527</xdr:rowOff>
    </xdr:from>
    <xdr:to>
      <xdr:col>27</xdr:col>
      <xdr:colOff>25854</xdr:colOff>
      <xdr:row>18</xdr:row>
      <xdr:rowOff>226527</xdr:rowOff>
    </xdr:to>
    <xdr:cxnSp macro="">
      <xdr:nvCxnSpPr>
        <xdr:cNvPr id="1421" name="SCHEMA_T03_SOSTEGNO_14_TR2">
          <a:extLst>
            <a:ext uri="{FF2B5EF4-FFF2-40B4-BE49-F238E27FC236}">
              <a16:creationId xmlns:a16="http://schemas.microsoft.com/office/drawing/2014/main" id="{BE9F8C52-6EF0-94D1-CF1D-E08245821BFD}"/>
            </a:ext>
          </a:extLst>
        </xdr:cNvPr>
        <xdr:cNvCxnSpPr/>
      </xdr:nvCxnSpPr>
      <xdr:spPr>
        <a:xfrm>
          <a:off x="10296525" y="5506098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272596</xdr:colOff>
      <xdr:row>20</xdr:row>
      <xdr:rowOff>14144</xdr:rowOff>
    </xdr:from>
    <xdr:to>
      <xdr:col>27</xdr:col>
      <xdr:colOff>25854</xdr:colOff>
      <xdr:row>20</xdr:row>
      <xdr:rowOff>14144</xdr:rowOff>
    </xdr:to>
    <xdr:cxnSp macro="">
      <xdr:nvCxnSpPr>
        <xdr:cNvPr id="1422" name="SCHEMA_T03_SOSTEGNO_14_TR3">
          <a:extLst>
            <a:ext uri="{FF2B5EF4-FFF2-40B4-BE49-F238E27FC236}">
              <a16:creationId xmlns:a16="http://schemas.microsoft.com/office/drawing/2014/main" id="{BA9BE304-33E2-D2A3-0E94-86D05968B890}"/>
            </a:ext>
          </a:extLst>
        </xdr:cNvPr>
        <xdr:cNvCxnSpPr/>
      </xdr:nvCxnSpPr>
      <xdr:spPr>
        <a:xfrm>
          <a:off x="10296525" y="5783573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268061</xdr:colOff>
      <xdr:row>16</xdr:row>
      <xdr:rowOff>16986</xdr:rowOff>
    </xdr:from>
    <xdr:to>
      <xdr:col>28</xdr:col>
      <xdr:colOff>312511</xdr:colOff>
      <xdr:row>25</xdr:row>
      <xdr:rowOff>130629</xdr:rowOff>
    </xdr:to>
    <xdr:cxnSp macro="">
      <xdr:nvCxnSpPr>
        <xdr:cNvPr id="1423" name="SCHEMA_T03_SOSTEGNO_15_SX">
          <a:extLst>
            <a:ext uri="{FF2B5EF4-FFF2-40B4-BE49-F238E27FC236}">
              <a16:creationId xmlns:a16="http://schemas.microsoft.com/office/drawing/2014/main" id="{240D5203-138E-C1BF-7B64-B863003CDDE4}"/>
            </a:ext>
          </a:extLst>
        </xdr:cNvPr>
        <xdr:cNvCxnSpPr/>
      </xdr:nvCxnSpPr>
      <xdr:spPr>
        <a:xfrm flipV="1">
          <a:off x="10963275" y="4806700"/>
          <a:ext cx="44450" cy="2318000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312511</xdr:colOff>
      <xdr:row>16</xdr:row>
      <xdr:rowOff>16986</xdr:rowOff>
    </xdr:from>
    <xdr:to>
      <xdr:col>29</xdr:col>
      <xdr:colOff>21318</xdr:colOff>
      <xdr:row>25</xdr:row>
      <xdr:rowOff>130629</xdr:rowOff>
    </xdr:to>
    <xdr:cxnSp macro="">
      <xdr:nvCxnSpPr>
        <xdr:cNvPr id="1424" name="SCHEMA_T03_SOSTEGNO_15_DX">
          <a:extLst>
            <a:ext uri="{FF2B5EF4-FFF2-40B4-BE49-F238E27FC236}">
              <a16:creationId xmlns:a16="http://schemas.microsoft.com/office/drawing/2014/main" id="{BE274C28-5743-C778-80B8-A5028242F6C9}"/>
            </a:ext>
          </a:extLst>
        </xdr:cNvPr>
        <xdr:cNvCxnSpPr/>
      </xdr:nvCxnSpPr>
      <xdr:spPr>
        <a:xfrm flipH="1" flipV="1">
          <a:off x="11007725" y="4806700"/>
          <a:ext cx="44450" cy="2318000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268061</xdr:colOff>
      <xdr:row>17</xdr:row>
      <xdr:rowOff>189297</xdr:rowOff>
    </xdr:from>
    <xdr:to>
      <xdr:col>29</xdr:col>
      <xdr:colOff>21318</xdr:colOff>
      <xdr:row>17</xdr:row>
      <xdr:rowOff>189297</xdr:rowOff>
    </xdr:to>
    <xdr:cxnSp macro="">
      <xdr:nvCxnSpPr>
        <xdr:cNvPr id="1425" name="SCHEMA_T03_SOSTEGNO_15_TR1">
          <a:extLst>
            <a:ext uri="{FF2B5EF4-FFF2-40B4-BE49-F238E27FC236}">
              <a16:creationId xmlns:a16="http://schemas.microsoft.com/office/drawing/2014/main" id="{A5C226FE-2A52-541C-E714-65BCFD9F1741}"/>
            </a:ext>
          </a:extLst>
        </xdr:cNvPr>
        <xdr:cNvCxnSpPr/>
      </xdr:nvCxnSpPr>
      <xdr:spPr>
        <a:xfrm>
          <a:off x="10963275" y="5223940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268061</xdr:colOff>
      <xdr:row>18</xdr:row>
      <xdr:rowOff>222529</xdr:rowOff>
    </xdr:from>
    <xdr:to>
      <xdr:col>29</xdr:col>
      <xdr:colOff>21318</xdr:colOff>
      <xdr:row>18</xdr:row>
      <xdr:rowOff>222529</xdr:rowOff>
    </xdr:to>
    <xdr:cxnSp macro="">
      <xdr:nvCxnSpPr>
        <xdr:cNvPr id="1426" name="SCHEMA_T03_SOSTEGNO_15_TR2">
          <a:extLst>
            <a:ext uri="{FF2B5EF4-FFF2-40B4-BE49-F238E27FC236}">
              <a16:creationId xmlns:a16="http://schemas.microsoft.com/office/drawing/2014/main" id="{40DADC40-C3FB-805D-AADE-B7091EC1B28F}"/>
            </a:ext>
          </a:extLst>
        </xdr:cNvPr>
        <xdr:cNvCxnSpPr/>
      </xdr:nvCxnSpPr>
      <xdr:spPr>
        <a:xfrm>
          <a:off x="10963275" y="5502100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268061</xdr:colOff>
      <xdr:row>20</xdr:row>
      <xdr:rowOff>10831</xdr:rowOff>
    </xdr:from>
    <xdr:to>
      <xdr:col>29</xdr:col>
      <xdr:colOff>21318</xdr:colOff>
      <xdr:row>20</xdr:row>
      <xdr:rowOff>10831</xdr:rowOff>
    </xdr:to>
    <xdr:cxnSp macro="">
      <xdr:nvCxnSpPr>
        <xdr:cNvPr id="1427" name="SCHEMA_T03_SOSTEGNO_15_TR3">
          <a:extLst>
            <a:ext uri="{FF2B5EF4-FFF2-40B4-BE49-F238E27FC236}">
              <a16:creationId xmlns:a16="http://schemas.microsoft.com/office/drawing/2014/main" id="{6023E8DA-D98C-39F1-86C6-B9AC226F0BAE}"/>
            </a:ext>
          </a:extLst>
        </xdr:cNvPr>
        <xdr:cNvCxnSpPr/>
      </xdr:nvCxnSpPr>
      <xdr:spPr>
        <a:xfrm>
          <a:off x="10963275" y="5780260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263525</xdr:colOff>
      <xdr:row>16</xdr:row>
      <xdr:rowOff>22697</xdr:rowOff>
    </xdr:from>
    <xdr:to>
      <xdr:col>30</xdr:col>
      <xdr:colOff>307975</xdr:colOff>
      <xdr:row>25</xdr:row>
      <xdr:rowOff>130629</xdr:rowOff>
    </xdr:to>
    <xdr:cxnSp macro="">
      <xdr:nvCxnSpPr>
        <xdr:cNvPr id="1428" name="SCHEMA_T03_SOSTEGNO_16_SX">
          <a:extLst>
            <a:ext uri="{FF2B5EF4-FFF2-40B4-BE49-F238E27FC236}">
              <a16:creationId xmlns:a16="http://schemas.microsoft.com/office/drawing/2014/main" id="{CDF12572-A116-0487-3C3E-A6E683277649}"/>
            </a:ext>
          </a:extLst>
        </xdr:cNvPr>
        <xdr:cNvCxnSpPr/>
      </xdr:nvCxnSpPr>
      <xdr:spPr>
        <a:xfrm flipV="1">
          <a:off x="11630025" y="4812411"/>
          <a:ext cx="44450" cy="2312289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307975</xdr:colOff>
      <xdr:row>16</xdr:row>
      <xdr:rowOff>22697</xdr:rowOff>
    </xdr:from>
    <xdr:to>
      <xdr:col>31</xdr:col>
      <xdr:colOff>16782</xdr:colOff>
      <xdr:row>25</xdr:row>
      <xdr:rowOff>130629</xdr:rowOff>
    </xdr:to>
    <xdr:cxnSp macro="">
      <xdr:nvCxnSpPr>
        <xdr:cNvPr id="1429" name="SCHEMA_T03_SOSTEGNO_16_DX">
          <a:extLst>
            <a:ext uri="{FF2B5EF4-FFF2-40B4-BE49-F238E27FC236}">
              <a16:creationId xmlns:a16="http://schemas.microsoft.com/office/drawing/2014/main" id="{CF241C15-DF43-7577-1E84-79ABBB41FF95}"/>
            </a:ext>
          </a:extLst>
        </xdr:cNvPr>
        <xdr:cNvCxnSpPr/>
      </xdr:nvCxnSpPr>
      <xdr:spPr>
        <a:xfrm flipH="1" flipV="1">
          <a:off x="11674475" y="4812411"/>
          <a:ext cx="44450" cy="2312289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263525</xdr:colOff>
      <xdr:row>17</xdr:row>
      <xdr:rowOff>193980</xdr:rowOff>
    </xdr:from>
    <xdr:to>
      <xdr:col>31</xdr:col>
      <xdr:colOff>16782</xdr:colOff>
      <xdr:row>17</xdr:row>
      <xdr:rowOff>193980</xdr:rowOff>
    </xdr:to>
    <xdr:cxnSp macro="">
      <xdr:nvCxnSpPr>
        <xdr:cNvPr id="1430" name="SCHEMA_T03_SOSTEGNO_16_TR1">
          <a:extLst>
            <a:ext uri="{FF2B5EF4-FFF2-40B4-BE49-F238E27FC236}">
              <a16:creationId xmlns:a16="http://schemas.microsoft.com/office/drawing/2014/main" id="{62F51558-5F46-4597-05A9-6574316410F7}"/>
            </a:ext>
          </a:extLst>
        </xdr:cNvPr>
        <xdr:cNvCxnSpPr/>
      </xdr:nvCxnSpPr>
      <xdr:spPr>
        <a:xfrm>
          <a:off x="11630025" y="5228623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263525</xdr:colOff>
      <xdr:row>18</xdr:row>
      <xdr:rowOff>226527</xdr:rowOff>
    </xdr:from>
    <xdr:to>
      <xdr:col>31</xdr:col>
      <xdr:colOff>16782</xdr:colOff>
      <xdr:row>18</xdr:row>
      <xdr:rowOff>226527</xdr:rowOff>
    </xdr:to>
    <xdr:cxnSp macro="">
      <xdr:nvCxnSpPr>
        <xdr:cNvPr id="1431" name="SCHEMA_T03_SOSTEGNO_16_TR2">
          <a:extLst>
            <a:ext uri="{FF2B5EF4-FFF2-40B4-BE49-F238E27FC236}">
              <a16:creationId xmlns:a16="http://schemas.microsoft.com/office/drawing/2014/main" id="{392110F7-6125-E908-17D3-F20996C3082D}"/>
            </a:ext>
          </a:extLst>
        </xdr:cNvPr>
        <xdr:cNvCxnSpPr/>
      </xdr:nvCxnSpPr>
      <xdr:spPr>
        <a:xfrm>
          <a:off x="11630025" y="5506098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263525</xdr:colOff>
      <xdr:row>20</xdr:row>
      <xdr:rowOff>14144</xdr:rowOff>
    </xdr:from>
    <xdr:to>
      <xdr:col>31</xdr:col>
      <xdr:colOff>16782</xdr:colOff>
      <xdr:row>20</xdr:row>
      <xdr:rowOff>14144</xdr:rowOff>
    </xdr:to>
    <xdr:cxnSp macro="">
      <xdr:nvCxnSpPr>
        <xdr:cNvPr id="1432" name="SCHEMA_T03_SOSTEGNO_16_TR3">
          <a:extLst>
            <a:ext uri="{FF2B5EF4-FFF2-40B4-BE49-F238E27FC236}">
              <a16:creationId xmlns:a16="http://schemas.microsoft.com/office/drawing/2014/main" id="{D26754E2-06E3-A6BD-1BFD-BC2608F88779}"/>
            </a:ext>
          </a:extLst>
        </xdr:cNvPr>
        <xdr:cNvCxnSpPr/>
      </xdr:nvCxnSpPr>
      <xdr:spPr>
        <a:xfrm>
          <a:off x="11630025" y="5783573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258989</xdr:colOff>
      <xdr:row>14</xdr:row>
      <xdr:rowOff>101388</xdr:rowOff>
    </xdr:from>
    <xdr:to>
      <xdr:col>32</xdr:col>
      <xdr:colOff>303439</xdr:colOff>
      <xdr:row>25</xdr:row>
      <xdr:rowOff>130629</xdr:rowOff>
    </xdr:to>
    <xdr:cxnSp macro="">
      <xdr:nvCxnSpPr>
        <xdr:cNvPr id="1433" name="SCHEMA_T03_SOSTEGNO_17_SX">
          <a:extLst>
            <a:ext uri="{FF2B5EF4-FFF2-40B4-BE49-F238E27FC236}">
              <a16:creationId xmlns:a16="http://schemas.microsoft.com/office/drawing/2014/main" id="{F3AED8CC-9614-2D80-F54A-B6592A324A26}"/>
            </a:ext>
          </a:extLst>
        </xdr:cNvPr>
        <xdr:cNvCxnSpPr/>
      </xdr:nvCxnSpPr>
      <xdr:spPr>
        <a:xfrm flipV="1">
          <a:off x="12296775" y="4401245"/>
          <a:ext cx="44450" cy="2723455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303439</xdr:colOff>
      <xdr:row>14</xdr:row>
      <xdr:rowOff>101388</xdr:rowOff>
    </xdr:from>
    <xdr:to>
      <xdr:col>33</xdr:col>
      <xdr:colOff>12246</xdr:colOff>
      <xdr:row>25</xdr:row>
      <xdr:rowOff>130629</xdr:rowOff>
    </xdr:to>
    <xdr:cxnSp macro="">
      <xdr:nvCxnSpPr>
        <xdr:cNvPr id="1434" name="SCHEMA_T03_SOSTEGNO_17_DX">
          <a:extLst>
            <a:ext uri="{FF2B5EF4-FFF2-40B4-BE49-F238E27FC236}">
              <a16:creationId xmlns:a16="http://schemas.microsoft.com/office/drawing/2014/main" id="{BC8AB950-1A44-B0CE-49F8-0FD4710489A8}"/>
            </a:ext>
          </a:extLst>
        </xdr:cNvPr>
        <xdr:cNvCxnSpPr/>
      </xdr:nvCxnSpPr>
      <xdr:spPr>
        <a:xfrm flipH="1" flipV="1">
          <a:off x="12341225" y="4401245"/>
          <a:ext cx="44450" cy="2723455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258989</xdr:colOff>
      <xdr:row>16</xdr:row>
      <xdr:rowOff>101753</xdr:rowOff>
    </xdr:from>
    <xdr:to>
      <xdr:col>33</xdr:col>
      <xdr:colOff>12246</xdr:colOff>
      <xdr:row>16</xdr:row>
      <xdr:rowOff>101753</xdr:rowOff>
    </xdr:to>
    <xdr:cxnSp macro="">
      <xdr:nvCxnSpPr>
        <xdr:cNvPr id="1435" name="SCHEMA_T03_SOSTEGNO_17_TR1">
          <a:extLst>
            <a:ext uri="{FF2B5EF4-FFF2-40B4-BE49-F238E27FC236}">
              <a16:creationId xmlns:a16="http://schemas.microsoft.com/office/drawing/2014/main" id="{BB418288-979F-9987-B96E-0A7A8A9DBB51}"/>
            </a:ext>
          </a:extLst>
        </xdr:cNvPr>
        <xdr:cNvCxnSpPr/>
      </xdr:nvCxnSpPr>
      <xdr:spPr>
        <a:xfrm>
          <a:off x="12296775" y="4891467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258989</xdr:colOff>
      <xdr:row>17</xdr:row>
      <xdr:rowOff>183638</xdr:rowOff>
    </xdr:from>
    <xdr:to>
      <xdr:col>33</xdr:col>
      <xdr:colOff>12246</xdr:colOff>
      <xdr:row>17</xdr:row>
      <xdr:rowOff>183638</xdr:rowOff>
    </xdr:to>
    <xdr:cxnSp macro="">
      <xdr:nvCxnSpPr>
        <xdr:cNvPr id="1436" name="SCHEMA_T03_SOSTEGNO_17_TR2">
          <a:extLst>
            <a:ext uri="{FF2B5EF4-FFF2-40B4-BE49-F238E27FC236}">
              <a16:creationId xmlns:a16="http://schemas.microsoft.com/office/drawing/2014/main" id="{B52F3BFD-E2ED-1B27-A1EF-821EEC285922}"/>
            </a:ext>
          </a:extLst>
        </xdr:cNvPr>
        <xdr:cNvCxnSpPr/>
      </xdr:nvCxnSpPr>
      <xdr:spPr>
        <a:xfrm>
          <a:off x="12296775" y="5218281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258989</xdr:colOff>
      <xdr:row>19</xdr:row>
      <xdr:rowOff>20596</xdr:rowOff>
    </xdr:from>
    <xdr:to>
      <xdr:col>33</xdr:col>
      <xdr:colOff>12246</xdr:colOff>
      <xdr:row>19</xdr:row>
      <xdr:rowOff>20596</xdr:rowOff>
    </xdr:to>
    <xdr:cxnSp macro="">
      <xdr:nvCxnSpPr>
        <xdr:cNvPr id="1437" name="SCHEMA_T03_SOSTEGNO_17_TR3">
          <a:extLst>
            <a:ext uri="{FF2B5EF4-FFF2-40B4-BE49-F238E27FC236}">
              <a16:creationId xmlns:a16="http://schemas.microsoft.com/office/drawing/2014/main" id="{51B17D18-C47E-56D2-BAEF-158669EB5039}"/>
            </a:ext>
          </a:extLst>
        </xdr:cNvPr>
        <xdr:cNvCxnSpPr/>
      </xdr:nvCxnSpPr>
      <xdr:spPr>
        <a:xfrm>
          <a:off x="12296775" y="5545096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254454</xdr:colOff>
      <xdr:row>15</xdr:row>
      <xdr:rowOff>67753</xdr:rowOff>
    </xdr:from>
    <xdr:to>
      <xdr:col>34</xdr:col>
      <xdr:colOff>298904</xdr:colOff>
      <xdr:row>25</xdr:row>
      <xdr:rowOff>130629</xdr:rowOff>
    </xdr:to>
    <xdr:cxnSp macro="">
      <xdr:nvCxnSpPr>
        <xdr:cNvPr id="1438" name="SCHEMA_T03_SOSTEGNO_18_SX">
          <a:extLst>
            <a:ext uri="{FF2B5EF4-FFF2-40B4-BE49-F238E27FC236}">
              <a16:creationId xmlns:a16="http://schemas.microsoft.com/office/drawing/2014/main" id="{2A2B29D4-20AF-AC2E-045D-3EF1896B3514}"/>
            </a:ext>
          </a:extLst>
        </xdr:cNvPr>
        <xdr:cNvCxnSpPr/>
      </xdr:nvCxnSpPr>
      <xdr:spPr>
        <a:xfrm flipV="1">
          <a:off x="12963525" y="4612539"/>
          <a:ext cx="44450" cy="2512161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298904</xdr:colOff>
      <xdr:row>15</xdr:row>
      <xdr:rowOff>67753</xdr:rowOff>
    </xdr:from>
    <xdr:to>
      <xdr:col>35</xdr:col>
      <xdr:colOff>7711</xdr:colOff>
      <xdr:row>25</xdr:row>
      <xdr:rowOff>130629</xdr:rowOff>
    </xdr:to>
    <xdr:cxnSp macro="">
      <xdr:nvCxnSpPr>
        <xdr:cNvPr id="1439" name="SCHEMA_T03_SOSTEGNO_18_DX">
          <a:extLst>
            <a:ext uri="{FF2B5EF4-FFF2-40B4-BE49-F238E27FC236}">
              <a16:creationId xmlns:a16="http://schemas.microsoft.com/office/drawing/2014/main" id="{8355B540-8BB9-9C8F-E0E3-3BC3E74D93A2}"/>
            </a:ext>
          </a:extLst>
        </xdr:cNvPr>
        <xdr:cNvCxnSpPr/>
      </xdr:nvCxnSpPr>
      <xdr:spPr>
        <a:xfrm flipH="1" flipV="1">
          <a:off x="13007975" y="4612539"/>
          <a:ext cx="44450" cy="2512161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254454</xdr:colOff>
      <xdr:row>17</xdr:row>
      <xdr:rowOff>30085</xdr:rowOff>
    </xdr:from>
    <xdr:to>
      <xdr:col>35</xdr:col>
      <xdr:colOff>7711</xdr:colOff>
      <xdr:row>17</xdr:row>
      <xdr:rowOff>30085</xdr:rowOff>
    </xdr:to>
    <xdr:cxnSp macro="">
      <xdr:nvCxnSpPr>
        <xdr:cNvPr id="1440" name="SCHEMA_T03_SOSTEGNO_18_TR1">
          <a:extLst>
            <a:ext uri="{FF2B5EF4-FFF2-40B4-BE49-F238E27FC236}">
              <a16:creationId xmlns:a16="http://schemas.microsoft.com/office/drawing/2014/main" id="{A8F01ED5-A1B7-DA62-C885-D9EC00C9558D}"/>
            </a:ext>
          </a:extLst>
        </xdr:cNvPr>
        <xdr:cNvCxnSpPr/>
      </xdr:nvCxnSpPr>
      <xdr:spPr>
        <a:xfrm>
          <a:off x="12963525" y="5064728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254454</xdr:colOff>
      <xdr:row>18</xdr:row>
      <xdr:rowOff>86616</xdr:rowOff>
    </xdr:from>
    <xdr:to>
      <xdr:col>35</xdr:col>
      <xdr:colOff>7711</xdr:colOff>
      <xdr:row>18</xdr:row>
      <xdr:rowOff>86616</xdr:rowOff>
    </xdr:to>
    <xdr:cxnSp macro="">
      <xdr:nvCxnSpPr>
        <xdr:cNvPr id="1441" name="SCHEMA_T03_SOSTEGNO_18_TR2">
          <a:extLst>
            <a:ext uri="{FF2B5EF4-FFF2-40B4-BE49-F238E27FC236}">
              <a16:creationId xmlns:a16="http://schemas.microsoft.com/office/drawing/2014/main" id="{06802712-4385-02B1-B2CC-19F76A0F1B33}"/>
            </a:ext>
          </a:extLst>
        </xdr:cNvPr>
        <xdr:cNvCxnSpPr/>
      </xdr:nvCxnSpPr>
      <xdr:spPr>
        <a:xfrm>
          <a:off x="12963525" y="5366187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254454</xdr:colOff>
      <xdr:row>19</xdr:row>
      <xdr:rowOff>143146</xdr:rowOff>
    </xdr:from>
    <xdr:to>
      <xdr:col>35</xdr:col>
      <xdr:colOff>7711</xdr:colOff>
      <xdr:row>19</xdr:row>
      <xdr:rowOff>143146</xdr:rowOff>
    </xdr:to>
    <xdr:cxnSp macro="">
      <xdr:nvCxnSpPr>
        <xdr:cNvPr id="1442" name="SCHEMA_T03_SOSTEGNO_18_TR3">
          <a:extLst>
            <a:ext uri="{FF2B5EF4-FFF2-40B4-BE49-F238E27FC236}">
              <a16:creationId xmlns:a16="http://schemas.microsoft.com/office/drawing/2014/main" id="{583EAAFE-EA66-1538-011E-DE3FA6089DF7}"/>
            </a:ext>
          </a:extLst>
        </xdr:cNvPr>
        <xdr:cNvCxnSpPr/>
      </xdr:nvCxnSpPr>
      <xdr:spPr>
        <a:xfrm>
          <a:off x="12963525" y="5667646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249918</xdr:colOff>
      <xdr:row>15</xdr:row>
      <xdr:rowOff>204808</xdr:rowOff>
    </xdr:from>
    <xdr:to>
      <xdr:col>36</xdr:col>
      <xdr:colOff>294368</xdr:colOff>
      <xdr:row>25</xdr:row>
      <xdr:rowOff>130629</xdr:rowOff>
    </xdr:to>
    <xdr:cxnSp macro="">
      <xdr:nvCxnSpPr>
        <xdr:cNvPr id="1443" name="SCHEMA_T03_SOSTEGNO_19_SX">
          <a:extLst>
            <a:ext uri="{FF2B5EF4-FFF2-40B4-BE49-F238E27FC236}">
              <a16:creationId xmlns:a16="http://schemas.microsoft.com/office/drawing/2014/main" id="{8FFDD247-08A2-957B-142A-6850336720B7}"/>
            </a:ext>
          </a:extLst>
        </xdr:cNvPr>
        <xdr:cNvCxnSpPr/>
      </xdr:nvCxnSpPr>
      <xdr:spPr>
        <a:xfrm flipV="1">
          <a:off x="13630275" y="4749594"/>
          <a:ext cx="44450" cy="2375106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294368</xdr:colOff>
      <xdr:row>15</xdr:row>
      <xdr:rowOff>204808</xdr:rowOff>
    </xdr:from>
    <xdr:to>
      <xdr:col>37</xdr:col>
      <xdr:colOff>3175</xdr:colOff>
      <xdr:row>25</xdr:row>
      <xdr:rowOff>130629</xdr:rowOff>
    </xdr:to>
    <xdr:cxnSp macro="">
      <xdr:nvCxnSpPr>
        <xdr:cNvPr id="1444" name="SCHEMA_T03_SOSTEGNO_19_DX">
          <a:extLst>
            <a:ext uri="{FF2B5EF4-FFF2-40B4-BE49-F238E27FC236}">
              <a16:creationId xmlns:a16="http://schemas.microsoft.com/office/drawing/2014/main" id="{6FA8E592-D7D0-7376-205F-C61AF0EFDF4A}"/>
            </a:ext>
          </a:extLst>
        </xdr:cNvPr>
        <xdr:cNvCxnSpPr/>
      </xdr:nvCxnSpPr>
      <xdr:spPr>
        <a:xfrm flipH="1" flipV="1">
          <a:off x="13674725" y="4749594"/>
          <a:ext cx="44450" cy="2375106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249918</xdr:colOff>
      <xdr:row>17</xdr:row>
      <xdr:rowOff>142470</xdr:rowOff>
    </xdr:from>
    <xdr:to>
      <xdr:col>37</xdr:col>
      <xdr:colOff>3175</xdr:colOff>
      <xdr:row>17</xdr:row>
      <xdr:rowOff>142470</xdr:rowOff>
    </xdr:to>
    <xdr:cxnSp macro="">
      <xdr:nvCxnSpPr>
        <xdr:cNvPr id="1445" name="SCHEMA_T03_SOSTEGNO_19_TR1">
          <a:extLst>
            <a:ext uri="{FF2B5EF4-FFF2-40B4-BE49-F238E27FC236}">
              <a16:creationId xmlns:a16="http://schemas.microsoft.com/office/drawing/2014/main" id="{E93559EC-DA10-BCF7-3244-880196F574AC}"/>
            </a:ext>
          </a:extLst>
        </xdr:cNvPr>
        <xdr:cNvCxnSpPr/>
      </xdr:nvCxnSpPr>
      <xdr:spPr>
        <a:xfrm>
          <a:off x="13630275" y="5177113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249918</xdr:colOff>
      <xdr:row>18</xdr:row>
      <xdr:rowOff>182555</xdr:rowOff>
    </xdr:from>
    <xdr:to>
      <xdr:col>37</xdr:col>
      <xdr:colOff>3175</xdr:colOff>
      <xdr:row>18</xdr:row>
      <xdr:rowOff>182555</xdr:rowOff>
    </xdr:to>
    <xdr:cxnSp macro="">
      <xdr:nvCxnSpPr>
        <xdr:cNvPr id="1446" name="SCHEMA_T03_SOSTEGNO_19_TR2">
          <a:extLst>
            <a:ext uri="{FF2B5EF4-FFF2-40B4-BE49-F238E27FC236}">
              <a16:creationId xmlns:a16="http://schemas.microsoft.com/office/drawing/2014/main" id="{0C51AEDA-EFDA-D14D-2C58-CEB76AC1E006}"/>
            </a:ext>
          </a:extLst>
        </xdr:cNvPr>
        <xdr:cNvCxnSpPr/>
      </xdr:nvCxnSpPr>
      <xdr:spPr>
        <a:xfrm>
          <a:off x="13630275" y="5462126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249918</xdr:colOff>
      <xdr:row>19</xdr:row>
      <xdr:rowOff>222638</xdr:rowOff>
    </xdr:from>
    <xdr:to>
      <xdr:col>37</xdr:col>
      <xdr:colOff>3175</xdr:colOff>
      <xdr:row>19</xdr:row>
      <xdr:rowOff>222638</xdr:rowOff>
    </xdr:to>
    <xdr:cxnSp macro="">
      <xdr:nvCxnSpPr>
        <xdr:cNvPr id="1447" name="SCHEMA_T03_SOSTEGNO_19_TR3">
          <a:extLst>
            <a:ext uri="{FF2B5EF4-FFF2-40B4-BE49-F238E27FC236}">
              <a16:creationId xmlns:a16="http://schemas.microsoft.com/office/drawing/2014/main" id="{635F38CE-CCE9-F2A0-15AA-DFBE1D18278E}"/>
            </a:ext>
          </a:extLst>
        </xdr:cNvPr>
        <xdr:cNvCxnSpPr/>
      </xdr:nvCxnSpPr>
      <xdr:spPr>
        <a:xfrm>
          <a:off x="13630275" y="5747138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40368</xdr:colOff>
      <xdr:row>12</xdr:row>
      <xdr:rowOff>203517</xdr:rowOff>
    </xdr:from>
    <xdr:to>
      <xdr:col>1</xdr:col>
      <xdr:colOff>262618</xdr:colOff>
      <xdr:row>13</xdr:row>
      <xdr:rowOff>130818</xdr:rowOff>
    </xdr:to>
    <xdr:cxnSp macro="">
      <xdr:nvCxnSpPr>
        <xdr:cNvPr id="1448" name="SCHEMA_T03_COND_0001">
          <a:extLst>
            <a:ext uri="{FF2B5EF4-FFF2-40B4-BE49-F238E27FC236}">
              <a16:creationId xmlns:a16="http://schemas.microsoft.com/office/drawing/2014/main" id="{B36ABBBF-802C-185B-5D53-D9E33AA4D63E}"/>
            </a:ext>
          </a:extLst>
        </xdr:cNvPr>
        <xdr:cNvCxnSpPr/>
      </xdr:nvCxnSpPr>
      <xdr:spPr>
        <a:xfrm>
          <a:off x="1673225" y="4013517"/>
          <a:ext cx="222250" cy="172230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262618</xdr:colOff>
      <xdr:row>13</xdr:row>
      <xdr:rowOff>130818</xdr:rowOff>
    </xdr:from>
    <xdr:to>
      <xdr:col>2</xdr:col>
      <xdr:colOff>149225</xdr:colOff>
      <xdr:row>13</xdr:row>
      <xdr:rowOff>218381</xdr:rowOff>
    </xdr:to>
    <xdr:cxnSp macro="">
      <xdr:nvCxnSpPr>
        <xdr:cNvPr id="1449" name="SCHEMA_T03_COND_0002">
          <a:extLst>
            <a:ext uri="{FF2B5EF4-FFF2-40B4-BE49-F238E27FC236}">
              <a16:creationId xmlns:a16="http://schemas.microsoft.com/office/drawing/2014/main" id="{E4FF5458-EDB7-9F59-8CF7-8C23035C7561}"/>
            </a:ext>
          </a:extLst>
        </xdr:cNvPr>
        <xdr:cNvCxnSpPr/>
      </xdr:nvCxnSpPr>
      <xdr:spPr>
        <a:xfrm>
          <a:off x="1895475" y="4185747"/>
          <a:ext cx="222250" cy="87563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149225</xdr:colOff>
      <xdr:row>13</xdr:row>
      <xdr:rowOff>218381</xdr:rowOff>
    </xdr:from>
    <xdr:to>
      <xdr:col>3</xdr:col>
      <xdr:colOff>35832</xdr:colOff>
      <xdr:row>13</xdr:row>
      <xdr:rowOff>221278</xdr:rowOff>
    </xdr:to>
    <xdr:cxnSp macro="">
      <xdr:nvCxnSpPr>
        <xdr:cNvPr id="1450" name="SCHEMA_T03_COND_0003">
          <a:extLst>
            <a:ext uri="{FF2B5EF4-FFF2-40B4-BE49-F238E27FC236}">
              <a16:creationId xmlns:a16="http://schemas.microsoft.com/office/drawing/2014/main" id="{BE17BDF6-0BFB-6BB3-936E-272FF5C3414D}"/>
            </a:ext>
          </a:extLst>
        </xdr:cNvPr>
        <xdr:cNvCxnSpPr/>
      </xdr:nvCxnSpPr>
      <xdr:spPr>
        <a:xfrm>
          <a:off x="2117725" y="4273310"/>
          <a:ext cx="222250" cy="2897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40368</xdr:colOff>
      <xdr:row>13</xdr:row>
      <xdr:rowOff>123688</xdr:rowOff>
    </xdr:from>
    <xdr:to>
      <xdr:col>1</xdr:col>
      <xdr:colOff>262618</xdr:colOff>
      <xdr:row>14</xdr:row>
      <xdr:rowOff>50990</xdr:rowOff>
    </xdr:to>
    <xdr:cxnSp macro="">
      <xdr:nvCxnSpPr>
        <xdr:cNvPr id="1451" name="SCHEMA_T03_COND_0004">
          <a:extLst>
            <a:ext uri="{FF2B5EF4-FFF2-40B4-BE49-F238E27FC236}">
              <a16:creationId xmlns:a16="http://schemas.microsoft.com/office/drawing/2014/main" id="{EF7A7FA9-0A0C-7BED-BF61-F6E56FD0CD22}"/>
            </a:ext>
          </a:extLst>
        </xdr:cNvPr>
        <xdr:cNvCxnSpPr/>
      </xdr:nvCxnSpPr>
      <xdr:spPr>
        <a:xfrm>
          <a:off x="1673225" y="4178617"/>
          <a:ext cx="222250" cy="17223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262618</xdr:colOff>
      <xdr:row>14</xdr:row>
      <xdr:rowOff>50990</xdr:rowOff>
    </xdr:from>
    <xdr:to>
      <xdr:col>2</xdr:col>
      <xdr:colOff>149225</xdr:colOff>
      <xdr:row>14</xdr:row>
      <xdr:rowOff>138553</xdr:rowOff>
    </xdr:to>
    <xdr:cxnSp macro="">
      <xdr:nvCxnSpPr>
        <xdr:cNvPr id="1452" name="SCHEMA_T03_COND_0005">
          <a:extLst>
            <a:ext uri="{FF2B5EF4-FFF2-40B4-BE49-F238E27FC236}">
              <a16:creationId xmlns:a16="http://schemas.microsoft.com/office/drawing/2014/main" id="{ACA7DD07-D7D9-663C-D44C-86959FFE50C4}"/>
            </a:ext>
          </a:extLst>
        </xdr:cNvPr>
        <xdr:cNvCxnSpPr/>
      </xdr:nvCxnSpPr>
      <xdr:spPr>
        <a:xfrm>
          <a:off x="1895475" y="4350847"/>
          <a:ext cx="222250" cy="8756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149225</xdr:colOff>
      <xdr:row>14</xdr:row>
      <xdr:rowOff>138553</xdr:rowOff>
    </xdr:from>
    <xdr:to>
      <xdr:col>3</xdr:col>
      <xdr:colOff>35832</xdr:colOff>
      <xdr:row>14</xdr:row>
      <xdr:rowOff>141450</xdr:rowOff>
    </xdr:to>
    <xdr:cxnSp macro="">
      <xdr:nvCxnSpPr>
        <xdr:cNvPr id="1453" name="SCHEMA_T03_COND_0006">
          <a:extLst>
            <a:ext uri="{FF2B5EF4-FFF2-40B4-BE49-F238E27FC236}">
              <a16:creationId xmlns:a16="http://schemas.microsoft.com/office/drawing/2014/main" id="{65B42106-37CF-5960-FDFB-78EAFABD72AC}"/>
            </a:ext>
          </a:extLst>
        </xdr:cNvPr>
        <xdr:cNvCxnSpPr/>
      </xdr:nvCxnSpPr>
      <xdr:spPr>
        <a:xfrm>
          <a:off x="2117725" y="4438410"/>
          <a:ext cx="222250" cy="289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40368</xdr:colOff>
      <xdr:row>13</xdr:row>
      <xdr:rowOff>225288</xdr:rowOff>
    </xdr:from>
    <xdr:to>
      <xdr:col>1</xdr:col>
      <xdr:colOff>262618</xdr:colOff>
      <xdr:row>14</xdr:row>
      <xdr:rowOff>152590</xdr:rowOff>
    </xdr:to>
    <xdr:cxnSp macro="">
      <xdr:nvCxnSpPr>
        <xdr:cNvPr id="1454" name="SCHEMA_T03_COND_0007">
          <a:extLst>
            <a:ext uri="{FF2B5EF4-FFF2-40B4-BE49-F238E27FC236}">
              <a16:creationId xmlns:a16="http://schemas.microsoft.com/office/drawing/2014/main" id="{7A3FDFB0-7D49-4B1B-72D1-1DA3A9CC0E9F}"/>
            </a:ext>
          </a:extLst>
        </xdr:cNvPr>
        <xdr:cNvCxnSpPr/>
      </xdr:nvCxnSpPr>
      <xdr:spPr>
        <a:xfrm>
          <a:off x="1673225" y="4280217"/>
          <a:ext cx="222250" cy="17223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262618</xdr:colOff>
      <xdr:row>14</xdr:row>
      <xdr:rowOff>152590</xdr:rowOff>
    </xdr:from>
    <xdr:to>
      <xdr:col>2</xdr:col>
      <xdr:colOff>149225</xdr:colOff>
      <xdr:row>14</xdr:row>
      <xdr:rowOff>240153</xdr:rowOff>
    </xdr:to>
    <xdr:cxnSp macro="">
      <xdr:nvCxnSpPr>
        <xdr:cNvPr id="1455" name="SCHEMA_T03_COND_0008">
          <a:extLst>
            <a:ext uri="{FF2B5EF4-FFF2-40B4-BE49-F238E27FC236}">
              <a16:creationId xmlns:a16="http://schemas.microsoft.com/office/drawing/2014/main" id="{27C55D33-4A45-5007-074D-96FC18EF4DE3}"/>
            </a:ext>
          </a:extLst>
        </xdr:cNvPr>
        <xdr:cNvCxnSpPr/>
      </xdr:nvCxnSpPr>
      <xdr:spPr>
        <a:xfrm>
          <a:off x="1895475" y="4452447"/>
          <a:ext cx="222250" cy="8756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149225</xdr:colOff>
      <xdr:row>14</xdr:row>
      <xdr:rowOff>240153</xdr:rowOff>
    </xdr:from>
    <xdr:to>
      <xdr:col>3</xdr:col>
      <xdr:colOff>35832</xdr:colOff>
      <xdr:row>14</xdr:row>
      <xdr:rowOff>243050</xdr:rowOff>
    </xdr:to>
    <xdr:cxnSp macro="">
      <xdr:nvCxnSpPr>
        <xdr:cNvPr id="1456" name="SCHEMA_T03_COND_0009">
          <a:extLst>
            <a:ext uri="{FF2B5EF4-FFF2-40B4-BE49-F238E27FC236}">
              <a16:creationId xmlns:a16="http://schemas.microsoft.com/office/drawing/2014/main" id="{E3A08508-9A51-D01F-811E-27D8F8762782}"/>
            </a:ext>
          </a:extLst>
        </xdr:cNvPr>
        <xdr:cNvCxnSpPr/>
      </xdr:nvCxnSpPr>
      <xdr:spPr>
        <a:xfrm>
          <a:off x="2117725" y="4540010"/>
          <a:ext cx="222250" cy="289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40368</xdr:colOff>
      <xdr:row>14</xdr:row>
      <xdr:rowOff>132760</xdr:rowOff>
    </xdr:from>
    <xdr:to>
      <xdr:col>1</xdr:col>
      <xdr:colOff>262618</xdr:colOff>
      <xdr:row>15</xdr:row>
      <xdr:rowOff>60061</xdr:rowOff>
    </xdr:to>
    <xdr:cxnSp macro="">
      <xdr:nvCxnSpPr>
        <xdr:cNvPr id="1457" name="SCHEMA_T03_COND_0010">
          <a:extLst>
            <a:ext uri="{FF2B5EF4-FFF2-40B4-BE49-F238E27FC236}">
              <a16:creationId xmlns:a16="http://schemas.microsoft.com/office/drawing/2014/main" id="{7AB8E418-12B1-581C-F30C-448787E1B68D}"/>
            </a:ext>
          </a:extLst>
        </xdr:cNvPr>
        <xdr:cNvCxnSpPr/>
      </xdr:nvCxnSpPr>
      <xdr:spPr>
        <a:xfrm>
          <a:off x="1673225" y="4432617"/>
          <a:ext cx="222250" cy="17223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262618</xdr:colOff>
      <xdr:row>15</xdr:row>
      <xdr:rowOff>60061</xdr:rowOff>
    </xdr:from>
    <xdr:to>
      <xdr:col>2</xdr:col>
      <xdr:colOff>149225</xdr:colOff>
      <xdr:row>15</xdr:row>
      <xdr:rowOff>147624</xdr:rowOff>
    </xdr:to>
    <xdr:cxnSp macro="">
      <xdr:nvCxnSpPr>
        <xdr:cNvPr id="1458" name="SCHEMA_T03_COND_0011">
          <a:extLst>
            <a:ext uri="{FF2B5EF4-FFF2-40B4-BE49-F238E27FC236}">
              <a16:creationId xmlns:a16="http://schemas.microsoft.com/office/drawing/2014/main" id="{877D1370-8EC9-7297-2578-0E3FDA37176B}"/>
            </a:ext>
          </a:extLst>
        </xdr:cNvPr>
        <xdr:cNvCxnSpPr/>
      </xdr:nvCxnSpPr>
      <xdr:spPr>
        <a:xfrm>
          <a:off x="1895475" y="4604847"/>
          <a:ext cx="222250" cy="8756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149225</xdr:colOff>
      <xdr:row>15</xdr:row>
      <xdr:rowOff>147624</xdr:rowOff>
    </xdr:from>
    <xdr:to>
      <xdr:col>3</xdr:col>
      <xdr:colOff>35832</xdr:colOff>
      <xdr:row>15</xdr:row>
      <xdr:rowOff>150521</xdr:rowOff>
    </xdr:to>
    <xdr:cxnSp macro="">
      <xdr:nvCxnSpPr>
        <xdr:cNvPr id="1459" name="SCHEMA_T03_COND_0012">
          <a:extLst>
            <a:ext uri="{FF2B5EF4-FFF2-40B4-BE49-F238E27FC236}">
              <a16:creationId xmlns:a16="http://schemas.microsoft.com/office/drawing/2014/main" id="{8B17D32F-8DBB-21E3-4289-569F7B335CEC}"/>
            </a:ext>
          </a:extLst>
        </xdr:cNvPr>
        <xdr:cNvCxnSpPr/>
      </xdr:nvCxnSpPr>
      <xdr:spPr>
        <a:xfrm>
          <a:off x="2117725" y="4692410"/>
          <a:ext cx="222250" cy="289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40368</xdr:colOff>
      <xdr:row>14</xdr:row>
      <xdr:rowOff>234360</xdr:rowOff>
    </xdr:from>
    <xdr:to>
      <xdr:col>1</xdr:col>
      <xdr:colOff>262618</xdr:colOff>
      <xdr:row>15</xdr:row>
      <xdr:rowOff>161661</xdr:rowOff>
    </xdr:to>
    <xdr:cxnSp macro="">
      <xdr:nvCxnSpPr>
        <xdr:cNvPr id="1460" name="SCHEMA_T03_COND_0013">
          <a:extLst>
            <a:ext uri="{FF2B5EF4-FFF2-40B4-BE49-F238E27FC236}">
              <a16:creationId xmlns:a16="http://schemas.microsoft.com/office/drawing/2014/main" id="{9B41B553-6566-87E9-E4E9-C0C36E843A29}"/>
            </a:ext>
          </a:extLst>
        </xdr:cNvPr>
        <xdr:cNvCxnSpPr/>
      </xdr:nvCxnSpPr>
      <xdr:spPr>
        <a:xfrm>
          <a:off x="1673225" y="4534217"/>
          <a:ext cx="222250" cy="17223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262618</xdr:colOff>
      <xdr:row>15</xdr:row>
      <xdr:rowOff>161661</xdr:rowOff>
    </xdr:from>
    <xdr:to>
      <xdr:col>2</xdr:col>
      <xdr:colOff>149225</xdr:colOff>
      <xdr:row>16</xdr:row>
      <xdr:rowOff>4296</xdr:rowOff>
    </xdr:to>
    <xdr:cxnSp macro="">
      <xdr:nvCxnSpPr>
        <xdr:cNvPr id="1461" name="SCHEMA_T03_COND_0014">
          <a:extLst>
            <a:ext uri="{FF2B5EF4-FFF2-40B4-BE49-F238E27FC236}">
              <a16:creationId xmlns:a16="http://schemas.microsoft.com/office/drawing/2014/main" id="{49C8891C-F471-F58D-2425-6FFEE39B166B}"/>
            </a:ext>
          </a:extLst>
        </xdr:cNvPr>
        <xdr:cNvCxnSpPr/>
      </xdr:nvCxnSpPr>
      <xdr:spPr>
        <a:xfrm>
          <a:off x="1895475" y="4706447"/>
          <a:ext cx="222250" cy="8756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149225</xdr:colOff>
      <xdr:row>16</xdr:row>
      <xdr:rowOff>4296</xdr:rowOff>
    </xdr:from>
    <xdr:to>
      <xdr:col>3</xdr:col>
      <xdr:colOff>35832</xdr:colOff>
      <xdr:row>16</xdr:row>
      <xdr:rowOff>7193</xdr:rowOff>
    </xdr:to>
    <xdr:cxnSp macro="">
      <xdr:nvCxnSpPr>
        <xdr:cNvPr id="1462" name="SCHEMA_T03_COND_0015">
          <a:extLst>
            <a:ext uri="{FF2B5EF4-FFF2-40B4-BE49-F238E27FC236}">
              <a16:creationId xmlns:a16="http://schemas.microsoft.com/office/drawing/2014/main" id="{622467DD-EB20-026C-6469-7174647D0144}"/>
            </a:ext>
          </a:extLst>
        </xdr:cNvPr>
        <xdr:cNvCxnSpPr/>
      </xdr:nvCxnSpPr>
      <xdr:spPr>
        <a:xfrm>
          <a:off x="2117725" y="4794010"/>
          <a:ext cx="222250" cy="289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25</xdr:row>
      <xdr:rowOff>41729</xdr:rowOff>
    </xdr:from>
    <xdr:to>
      <xdr:col>2</xdr:col>
      <xdr:colOff>76200</xdr:colOff>
      <xdr:row>25</xdr:row>
      <xdr:rowOff>117929</xdr:rowOff>
    </xdr:to>
    <xdr:sp macro="" textlink="">
      <xdr:nvSpPr>
        <xdr:cNvPr id="1463" name="SCHEMA_T03_ATTRAV_01">
          <a:extLst>
            <a:ext uri="{FF2B5EF4-FFF2-40B4-BE49-F238E27FC236}">
              <a16:creationId xmlns:a16="http://schemas.microsoft.com/office/drawing/2014/main" id="{1A52D32F-ADF3-65CB-C384-962EE10D0418}"/>
            </a:ext>
          </a:extLst>
        </xdr:cNvPr>
        <xdr:cNvSpPr/>
      </xdr:nvSpPr>
      <xdr:spPr>
        <a:xfrm>
          <a:off x="1968500" y="7035800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35832</xdr:colOff>
      <xdr:row>13</xdr:row>
      <xdr:rowOff>221278</xdr:rowOff>
    </xdr:from>
    <xdr:to>
      <xdr:col>3</xdr:col>
      <xdr:colOff>258082</xdr:colOff>
      <xdr:row>14</xdr:row>
      <xdr:rowOff>219011</xdr:rowOff>
    </xdr:to>
    <xdr:cxnSp macro="">
      <xdr:nvCxnSpPr>
        <xdr:cNvPr id="1464" name="SCHEMA_T03_COND_0016">
          <a:extLst>
            <a:ext uri="{FF2B5EF4-FFF2-40B4-BE49-F238E27FC236}">
              <a16:creationId xmlns:a16="http://schemas.microsoft.com/office/drawing/2014/main" id="{E06037AC-2C36-1443-C259-555ADEFCBD9E}"/>
            </a:ext>
          </a:extLst>
        </xdr:cNvPr>
        <xdr:cNvCxnSpPr/>
      </xdr:nvCxnSpPr>
      <xdr:spPr>
        <a:xfrm>
          <a:off x="2339975" y="4276207"/>
          <a:ext cx="222250" cy="242661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258082</xdr:colOff>
      <xdr:row>14</xdr:row>
      <xdr:rowOff>219011</xdr:rowOff>
    </xdr:from>
    <xdr:to>
      <xdr:col>4</xdr:col>
      <xdr:colOff>144689</xdr:colOff>
      <xdr:row>15</xdr:row>
      <xdr:rowOff>132076</xdr:rowOff>
    </xdr:to>
    <xdr:cxnSp macro="">
      <xdr:nvCxnSpPr>
        <xdr:cNvPr id="1465" name="SCHEMA_T03_COND_0017">
          <a:extLst>
            <a:ext uri="{FF2B5EF4-FFF2-40B4-BE49-F238E27FC236}">
              <a16:creationId xmlns:a16="http://schemas.microsoft.com/office/drawing/2014/main" id="{C309DD53-C436-77D2-A25F-97B3582747F1}"/>
            </a:ext>
          </a:extLst>
        </xdr:cNvPr>
        <xdr:cNvCxnSpPr/>
      </xdr:nvCxnSpPr>
      <xdr:spPr>
        <a:xfrm>
          <a:off x="2562225" y="4518868"/>
          <a:ext cx="222250" cy="157994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144689</xdr:colOff>
      <xdr:row>15</xdr:row>
      <xdr:rowOff>132076</xdr:rowOff>
    </xdr:from>
    <xdr:to>
      <xdr:col>5</xdr:col>
      <xdr:colOff>31296</xdr:colOff>
      <xdr:row>15</xdr:row>
      <xdr:rowOff>205404</xdr:rowOff>
    </xdr:to>
    <xdr:cxnSp macro="">
      <xdr:nvCxnSpPr>
        <xdr:cNvPr id="1466" name="SCHEMA_T03_COND_0018">
          <a:extLst>
            <a:ext uri="{FF2B5EF4-FFF2-40B4-BE49-F238E27FC236}">
              <a16:creationId xmlns:a16="http://schemas.microsoft.com/office/drawing/2014/main" id="{71621F19-C8E3-531F-E570-C15093CEEDDA}"/>
            </a:ext>
          </a:extLst>
        </xdr:cNvPr>
        <xdr:cNvCxnSpPr/>
      </xdr:nvCxnSpPr>
      <xdr:spPr>
        <a:xfrm>
          <a:off x="2784475" y="4676862"/>
          <a:ext cx="222250" cy="73328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35832</xdr:colOff>
      <xdr:row>14</xdr:row>
      <xdr:rowOff>141450</xdr:rowOff>
    </xdr:from>
    <xdr:to>
      <xdr:col>3</xdr:col>
      <xdr:colOff>258082</xdr:colOff>
      <xdr:row>15</xdr:row>
      <xdr:rowOff>139182</xdr:rowOff>
    </xdr:to>
    <xdr:cxnSp macro="">
      <xdr:nvCxnSpPr>
        <xdr:cNvPr id="1467" name="SCHEMA_T03_COND_0019">
          <a:extLst>
            <a:ext uri="{FF2B5EF4-FFF2-40B4-BE49-F238E27FC236}">
              <a16:creationId xmlns:a16="http://schemas.microsoft.com/office/drawing/2014/main" id="{F45117A0-B86E-7DAF-F98A-E7BD16C3052E}"/>
            </a:ext>
          </a:extLst>
        </xdr:cNvPr>
        <xdr:cNvCxnSpPr/>
      </xdr:nvCxnSpPr>
      <xdr:spPr>
        <a:xfrm>
          <a:off x="2339975" y="4441307"/>
          <a:ext cx="222250" cy="24266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258082</xdr:colOff>
      <xdr:row>15</xdr:row>
      <xdr:rowOff>139182</xdr:rowOff>
    </xdr:from>
    <xdr:to>
      <xdr:col>4</xdr:col>
      <xdr:colOff>144689</xdr:colOff>
      <xdr:row>16</xdr:row>
      <xdr:rowOff>52248</xdr:rowOff>
    </xdr:to>
    <xdr:cxnSp macro="">
      <xdr:nvCxnSpPr>
        <xdr:cNvPr id="1468" name="SCHEMA_T03_COND_0020">
          <a:extLst>
            <a:ext uri="{FF2B5EF4-FFF2-40B4-BE49-F238E27FC236}">
              <a16:creationId xmlns:a16="http://schemas.microsoft.com/office/drawing/2014/main" id="{CE815019-F924-2873-7621-5F62E1ABBA48}"/>
            </a:ext>
          </a:extLst>
        </xdr:cNvPr>
        <xdr:cNvCxnSpPr/>
      </xdr:nvCxnSpPr>
      <xdr:spPr>
        <a:xfrm>
          <a:off x="2562225" y="4683968"/>
          <a:ext cx="222250" cy="157994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144689</xdr:colOff>
      <xdr:row>16</xdr:row>
      <xdr:rowOff>52248</xdr:rowOff>
    </xdr:from>
    <xdr:to>
      <xdr:col>5</xdr:col>
      <xdr:colOff>31296</xdr:colOff>
      <xdr:row>16</xdr:row>
      <xdr:rowOff>125576</xdr:rowOff>
    </xdr:to>
    <xdr:cxnSp macro="">
      <xdr:nvCxnSpPr>
        <xdr:cNvPr id="1469" name="SCHEMA_T03_COND_0021">
          <a:extLst>
            <a:ext uri="{FF2B5EF4-FFF2-40B4-BE49-F238E27FC236}">
              <a16:creationId xmlns:a16="http://schemas.microsoft.com/office/drawing/2014/main" id="{0CAB156D-7292-FD6B-9D7F-CD4D0EDC7C2D}"/>
            </a:ext>
          </a:extLst>
        </xdr:cNvPr>
        <xdr:cNvCxnSpPr/>
      </xdr:nvCxnSpPr>
      <xdr:spPr>
        <a:xfrm>
          <a:off x="2784475" y="4841962"/>
          <a:ext cx="222250" cy="7332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35832</xdr:colOff>
      <xdr:row>14</xdr:row>
      <xdr:rowOff>243050</xdr:rowOff>
    </xdr:from>
    <xdr:to>
      <xdr:col>3</xdr:col>
      <xdr:colOff>258082</xdr:colOff>
      <xdr:row>15</xdr:row>
      <xdr:rowOff>240782</xdr:rowOff>
    </xdr:to>
    <xdr:cxnSp macro="">
      <xdr:nvCxnSpPr>
        <xdr:cNvPr id="1470" name="SCHEMA_T03_COND_0022">
          <a:extLst>
            <a:ext uri="{FF2B5EF4-FFF2-40B4-BE49-F238E27FC236}">
              <a16:creationId xmlns:a16="http://schemas.microsoft.com/office/drawing/2014/main" id="{2752F0A4-56E1-FF54-4F8B-326C79D185FB}"/>
            </a:ext>
          </a:extLst>
        </xdr:cNvPr>
        <xdr:cNvCxnSpPr/>
      </xdr:nvCxnSpPr>
      <xdr:spPr>
        <a:xfrm>
          <a:off x="2339975" y="4542907"/>
          <a:ext cx="222250" cy="24266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258082</xdr:colOff>
      <xdr:row>15</xdr:row>
      <xdr:rowOff>240782</xdr:rowOff>
    </xdr:from>
    <xdr:to>
      <xdr:col>4</xdr:col>
      <xdr:colOff>144689</xdr:colOff>
      <xdr:row>16</xdr:row>
      <xdr:rowOff>153848</xdr:rowOff>
    </xdr:to>
    <xdr:cxnSp macro="">
      <xdr:nvCxnSpPr>
        <xdr:cNvPr id="1471" name="SCHEMA_T03_COND_0023">
          <a:extLst>
            <a:ext uri="{FF2B5EF4-FFF2-40B4-BE49-F238E27FC236}">
              <a16:creationId xmlns:a16="http://schemas.microsoft.com/office/drawing/2014/main" id="{2CBFC5EA-3DC3-872C-9378-66680684A219}"/>
            </a:ext>
          </a:extLst>
        </xdr:cNvPr>
        <xdr:cNvCxnSpPr/>
      </xdr:nvCxnSpPr>
      <xdr:spPr>
        <a:xfrm>
          <a:off x="2562225" y="4785568"/>
          <a:ext cx="222250" cy="157994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144689</xdr:colOff>
      <xdr:row>16</xdr:row>
      <xdr:rowOff>153848</xdr:rowOff>
    </xdr:from>
    <xdr:to>
      <xdr:col>5</xdr:col>
      <xdr:colOff>31296</xdr:colOff>
      <xdr:row>16</xdr:row>
      <xdr:rowOff>227176</xdr:rowOff>
    </xdr:to>
    <xdr:cxnSp macro="">
      <xdr:nvCxnSpPr>
        <xdr:cNvPr id="1088" name="SCHEMA_T03_COND_0024">
          <a:extLst>
            <a:ext uri="{FF2B5EF4-FFF2-40B4-BE49-F238E27FC236}">
              <a16:creationId xmlns:a16="http://schemas.microsoft.com/office/drawing/2014/main" id="{36DE3C67-169D-F369-577E-EC05DBB44276}"/>
            </a:ext>
          </a:extLst>
        </xdr:cNvPr>
        <xdr:cNvCxnSpPr/>
      </xdr:nvCxnSpPr>
      <xdr:spPr>
        <a:xfrm>
          <a:off x="2784475" y="4943562"/>
          <a:ext cx="222250" cy="7332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35832</xdr:colOff>
      <xdr:row>15</xdr:row>
      <xdr:rowOff>150521</xdr:rowOff>
    </xdr:from>
    <xdr:to>
      <xdr:col>3</xdr:col>
      <xdr:colOff>258082</xdr:colOff>
      <xdr:row>16</xdr:row>
      <xdr:rowOff>148254</xdr:rowOff>
    </xdr:to>
    <xdr:cxnSp macro="">
      <xdr:nvCxnSpPr>
        <xdr:cNvPr id="1089" name="SCHEMA_T03_COND_0025">
          <a:extLst>
            <a:ext uri="{FF2B5EF4-FFF2-40B4-BE49-F238E27FC236}">
              <a16:creationId xmlns:a16="http://schemas.microsoft.com/office/drawing/2014/main" id="{A63D4183-2CA6-FF1A-8725-9834DC954DB1}"/>
            </a:ext>
          </a:extLst>
        </xdr:cNvPr>
        <xdr:cNvCxnSpPr/>
      </xdr:nvCxnSpPr>
      <xdr:spPr>
        <a:xfrm>
          <a:off x="2339975" y="4695307"/>
          <a:ext cx="222250" cy="24266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258082</xdr:colOff>
      <xdr:row>16</xdr:row>
      <xdr:rowOff>148254</xdr:rowOff>
    </xdr:from>
    <xdr:to>
      <xdr:col>4</xdr:col>
      <xdr:colOff>144689</xdr:colOff>
      <xdr:row>17</xdr:row>
      <xdr:rowOff>61319</xdr:rowOff>
    </xdr:to>
    <xdr:cxnSp macro="">
      <xdr:nvCxnSpPr>
        <xdr:cNvPr id="1090" name="SCHEMA_T03_COND_0026">
          <a:extLst>
            <a:ext uri="{FF2B5EF4-FFF2-40B4-BE49-F238E27FC236}">
              <a16:creationId xmlns:a16="http://schemas.microsoft.com/office/drawing/2014/main" id="{58AC05E1-2FD1-6F3F-1D29-96FC99B580D9}"/>
            </a:ext>
          </a:extLst>
        </xdr:cNvPr>
        <xdr:cNvCxnSpPr/>
      </xdr:nvCxnSpPr>
      <xdr:spPr>
        <a:xfrm>
          <a:off x="2562225" y="4937968"/>
          <a:ext cx="222250" cy="157994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144689</xdr:colOff>
      <xdr:row>17</xdr:row>
      <xdr:rowOff>61319</xdr:rowOff>
    </xdr:from>
    <xdr:to>
      <xdr:col>5</xdr:col>
      <xdr:colOff>31296</xdr:colOff>
      <xdr:row>17</xdr:row>
      <xdr:rowOff>134647</xdr:rowOff>
    </xdr:to>
    <xdr:cxnSp macro="">
      <xdr:nvCxnSpPr>
        <xdr:cNvPr id="1091" name="SCHEMA_T03_COND_0027">
          <a:extLst>
            <a:ext uri="{FF2B5EF4-FFF2-40B4-BE49-F238E27FC236}">
              <a16:creationId xmlns:a16="http://schemas.microsoft.com/office/drawing/2014/main" id="{CE43C380-6F51-0DB5-8660-062EE8C42C90}"/>
            </a:ext>
          </a:extLst>
        </xdr:cNvPr>
        <xdr:cNvCxnSpPr/>
      </xdr:nvCxnSpPr>
      <xdr:spPr>
        <a:xfrm>
          <a:off x="2784475" y="5095962"/>
          <a:ext cx="222250" cy="7332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35832</xdr:colOff>
      <xdr:row>16</xdr:row>
      <xdr:rowOff>7193</xdr:rowOff>
    </xdr:from>
    <xdr:to>
      <xdr:col>3</xdr:col>
      <xdr:colOff>258082</xdr:colOff>
      <xdr:row>17</xdr:row>
      <xdr:rowOff>4925</xdr:rowOff>
    </xdr:to>
    <xdr:cxnSp macro="">
      <xdr:nvCxnSpPr>
        <xdr:cNvPr id="753" name="SCHEMA_T03_COND_0028">
          <a:extLst>
            <a:ext uri="{FF2B5EF4-FFF2-40B4-BE49-F238E27FC236}">
              <a16:creationId xmlns:a16="http://schemas.microsoft.com/office/drawing/2014/main" id="{575F3A80-D098-7FDC-3109-2C0405E20F49}"/>
            </a:ext>
          </a:extLst>
        </xdr:cNvPr>
        <xdr:cNvCxnSpPr/>
      </xdr:nvCxnSpPr>
      <xdr:spPr>
        <a:xfrm>
          <a:off x="2339975" y="4796907"/>
          <a:ext cx="222250" cy="24266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258082</xdr:colOff>
      <xdr:row>17</xdr:row>
      <xdr:rowOff>4925</xdr:rowOff>
    </xdr:from>
    <xdr:to>
      <xdr:col>4</xdr:col>
      <xdr:colOff>144689</xdr:colOff>
      <xdr:row>17</xdr:row>
      <xdr:rowOff>162919</xdr:rowOff>
    </xdr:to>
    <xdr:cxnSp macro="">
      <xdr:nvCxnSpPr>
        <xdr:cNvPr id="754" name="SCHEMA_T03_COND_0029">
          <a:extLst>
            <a:ext uri="{FF2B5EF4-FFF2-40B4-BE49-F238E27FC236}">
              <a16:creationId xmlns:a16="http://schemas.microsoft.com/office/drawing/2014/main" id="{62A55DFE-8EF2-AD40-FD9F-33598E38E145}"/>
            </a:ext>
          </a:extLst>
        </xdr:cNvPr>
        <xdr:cNvCxnSpPr/>
      </xdr:nvCxnSpPr>
      <xdr:spPr>
        <a:xfrm>
          <a:off x="2562225" y="5039568"/>
          <a:ext cx="222250" cy="157994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144689</xdr:colOff>
      <xdr:row>17</xdr:row>
      <xdr:rowOff>162919</xdr:rowOff>
    </xdr:from>
    <xdr:to>
      <xdr:col>5</xdr:col>
      <xdr:colOff>31296</xdr:colOff>
      <xdr:row>17</xdr:row>
      <xdr:rowOff>236247</xdr:rowOff>
    </xdr:to>
    <xdr:cxnSp macro="">
      <xdr:nvCxnSpPr>
        <xdr:cNvPr id="755" name="SCHEMA_T03_COND_0030">
          <a:extLst>
            <a:ext uri="{FF2B5EF4-FFF2-40B4-BE49-F238E27FC236}">
              <a16:creationId xmlns:a16="http://schemas.microsoft.com/office/drawing/2014/main" id="{AFEC88FA-D310-0008-900A-C3CDCCD77D5C}"/>
            </a:ext>
          </a:extLst>
        </xdr:cNvPr>
        <xdr:cNvCxnSpPr/>
      </xdr:nvCxnSpPr>
      <xdr:spPr>
        <a:xfrm>
          <a:off x="2784475" y="5197562"/>
          <a:ext cx="222250" cy="7332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31296</xdr:colOff>
      <xdr:row>15</xdr:row>
      <xdr:rowOff>205404</xdr:rowOff>
    </xdr:from>
    <xdr:to>
      <xdr:col>5</xdr:col>
      <xdr:colOff>253546</xdr:colOff>
      <xdr:row>15</xdr:row>
      <xdr:rowOff>236771</xdr:rowOff>
    </xdr:to>
    <xdr:cxnSp macro="">
      <xdr:nvCxnSpPr>
        <xdr:cNvPr id="756" name="SCHEMA_T03_COND_0031">
          <a:extLst>
            <a:ext uri="{FF2B5EF4-FFF2-40B4-BE49-F238E27FC236}">
              <a16:creationId xmlns:a16="http://schemas.microsoft.com/office/drawing/2014/main" id="{E19ACFC0-F664-60E1-6FE1-2700836AEAC5}"/>
            </a:ext>
          </a:extLst>
        </xdr:cNvPr>
        <xdr:cNvCxnSpPr/>
      </xdr:nvCxnSpPr>
      <xdr:spPr>
        <a:xfrm>
          <a:off x="3006725" y="4750190"/>
          <a:ext cx="222250" cy="31367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253546</xdr:colOff>
      <xdr:row>15</xdr:row>
      <xdr:rowOff>183472</xdr:rowOff>
    </xdr:from>
    <xdr:to>
      <xdr:col>6</xdr:col>
      <xdr:colOff>140154</xdr:colOff>
      <xdr:row>15</xdr:row>
      <xdr:rowOff>236771</xdr:rowOff>
    </xdr:to>
    <xdr:cxnSp macro="">
      <xdr:nvCxnSpPr>
        <xdr:cNvPr id="757" name="SCHEMA_T03_COND_0032">
          <a:extLst>
            <a:ext uri="{FF2B5EF4-FFF2-40B4-BE49-F238E27FC236}">
              <a16:creationId xmlns:a16="http://schemas.microsoft.com/office/drawing/2014/main" id="{E32C1136-80E4-47C7-0FEC-BB001178E1FE}"/>
            </a:ext>
          </a:extLst>
        </xdr:cNvPr>
        <xdr:cNvCxnSpPr/>
      </xdr:nvCxnSpPr>
      <xdr:spPr>
        <a:xfrm flipV="1">
          <a:off x="3228975" y="4728258"/>
          <a:ext cx="222250" cy="53299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140154</xdr:colOff>
      <xdr:row>15</xdr:row>
      <xdr:rowOff>45506</xdr:rowOff>
    </xdr:from>
    <xdr:to>
      <xdr:col>7</xdr:col>
      <xdr:colOff>26761</xdr:colOff>
      <xdr:row>15</xdr:row>
      <xdr:rowOff>183472</xdr:rowOff>
    </xdr:to>
    <xdr:cxnSp macro="">
      <xdr:nvCxnSpPr>
        <xdr:cNvPr id="758" name="SCHEMA_T03_COND_0033">
          <a:extLst>
            <a:ext uri="{FF2B5EF4-FFF2-40B4-BE49-F238E27FC236}">
              <a16:creationId xmlns:a16="http://schemas.microsoft.com/office/drawing/2014/main" id="{9DBF76F3-AC4B-3A05-E1DD-E08B7B102A12}"/>
            </a:ext>
          </a:extLst>
        </xdr:cNvPr>
        <xdr:cNvCxnSpPr/>
      </xdr:nvCxnSpPr>
      <xdr:spPr>
        <a:xfrm flipV="1">
          <a:off x="3451225" y="4590292"/>
          <a:ext cx="222250" cy="137966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31296</xdr:colOff>
      <xdr:row>16</xdr:row>
      <xdr:rowOff>125576</xdr:rowOff>
    </xdr:from>
    <xdr:to>
      <xdr:col>5</xdr:col>
      <xdr:colOff>253546</xdr:colOff>
      <xdr:row>16</xdr:row>
      <xdr:rowOff>156943</xdr:rowOff>
    </xdr:to>
    <xdr:cxnSp macro="">
      <xdr:nvCxnSpPr>
        <xdr:cNvPr id="759" name="SCHEMA_T03_COND_0034">
          <a:extLst>
            <a:ext uri="{FF2B5EF4-FFF2-40B4-BE49-F238E27FC236}">
              <a16:creationId xmlns:a16="http://schemas.microsoft.com/office/drawing/2014/main" id="{6FC4C043-2863-3911-5FE2-E5D46A1BA1E4}"/>
            </a:ext>
          </a:extLst>
        </xdr:cNvPr>
        <xdr:cNvCxnSpPr/>
      </xdr:nvCxnSpPr>
      <xdr:spPr>
        <a:xfrm>
          <a:off x="3006725" y="4915290"/>
          <a:ext cx="222250" cy="3136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253546</xdr:colOff>
      <xdr:row>16</xdr:row>
      <xdr:rowOff>103644</xdr:rowOff>
    </xdr:from>
    <xdr:to>
      <xdr:col>6</xdr:col>
      <xdr:colOff>140154</xdr:colOff>
      <xdr:row>16</xdr:row>
      <xdr:rowOff>156943</xdr:rowOff>
    </xdr:to>
    <xdr:cxnSp macro="">
      <xdr:nvCxnSpPr>
        <xdr:cNvPr id="760" name="SCHEMA_T03_COND_0035">
          <a:extLst>
            <a:ext uri="{FF2B5EF4-FFF2-40B4-BE49-F238E27FC236}">
              <a16:creationId xmlns:a16="http://schemas.microsoft.com/office/drawing/2014/main" id="{E35F20BA-E5C0-6760-ACCA-C4F4B2F1959B}"/>
            </a:ext>
          </a:extLst>
        </xdr:cNvPr>
        <xdr:cNvCxnSpPr/>
      </xdr:nvCxnSpPr>
      <xdr:spPr>
        <a:xfrm flipV="1">
          <a:off x="3228975" y="4893358"/>
          <a:ext cx="222250" cy="5329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140154</xdr:colOff>
      <xdr:row>15</xdr:row>
      <xdr:rowOff>210606</xdr:rowOff>
    </xdr:from>
    <xdr:to>
      <xdr:col>7</xdr:col>
      <xdr:colOff>26761</xdr:colOff>
      <xdr:row>16</xdr:row>
      <xdr:rowOff>103644</xdr:rowOff>
    </xdr:to>
    <xdr:cxnSp macro="">
      <xdr:nvCxnSpPr>
        <xdr:cNvPr id="761" name="SCHEMA_T03_COND_0036">
          <a:extLst>
            <a:ext uri="{FF2B5EF4-FFF2-40B4-BE49-F238E27FC236}">
              <a16:creationId xmlns:a16="http://schemas.microsoft.com/office/drawing/2014/main" id="{198F9ACE-687D-1B90-21A2-C1EEB85841F3}"/>
            </a:ext>
          </a:extLst>
        </xdr:cNvPr>
        <xdr:cNvCxnSpPr/>
      </xdr:nvCxnSpPr>
      <xdr:spPr>
        <a:xfrm flipV="1">
          <a:off x="3451225" y="4755392"/>
          <a:ext cx="222250" cy="13796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31296</xdr:colOff>
      <xdr:row>16</xdr:row>
      <xdr:rowOff>227176</xdr:rowOff>
    </xdr:from>
    <xdr:to>
      <xdr:col>5</xdr:col>
      <xdr:colOff>253546</xdr:colOff>
      <xdr:row>17</xdr:row>
      <xdr:rowOff>13614</xdr:rowOff>
    </xdr:to>
    <xdr:cxnSp macro="">
      <xdr:nvCxnSpPr>
        <xdr:cNvPr id="762" name="SCHEMA_T03_COND_0037">
          <a:extLst>
            <a:ext uri="{FF2B5EF4-FFF2-40B4-BE49-F238E27FC236}">
              <a16:creationId xmlns:a16="http://schemas.microsoft.com/office/drawing/2014/main" id="{5E601793-5202-D64C-06D6-5BF48D4C0A7E}"/>
            </a:ext>
          </a:extLst>
        </xdr:cNvPr>
        <xdr:cNvCxnSpPr/>
      </xdr:nvCxnSpPr>
      <xdr:spPr>
        <a:xfrm>
          <a:off x="3006725" y="5016890"/>
          <a:ext cx="222250" cy="3136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253546</xdr:colOff>
      <xdr:row>16</xdr:row>
      <xdr:rowOff>205244</xdr:rowOff>
    </xdr:from>
    <xdr:to>
      <xdr:col>6</xdr:col>
      <xdr:colOff>140154</xdr:colOff>
      <xdr:row>17</xdr:row>
      <xdr:rowOff>13614</xdr:rowOff>
    </xdr:to>
    <xdr:cxnSp macro="">
      <xdr:nvCxnSpPr>
        <xdr:cNvPr id="763" name="SCHEMA_T03_COND_0038">
          <a:extLst>
            <a:ext uri="{FF2B5EF4-FFF2-40B4-BE49-F238E27FC236}">
              <a16:creationId xmlns:a16="http://schemas.microsoft.com/office/drawing/2014/main" id="{0C76D8F8-9F22-2F2C-6119-75D8CA8621B2}"/>
            </a:ext>
          </a:extLst>
        </xdr:cNvPr>
        <xdr:cNvCxnSpPr/>
      </xdr:nvCxnSpPr>
      <xdr:spPr>
        <a:xfrm flipV="1">
          <a:off x="3228975" y="4994958"/>
          <a:ext cx="222250" cy="5329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140154</xdr:colOff>
      <xdr:row>16</xdr:row>
      <xdr:rowOff>67278</xdr:rowOff>
    </xdr:from>
    <xdr:to>
      <xdr:col>7</xdr:col>
      <xdr:colOff>26761</xdr:colOff>
      <xdr:row>16</xdr:row>
      <xdr:rowOff>205244</xdr:rowOff>
    </xdr:to>
    <xdr:cxnSp macro="">
      <xdr:nvCxnSpPr>
        <xdr:cNvPr id="764" name="SCHEMA_T03_COND_0039">
          <a:extLst>
            <a:ext uri="{FF2B5EF4-FFF2-40B4-BE49-F238E27FC236}">
              <a16:creationId xmlns:a16="http://schemas.microsoft.com/office/drawing/2014/main" id="{B5B20F95-1A9E-AF10-0FB9-552A42FE4BC3}"/>
            </a:ext>
          </a:extLst>
        </xdr:cNvPr>
        <xdr:cNvCxnSpPr/>
      </xdr:nvCxnSpPr>
      <xdr:spPr>
        <a:xfrm flipV="1">
          <a:off x="3451225" y="4856992"/>
          <a:ext cx="222250" cy="13796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31296</xdr:colOff>
      <xdr:row>17</xdr:row>
      <xdr:rowOff>134647</xdr:rowOff>
    </xdr:from>
    <xdr:to>
      <xdr:col>5</xdr:col>
      <xdr:colOff>253546</xdr:colOff>
      <xdr:row>17</xdr:row>
      <xdr:rowOff>166014</xdr:rowOff>
    </xdr:to>
    <xdr:cxnSp macro="">
      <xdr:nvCxnSpPr>
        <xdr:cNvPr id="765" name="SCHEMA_T03_COND_0040">
          <a:extLst>
            <a:ext uri="{FF2B5EF4-FFF2-40B4-BE49-F238E27FC236}">
              <a16:creationId xmlns:a16="http://schemas.microsoft.com/office/drawing/2014/main" id="{9E867FB6-94BE-A563-7A5D-FD8CE08BD7EB}"/>
            </a:ext>
          </a:extLst>
        </xdr:cNvPr>
        <xdr:cNvCxnSpPr/>
      </xdr:nvCxnSpPr>
      <xdr:spPr>
        <a:xfrm>
          <a:off x="3006725" y="5169290"/>
          <a:ext cx="222250" cy="3136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253546</xdr:colOff>
      <xdr:row>17</xdr:row>
      <xdr:rowOff>112715</xdr:rowOff>
    </xdr:from>
    <xdr:to>
      <xdr:col>6</xdr:col>
      <xdr:colOff>140154</xdr:colOff>
      <xdr:row>17</xdr:row>
      <xdr:rowOff>166014</xdr:rowOff>
    </xdr:to>
    <xdr:cxnSp macro="">
      <xdr:nvCxnSpPr>
        <xdr:cNvPr id="766" name="SCHEMA_T03_COND_0041">
          <a:extLst>
            <a:ext uri="{FF2B5EF4-FFF2-40B4-BE49-F238E27FC236}">
              <a16:creationId xmlns:a16="http://schemas.microsoft.com/office/drawing/2014/main" id="{3D286311-8DA9-6CDA-C846-E8BEE0416186}"/>
            </a:ext>
          </a:extLst>
        </xdr:cNvPr>
        <xdr:cNvCxnSpPr/>
      </xdr:nvCxnSpPr>
      <xdr:spPr>
        <a:xfrm flipV="1">
          <a:off x="3228975" y="5147358"/>
          <a:ext cx="222250" cy="5329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140154</xdr:colOff>
      <xdr:row>16</xdr:row>
      <xdr:rowOff>219678</xdr:rowOff>
    </xdr:from>
    <xdr:to>
      <xdr:col>7</xdr:col>
      <xdr:colOff>26761</xdr:colOff>
      <xdr:row>17</xdr:row>
      <xdr:rowOff>112715</xdr:rowOff>
    </xdr:to>
    <xdr:cxnSp macro="">
      <xdr:nvCxnSpPr>
        <xdr:cNvPr id="767" name="SCHEMA_T03_COND_0042">
          <a:extLst>
            <a:ext uri="{FF2B5EF4-FFF2-40B4-BE49-F238E27FC236}">
              <a16:creationId xmlns:a16="http://schemas.microsoft.com/office/drawing/2014/main" id="{3105AC2D-F703-CC04-A522-FD8C6CC3999B}"/>
            </a:ext>
          </a:extLst>
        </xdr:cNvPr>
        <xdr:cNvCxnSpPr/>
      </xdr:nvCxnSpPr>
      <xdr:spPr>
        <a:xfrm flipV="1">
          <a:off x="3451225" y="5009392"/>
          <a:ext cx="222250" cy="13796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31296</xdr:colOff>
      <xdr:row>17</xdr:row>
      <xdr:rowOff>236247</xdr:rowOff>
    </xdr:from>
    <xdr:to>
      <xdr:col>5</xdr:col>
      <xdr:colOff>253546</xdr:colOff>
      <xdr:row>18</xdr:row>
      <xdr:rowOff>22686</xdr:rowOff>
    </xdr:to>
    <xdr:cxnSp macro="">
      <xdr:nvCxnSpPr>
        <xdr:cNvPr id="320" name="SCHEMA_T03_COND_0043">
          <a:extLst>
            <a:ext uri="{FF2B5EF4-FFF2-40B4-BE49-F238E27FC236}">
              <a16:creationId xmlns:a16="http://schemas.microsoft.com/office/drawing/2014/main" id="{15D682BC-3A0A-38C5-CFF2-B8D3D8854126}"/>
            </a:ext>
          </a:extLst>
        </xdr:cNvPr>
        <xdr:cNvCxnSpPr/>
      </xdr:nvCxnSpPr>
      <xdr:spPr>
        <a:xfrm>
          <a:off x="3006725" y="5270890"/>
          <a:ext cx="222250" cy="3136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253546</xdr:colOff>
      <xdr:row>17</xdr:row>
      <xdr:rowOff>214315</xdr:rowOff>
    </xdr:from>
    <xdr:to>
      <xdr:col>6</xdr:col>
      <xdr:colOff>140154</xdr:colOff>
      <xdr:row>18</xdr:row>
      <xdr:rowOff>22686</xdr:rowOff>
    </xdr:to>
    <xdr:cxnSp macro="">
      <xdr:nvCxnSpPr>
        <xdr:cNvPr id="321" name="SCHEMA_T03_COND_0044">
          <a:extLst>
            <a:ext uri="{FF2B5EF4-FFF2-40B4-BE49-F238E27FC236}">
              <a16:creationId xmlns:a16="http://schemas.microsoft.com/office/drawing/2014/main" id="{24CE5A33-9568-991D-8A13-04A2463900FA}"/>
            </a:ext>
          </a:extLst>
        </xdr:cNvPr>
        <xdr:cNvCxnSpPr/>
      </xdr:nvCxnSpPr>
      <xdr:spPr>
        <a:xfrm flipV="1">
          <a:off x="3228975" y="5248958"/>
          <a:ext cx="222250" cy="5329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140154</xdr:colOff>
      <xdr:row>17</xdr:row>
      <xdr:rowOff>76349</xdr:rowOff>
    </xdr:from>
    <xdr:to>
      <xdr:col>7</xdr:col>
      <xdr:colOff>26761</xdr:colOff>
      <xdr:row>17</xdr:row>
      <xdr:rowOff>214315</xdr:rowOff>
    </xdr:to>
    <xdr:cxnSp macro="">
      <xdr:nvCxnSpPr>
        <xdr:cNvPr id="322" name="SCHEMA_T03_COND_0045">
          <a:extLst>
            <a:ext uri="{FF2B5EF4-FFF2-40B4-BE49-F238E27FC236}">
              <a16:creationId xmlns:a16="http://schemas.microsoft.com/office/drawing/2014/main" id="{8812F5B2-D06C-6B04-06D9-051C3E5AC333}"/>
            </a:ext>
          </a:extLst>
        </xdr:cNvPr>
        <xdr:cNvCxnSpPr/>
      </xdr:nvCxnSpPr>
      <xdr:spPr>
        <a:xfrm flipV="1">
          <a:off x="3451225" y="5110992"/>
          <a:ext cx="222250" cy="13796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26761</xdr:colOff>
      <xdr:row>15</xdr:row>
      <xdr:rowOff>45506</xdr:rowOff>
    </xdr:from>
    <xdr:to>
      <xdr:col>7</xdr:col>
      <xdr:colOff>249011</xdr:colOff>
      <xdr:row>15</xdr:row>
      <xdr:rowOff>133980</xdr:rowOff>
    </xdr:to>
    <xdr:cxnSp macro="">
      <xdr:nvCxnSpPr>
        <xdr:cNvPr id="323" name="SCHEMA_T03_COND_0046">
          <a:extLst>
            <a:ext uri="{FF2B5EF4-FFF2-40B4-BE49-F238E27FC236}">
              <a16:creationId xmlns:a16="http://schemas.microsoft.com/office/drawing/2014/main" id="{6FF9E05C-89EC-C3B6-A674-C15A21A2E983}"/>
            </a:ext>
          </a:extLst>
        </xdr:cNvPr>
        <xdr:cNvCxnSpPr/>
      </xdr:nvCxnSpPr>
      <xdr:spPr>
        <a:xfrm>
          <a:off x="3673475" y="4590292"/>
          <a:ext cx="222250" cy="88474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249011</xdr:colOff>
      <xdr:row>15</xdr:row>
      <xdr:rowOff>133980</xdr:rowOff>
    </xdr:from>
    <xdr:to>
      <xdr:col>8</xdr:col>
      <xdr:colOff>135618</xdr:colOff>
      <xdr:row>15</xdr:row>
      <xdr:rowOff>137787</xdr:rowOff>
    </xdr:to>
    <xdr:cxnSp macro="">
      <xdr:nvCxnSpPr>
        <xdr:cNvPr id="324" name="SCHEMA_T03_COND_0047">
          <a:extLst>
            <a:ext uri="{FF2B5EF4-FFF2-40B4-BE49-F238E27FC236}">
              <a16:creationId xmlns:a16="http://schemas.microsoft.com/office/drawing/2014/main" id="{85DF159B-0F6A-1870-61B4-84EF7B081BCF}"/>
            </a:ext>
          </a:extLst>
        </xdr:cNvPr>
        <xdr:cNvCxnSpPr/>
      </xdr:nvCxnSpPr>
      <xdr:spPr>
        <a:xfrm>
          <a:off x="3895725" y="4678766"/>
          <a:ext cx="222250" cy="3807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135618</xdr:colOff>
      <xdr:row>15</xdr:row>
      <xdr:rowOff>56927</xdr:rowOff>
    </xdr:from>
    <xdr:to>
      <xdr:col>9</xdr:col>
      <xdr:colOff>22225</xdr:colOff>
      <xdr:row>15</xdr:row>
      <xdr:rowOff>137787</xdr:rowOff>
    </xdr:to>
    <xdr:cxnSp macro="">
      <xdr:nvCxnSpPr>
        <xdr:cNvPr id="325" name="SCHEMA_T03_COND_0048">
          <a:extLst>
            <a:ext uri="{FF2B5EF4-FFF2-40B4-BE49-F238E27FC236}">
              <a16:creationId xmlns:a16="http://schemas.microsoft.com/office/drawing/2014/main" id="{D00E7331-6D46-3829-F957-B07901DDA15D}"/>
            </a:ext>
          </a:extLst>
        </xdr:cNvPr>
        <xdr:cNvCxnSpPr/>
      </xdr:nvCxnSpPr>
      <xdr:spPr>
        <a:xfrm flipV="1">
          <a:off x="4117975" y="4601713"/>
          <a:ext cx="222250" cy="80860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26761</xdr:colOff>
      <xdr:row>15</xdr:row>
      <xdr:rowOff>210606</xdr:rowOff>
    </xdr:from>
    <xdr:to>
      <xdr:col>7</xdr:col>
      <xdr:colOff>249011</xdr:colOff>
      <xdr:row>16</xdr:row>
      <xdr:rowOff>54152</xdr:rowOff>
    </xdr:to>
    <xdr:cxnSp macro="">
      <xdr:nvCxnSpPr>
        <xdr:cNvPr id="326" name="SCHEMA_T03_COND_0049">
          <a:extLst>
            <a:ext uri="{FF2B5EF4-FFF2-40B4-BE49-F238E27FC236}">
              <a16:creationId xmlns:a16="http://schemas.microsoft.com/office/drawing/2014/main" id="{5F376B58-396C-268A-8D2E-5171F52ED840}"/>
            </a:ext>
          </a:extLst>
        </xdr:cNvPr>
        <xdr:cNvCxnSpPr/>
      </xdr:nvCxnSpPr>
      <xdr:spPr>
        <a:xfrm>
          <a:off x="3673475" y="4755392"/>
          <a:ext cx="222250" cy="88474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249011</xdr:colOff>
      <xdr:row>16</xdr:row>
      <xdr:rowOff>54152</xdr:rowOff>
    </xdr:from>
    <xdr:to>
      <xdr:col>8</xdr:col>
      <xdr:colOff>135618</xdr:colOff>
      <xdr:row>16</xdr:row>
      <xdr:rowOff>57959</xdr:rowOff>
    </xdr:to>
    <xdr:cxnSp macro="">
      <xdr:nvCxnSpPr>
        <xdr:cNvPr id="327" name="SCHEMA_T03_COND_0050">
          <a:extLst>
            <a:ext uri="{FF2B5EF4-FFF2-40B4-BE49-F238E27FC236}">
              <a16:creationId xmlns:a16="http://schemas.microsoft.com/office/drawing/2014/main" id="{A2BD324A-F9C7-37BA-119B-C4053712D16F}"/>
            </a:ext>
          </a:extLst>
        </xdr:cNvPr>
        <xdr:cNvCxnSpPr/>
      </xdr:nvCxnSpPr>
      <xdr:spPr>
        <a:xfrm>
          <a:off x="3895725" y="4843866"/>
          <a:ext cx="222250" cy="380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135618</xdr:colOff>
      <xdr:row>15</xdr:row>
      <xdr:rowOff>222027</xdr:rowOff>
    </xdr:from>
    <xdr:to>
      <xdr:col>9</xdr:col>
      <xdr:colOff>22225</xdr:colOff>
      <xdr:row>16</xdr:row>
      <xdr:rowOff>57959</xdr:rowOff>
    </xdr:to>
    <xdr:cxnSp macro="">
      <xdr:nvCxnSpPr>
        <xdr:cNvPr id="328" name="SCHEMA_T03_COND_0051">
          <a:extLst>
            <a:ext uri="{FF2B5EF4-FFF2-40B4-BE49-F238E27FC236}">
              <a16:creationId xmlns:a16="http://schemas.microsoft.com/office/drawing/2014/main" id="{6E708984-C66A-AD8E-C36B-E379FE0730B7}"/>
            </a:ext>
          </a:extLst>
        </xdr:cNvPr>
        <xdr:cNvCxnSpPr/>
      </xdr:nvCxnSpPr>
      <xdr:spPr>
        <a:xfrm flipV="1">
          <a:off x="4117975" y="4766813"/>
          <a:ext cx="222250" cy="8086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26761</xdr:colOff>
      <xdr:row>16</xdr:row>
      <xdr:rowOff>67278</xdr:rowOff>
    </xdr:from>
    <xdr:to>
      <xdr:col>7</xdr:col>
      <xdr:colOff>249011</xdr:colOff>
      <xdr:row>16</xdr:row>
      <xdr:rowOff>155752</xdr:rowOff>
    </xdr:to>
    <xdr:cxnSp macro="">
      <xdr:nvCxnSpPr>
        <xdr:cNvPr id="329" name="SCHEMA_T03_COND_0052">
          <a:extLst>
            <a:ext uri="{FF2B5EF4-FFF2-40B4-BE49-F238E27FC236}">
              <a16:creationId xmlns:a16="http://schemas.microsoft.com/office/drawing/2014/main" id="{D29AD29B-1698-D6E1-9857-BA24A48760F7}"/>
            </a:ext>
          </a:extLst>
        </xdr:cNvPr>
        <xdr:cNvCxnSpPr/>
      </xdr:nvCxnSpPr>
      <xdr:spPr>
        <a:xfrm>
          <a:off x="3673475" y="4856992"/>
          <a:ext cx="222250" cy="88474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249011</xdr:colOff>
      <xdr:row>16</xdr:row>
      <xdr:rowOff>155752</xdr:rowOff>
    </xdr:from>
    <xdr:to>
      <xdr:col>8</xdr:col>
      <xdr:colOff>135618</xdr:colOff>
      <xdr:row>16</xdr:row>
      <xdr:rowOff>159559</xdr:rowOff>
    </xdr:to>
    <xdr:cxnSp macro="">
      <xdr:nvCxnSpPr>
        <xdr:cNvPr id="330" name="SCHEMA_T03_COND_0053">
          <a:extLst>
            <a:ext uri="{FF2B5EF4-FFF2-40B4-BE49-F238E27FC236}">
              <a16:creationId xmlns:a16="http://schemas.microsoft.com/office/drawing/2014/main" id="{6B23E8A7-B054-C5CC-A0D8-0E4B17134377}"/>
            </a:ext>
          </a:extLst>
        </xdr:cNvPr>
        <xdr:cNvCxnSpPr/>
      </xdr:nvCxnSpPr>
      <xdr:spPr>
        <a:xfrm>
          <a:off x="3895725" y="4945466"/>
          <a:ext cx="222250" cy="380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135618</xdr:colOff>
      <xdr:row>16</xdr:row>
      <xdr:rowOff>78699</xdr:rowOff>
    </xdr:from>
    <xdr:to>
      <xdr:col>9</xdr:col>
      <xdr:colOff>22225</xdr:colOff>
      <xdr:row>16</xdr:row>
      <xdr:rowOff>159559</xdr:rowOff>
    </xdr:to>
    <xdr:cxnSp macro="">
      <xdr:nvCxnSpPr>
        <xdr:cNvPr id="331" name="SCHEMA_T03_COND_0054">
          <a:extLst>
            <a:ext uri="{FF2B5EF4-FFF2-40B4-BE49-F238E27FC236}">
              <a16:creationId xmlns:a16="http://schemas.microsoft.com/office/drawing/2014/main" id="{E724D0A3-0E87-62B9-DA1C-918D354F1A87}"/>
            </a:ext>
          </a:extLst>
        </xdr:cNvPr>
        <xdr:cNvCxnSpPr/>
      </xdr:nvCxnSpPr>
      <xdr:spPr>
        <a:xfrm flipV="1">
          <a:off x="4117975" y="4868413"/>
          <a:ext cx="222250" cy="8086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26761</xdr:colOff>
      <xdr:row>16</xdr:row>
      <xdr:rowOff>219678</xdr:rowOff>
    </xdr:from>
    <xdr:to>
      <xdr:col>7</xdr:col>
      <xdr:colOff>249011</xdr:colOff>
      <xdr:row>17</xdr:row>
      <xdr:rowOff>63223</xdr:rowOff>
    </xdr:to>
    <xdr:cxnSp macro="">
      <xdr:nvCxnSpPr>
        <xdr:cNvPr id="332" name="SCHEMA_T03_COND_0055">
          <a:extLst>
            <a:ext uri="{FF2B5EF4-FFF2-40B4-BE49-F238E27FC236}">
              <a16:creationId xmlns:a16="http://schemas.microsoft.com/office/drawing/2014/main" id="{1A8DF601-271C-8EBA-25E3-BC8CFAFBAF1A}"/>
            </a:ext>
          </a:extLst>
        </xdr:cNvPr>
        <xdr:cNvCxnSpPr/>
      </xdr:nvCxnSpPr>
      <xdr:spPr>
        <a:xfrm>
          <a:off x="3673475" y="5009392"/>
          <a:ext cx="222250" cy="88474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249011</xdr:colOff>
      <xdr:row>17</xdr:row>
      <xdr:rowOff>63223</xdr:rowOff>
    </xdr:from>
    <xdr:to>
      <xdr:col>8</xdr:col>
      <xdr:colOff>135618</xdr:colOff>
      <xdr:row>17</xdr:row>
      <xdr:rowOff>67030</xdr:rowOff>
    </xdr:to>
    <xdr:cxnSp macro="">
      <xdr:nvCxnSpPr>
        <xdr:cNvPr id="1472" name="SCHEMA_T03_COND_0056">
          <a:extLst>
            <a:ext uri="{FF2B5EF4-FFF2-40B4-BE49-F238E27FC236}">
              <a16:creationId xmlns:a16="http://schemas.microsoft.com/office/drawing/2014/main" id="{0F27749A-ACF0-E76E-3DCB-627A418FBD6A}"/>
            </a:ext>
          </a:extLst>
        </xdr:cNvPr>
        <xdr:cNvCxnSpPr/>
      </xdr:nvCxnSpPr>
      <xdr:spPr>
        <a:xfrm>
          <a:off x="3895725" y="5097866"/>
          <a:ext cx="222250" cy="380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135618</xdr:colOff>
      <xdr:row>16</xdr:row>
      <xdr:rowOff>231099</xdr:rowOff>
    </xdr:from>
    <xdr:to>
      <xdr:col>9</xdr:col>
      <xdr:colOff>22225</xdr:colOff>
      <xdr:row>17</xdr:row>
      <xdr:rowOff>67030</xdr:rowOff>
    </xdr:to>
    <xdr:cxnSp macro="">
      <xdr:nvCxnSpPr>
        <xdr:cNvPr id="1473" name="SCHEMA_T03_COND_0057">
          <a:extLst>
            <a:ext uri="{FF2B5EF4-FFF2-40B4-BE49-F238E27FC236}">
              <a16:creationId xmlns:a16="http://schemas.microsoft.com/office/drawing/2014/main" id="{4333E47F-1161-F508-3E83-398F836CC1D3}"/>
            </a:ext>
          </a:extLst>
        </xdr:cNvPr>
        <xdr:cNvCxnSpPr/>
      </xdr:nvCxnSpPr>
      <xdr:spPr>
        <a:xfrm flipV="1">
          <a:off x="4117975" y="5020813"/>
          <a:ext cx="222250" cy="8086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26761</xdr:colOff>
      <xdr:row>17</xdr:row>
      <xdr:rowOff>76349</xdr:rowOff>
    </xdr:from>
    <xdr:to>
      <xdr:col>7</xdr:col>
      <xdr:colOff>249011</xdr:colOff>
      <xdr:row>17</xdr:row>
      <xdr:rowOff>164823</xdr:rowOff>
    </xdr:to>
    <xdr:cxnSp macro="">
      <xdr:nvCxnSpPr>
        <xdr:cNvPr id="1474" name="SCHEMA_T03_COND_0058">
          <a:extLst>
            <a:ext uri="{FF2B5EF4-FFF2-40B4-BE49-F238E27FC236}">
              <a16:creationId xmlns:a16="http://schemas.microsoft.com/office/drawing/2014/main" id="{722B687C-82FD-CAAA-7916-6107B8D97BE1}"/>
            </a:ext>
          </a:extLst>
        </xdr:cNvPr>
        <xdr:cNvCxnSpPr/>
      </xdr:nvCxnSpPr>
      <xdr:spPr>
        <a:xfrm>
          <a:off x="3673475" y="5110992"/>
          <a:ext cx="222250" cy="88474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249011</xdr:colOff>
      <xdr:row>17</xdr:row>
      <xdr:rowOff>164823</xdr:rowOff>
    </xdr:from>
    <xdr:to>
      <xdr:col>8</xdr:col>
      <xdr:colOff>135618</xdr:colOff>
      <xdr:row>17</xdr:row>
      <xdr:rowOff>168630</xdr:rowOff>
    </xdr:to>
    <xdr:cxnSp macro="">
      <xdr:nvCxnSpPr>
        <xdr:cNvPr id="1475" name="SCHEMA_T03_COND_0059">
          <a:extLst>
            <a:ext uri="{FF2B5EF4-FFF2-40B4-BE49-F238E27FC236}">
              <a16:creationId xmlns:a16="http://schemas.microsoft.com/office/drawing/2014/main" id="{936D39DC-FC09-FB9F-BC73-BF61D6F80267}"/>
            </a:ext>
          </a:extLst>
        </xdr:cNvPr>
        <xdr:cNvCxnSpPr/>
      </xdr:nvCxnSpPr>
      <xdr:spPr>
        <a:xfrm>
          <a:off x="3895725" y="5199466"/>
          <a:ext cx="222250" cy="380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135618</xdr:colOff>
      <xdr:row>17</xdr:row>
      <xdr:rowOff>87770</xdr:rowOff>
    </xdr:from>
    <xdr:to>
      <xdr:col>9</xdr:col>
      <xdr:colOff>22225</xdr:colOff>
      <xdr:row>17</xdr:row>
      <xdr:rowOff>168630</xdr:rowOff>
    </xdr:to>
    <xdr:cxnSp macro="">
      <xdr:nvCxnSpPr>
        <xdr:cNvPr id="1476" name="SCHEMA_T03_COND_0060">
          <a:extLst>
            <a:ext uri="{FF2B5EF4-FFF2-40B4-BE49-F238E27FC236}">
              <a16:creationId xmlns:a16="http://schemas.microsoft.com/office/drawing/2014/main" id="{96B096ED-B35E-56A1-2238-FD24077B88FB}"/>
            </a:ext>
          </a:extLst>
        </xdr:cNvPr>
        <xdr:cNvCxnSpPr/>
      </xdr:nvCxnSpPr>
      <xdr:spPr>
        <a:xfrm flipV="1">
          <a:off x="4117975" y="5122413"/>
          <a:ext cx="222250" cy="8086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22225</xdr:colOff>
      <xdr:row>15</xdr:row>
      <xdr:rowOff>56927</xdr:rowOff>
    </xdr:from>
    <xdr:to>
      <xdr:col>9</xdr:col>
      <xdr:colOff>244475</xdr:colOff>
      <xdr:row>15</xdr:row>
      <xdr:rowOff>122558</xdr:rowOff>
    </xdr:to>
    <xdr:cxnSp macro="">
      <xdr:nvCxnSpPr>
        <xdr:cNvPr id="1477" name="SCHEMA_T03_COND_0061">
          <a:extLst>
            <a:ext uri="{FF2B5EF4-FFF2-40B4-BE49-F238E27FC236}">
              <a16:creationId xmlns:a16="http://schemas.microsoft.com/office/drawing/2014/main" id="{ADD8C52E-A823-DEA4-7FD3-6ACD7F28C186}"/>
            </a:ext>
          </a:extLst>
        </xdr:cNvPr>
        <xdr:cNvCxnSpPr/>
      </xdr:nvCxnSpPr>
      <xdr:spPr>
        <a:xfrm>
          <a:off x="4340225" y="4601713"/>
          <a:ext cx="222250" cy="65631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244475</xdr:colOff>
      <xdr:row>15</xdr:row>
      <xdr:rowOff>103523</xdr:rowOff>
    </xdr:from>
    <xdr:to>
      <xdr:col>10</xdr:col>
      <xdr:colOff>131082</xdr:colOff>
      <xdr:row>15</xdr:row>
      <xdr:rowOff>122558</xdr:rowOff>
    </xdr:to>
    <xdr:cxnSp macro="">
      <xdr:nvCxnSpPr>
        <xdr:cNvPr id="1478" name="SCHEMA_T03_COND_0062">
          <a:extLst>
            <a:ext uri="{FF2B5EF4-FFF2-40B4-BE49-F238E27FC236}">
              <a16:creationId xmlns:a16="http://schemas.microsoft.com/office/drawing/2014/main" id="{3B595259-B045-9B5A-4584-BC2CB584C432}"/>
            </a:ext>
          </a:extLst>
        </xdr:cNvPr>
        <xdr:cNvCxnSpPr/>
      </xdr:nvCxnSpPr>
      <xdr:spPr>
        <a:xfrm flipV="1">
          <a:off x="4562475" y="4648309"/>
          <a:ext cx="222250" cy="19035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131082</xdr:colOff>
      <xdr:row>14</xdr:row>
      <xdr:rowOff>244750</xdr:rowOff>
    </xdr:from>
    <xdr:to>
      <xdr:col>11</xdr:col>
      <xdr:colOff>17689</xdr:colOff>
      <xdr:row>15</xdr:row>
      <xdr:rowOff>103523</xdr:rowOff>
    </xdr:to>
    <xdr:cxnSp macro="">
      <xdr:nvCxnSpPr>
        <xdr:cNvPr id="1479" name="SCHEMA_T03_COND_0063">
          <a:extLst>
            <a:ext uri="{FF2B5EF4-FFF2-40B4-BE49-F238E27FC236}">
              <a16:creationId xmlns:a16="http://schemas.microsoft.com/office/drawing/2014/main" id="{626C5F57-D46C-543C-3B0C-5B4C7B728999}"/>
            </a:ext>
          </a:extLst>
        </xdr:cNvPr>
        <xdr:cNvCxnSpPr/>
      </xdr:nvCxnSpPr>
      <xdr:spPr>
        <a:xfrm flipV="1">
          <a:off x="4784725" y="4544607"/>
          <a:ext cx="222250" cy="103702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22225</xdr:colOff>
      <xdr:row>15</xdr:row>
      <xdr:rowOff>222027</xdr:rowOff>
    </xdr:from>
    <xdr:to>
      <xdr:col>9</xdr:col>
      <xdr:colOff>244475</xdr:colOff>
      <xdr:row>16</xdr:row>
      <xdr:rowOff>42730</xdr:rowOff>
    </xdr:to>
    <xdr:cxnSp macro="">
      <xdr:nvCxnSpPr>
        <xdr:cNvPr id="1480" name="SCHEMA_T03_COND_0064">
          <a:extLst>
            <a:ext uri="{FF2B5EF4-FFF2-40B4-BE49-F238E27FC236}">
              <a16:creationId xmlns:a16="http://schemas.microsoft.com/office/drawing/2014/main" id="{6F6800F5-4A56-20A6-A5DC-0925C1A6D4D0}"/>
            </a:ext>
          </a:extLst>
        </xdr:cNvPr>
        <xdr:cNvCxnSpPr/>
      </xdr:nvCxnSpPr>
      <xdr:spPr>
        <a:xfrm>
          <a:off x="4340225" y="4766813"/>
          <a:ext cx="222250" cy="6563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244475</xdr:colOff>
      <xdr:row>16</xdr:row>
      <xdr:rowOff>23695</xdr:rowOff>
    </xdr:from>
    <xdr:to>
      <xdr:col>10</xdr:col>
      <xdr:colOff>131082</xdr:colOff>
      <xdr:row>16</xdr:row>
      <xdr:rowOff>42730</xdr:rowOff>
    </xdr:to>
    <xdr:cxnSp macro="">
      <xdr:nvCxnSpPr>
        <xdr:cNvPr id="1481" name="SCHEMA_T03_COND_0065">
          <a:extLst>
            <a:ext uri="{FF2B5EF4-FFF2-40B4-BE49-F238E27FC236}">
              <a16:creationId xmlns:a16="http://schemas.microsoft.com/office/drawing/2014/main" id="{098DF2B2-5589-E633-62C2-63E78CE484F6}"/>
            </a:ext>
          </a:extLst>
        </xdr:cNvPr>
        <xdr:cNvCxnSpPr/>
      </xdr:nvCxnSpPr>
      <xdr:spPr>
        <a:xfrm flipV="1">
          <a:off x="4562475" y="4813409"/>
          <a:ext cx="222250" cy="1903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131082</xdr:colOff>
      <xdr:row>15</xdr:row>
      <xdr:rowOff>164921</xdr:rowOff>
    </xdr:from>
    <xdr:to>
      <xdr:col>11</xdr:col>
      <xdr:colOff>17689</xdr:colOff>
      <xdr:row>16</xdr:row>
      <xdr:rowOff>23695</xdr:rowOff>
    </xdr:to>
    <xdr:cxnSp macro="">
      <xdr:nvCxnSpPr>
        <xdr:cNvPr id="1482" name="SCHEMA_T03_COND_0066">
          <a:extLst>
            <a:ext uri="{FF2B5EF4-FFF2-40B4-BE49-F238E27FC236}">
              <a16:creationId xmlns:a16="http://schemas.microsoft.com/office/drawing/2014/main" id="{71CA2644-FD5C-ECE2-4D8B-7AF0A00993E7}"/>
            </a:ext>
          </a:extLst>
        </xdr:cNvPr>
        <xdr:cNvCxnSpPr/>
      </xdr:nvCxnSpPr>
      <xdr:spPr>
        <a:xfrm flipV="1">
          <a:off x="4784725" y="4709707"/>
          <a:ext cx="222250" cy="10370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22225</xdr:colOff>
      <xdr:row>16</xdr:row>
      <xdr:rowOff>78699</xdr:rowOff>
    </xdr:from>
    <xdr:to>
      <xdr:col>9</xdr:col>
      <xdr:colOff>244475</xdr:colOff>
      <xdr:row>16</xdr:row>
      <xdr:rowOff>144330</xdr:rowOff>
    </xdr:to>
    <xdr:cxnSp macro="">
      <xdr:nvCxnSpPr>
        <xdr:cNvPr id="1483" name="SCHEMA_T03_COND_0067">
          <a:extLst>
            <a:ext uri="{FF2B5EF4-FFF2-40B4-BE49-F238E27FC236}">
              <a16:creationId xmlns:a16="http://schemas.microsoft.com/office/drawing/2014/main" id="{CDB83B68-03F1-BB41-A744-11B710B875DD}"/>
            </a:ext>
          </a:extLst>
        </xdr:cNvPr>
        <xdr:cNvCxnSpPr/>
      </xdr:nvCxnSpPr>
      <xdr:spPr>
        <a:xfrm>
          <a:off x="4340225" y="4868413"/>
          <a:ext cx="222250" cy="6563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244475</xdr:colOff>
      <xdr:row>16</xdr:row>
      <xdr:rowOff>125295</xdr:rowOff>
    </xdr:from>
    <xdr:to>
      <xdr:col>10</xdr:col>
      <xdr:colOff>131082</xdr:colOff>
      <xdr:row>16</xdr:row>
      <xdr:rowOff>144330</xdr:rowOff>
    </xdr:to>
    <xdr:cxnSp macro="">
      <xdr:nvCxnSpPr>
        <xdr:cNvPr id="1484" name="SCHEMA_T03_COND_0068">
          <a:extLst>
            <a:ext uri="{FF2B5EF4-FFF2-40B4-BE49-F238E27FC236}">
              <a16:creationId xmlns:a16="http://schemas.microsoft.com/office/drawing/2014/main" id="{EB9E0382-0C47-195D-28E8-EA858958E7DF}"/>
            </a:ext>
          </a:extLst>
        </xdr:cNvPr>
        <xdr:cNvCxnSpPr/>
      </xdr:nvCxnSpPr>
      <xdr:spPr>
        <a:xfrm flipV="1">
          <a:off x="4562475" y="4915009"/>
          <a:ext cx="222250" cy="1903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131082</xdr:colOff>
      <xdr:row>16</xdr:row>
      <xdr:rowOff>21593</xdr:rowOff>
    </xdr:from>
    <xdr:to>
      <xdr:col>11</xdr:col>
      <xdr:colOff>17689</xdr:colOff>
      <xdr:row>16</xdr:row>
      <xdr:rowOff>125295</xdr:rowOff>
    </xdr:to>
    <xdr:cxnSp macro="">
      <xdr:nvCxnSpPr>
        <xdr:cNvPr id="1485" name="SCHEMA_T03_COND_0069">
          <a:extLst>
            <a:ext uri="{FF2B5EF4-FFF2-40B4-BE49-F238E27FC236}">
              <a16:creationId xmlns:a16="http://schemas.microsoft.com/office/drawing/2014/main" id="{6DF74226-C1AA-30FD-6190-7F56C7E2D2C1}"/>
            </a:ext>
          </a:extLst>
        </xdr:cNvPr>
        <xdr:cNvCxnSpPr/>
      </xdr:nvCxnSpPr>
      <xdr:spPr>
        <a:xfrm flipV="1">
          <a:off x="4784725" y="4811307"/>
          <a:ext cx="222250" cy="10370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22225</xdr:colOff>
      <xdr:row>16</xdr:row>
      <xdr:rowOff>231099</xdr:rowOff>
    </xdr:from>
    <xdr:to>
      <xdr:col>9</xdr:col>
      <xdr:colOff>244475</xdr:colOff>
      <xdr:row>17</xdr:row>
      <xdr:rowOff>51801</xdr:rowOff>
    </xdr:to>
    <xdr:cxnSp macro="">
      <xdr:nvCxnSpPr>
        <xdr:cNvPr id="1486" name="SCHEMA_T03_COND_0070">
          <a:extLst>
            <a:ext uri="{FF2B5EF4-FFF2-40B4-BE49-F238E27FC236}">
              <a16:creationId xmlns:a16="http://schemas.microsoft.com/office/drawing/2014/main" id="{89203741-1781-E917-EE6B-6A160C283FB1}"/>
            </a:ext>
          </a:extLst>
        </xdr:cNvPr>
        <xdr:cNvCxnSpPr/>
      </xdr:nvCxnSpPr>
      <xdr:spPr>
        <a:xfrm>
          <a:off x="4340225" y="5020813"/>
          <a:ext cx="222250" cy="6563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244475</xdr:colOff>
      <xdr:row>17</xdr:row>
      <xdr:rowOff>32766</xdr:rowOff>
    </xdr:from>
    <xdr:to>
      <xdr:col>10</xdr:col>
      <xdr:colOff>131082</xdr:colOff>
      <xdr:row>17</xdr:row>
      <xdr:rowOff>51801</xdr:rowOff>
    </xdr:to>
    <xdr:cxnSp macro="">
      <xdr:nvCxnSpPr>
        <xdr:cNvPr id="1487" name="SCHEMA_T03_COND_0071">
          <a:extLst>
            <a:ext uri="{FF2B5EF4-FFF2-40B4-BE49-F238E27FC236}">
              <a16:creationId xmlns:a16="http://schemas.microsoft.com/office/drawing/2014/main" id="{F7E8B475-2140-5425-D593-B3882BB79666}"/>
            </a:ext>
          </a:extLst>
        </xdr:cNvPr>
        <xdr:cNvCxnSpPr/>
      </xdr:nvCxnSpPr>
      <xdr:spPr>
        <a:xfrm flipV="1">
          <a:off x="4562475" y="5067409"/>
          <a:ext cx="222250" cy="1903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131082</xdr:colOff>
      <xdr:row>16</xdr:row>
      <xdr:rowOff>173993</xdr:rowOff>
    </xdr:from>
    <xdr:to>
      <xdr:col>11</xdr:col>
      <xdr:colOff>17689</xdr:colOff>
      <xdr:row>17</xdr:row>
      <xdr:rowOff>32766</xdr:rowOff>
    </xdr:to>
    <xdr:cxnSp macro="">
      <xdr:nvCxnSpPr>
        <xdr:cNvPr id="1488" name="SCHEMA_T03_COND_0072">
          <a:extLst>
            <a:ext uri="{FF2B5EF4-FFF2-40B4-BE49-F238E27FC236}">
              <a16:creationId xmlns:a16="http://schemas.microsoft.com/office/drawing/2014/main" id="{EDE92EA9-0DD1-9ADB-35DD-3B39A8A902E4}"/>
            </a:ext>
          </a:extLst>
        </xdr:cNvPr>
        <xdr:cNvCxnSpPr/>
      </xdr:nvCxnSpPr>
      <xdr:spPr>
        <a:xfrm flipV="1">
          <a:off x="4784725" y="4963707"/>
          <a:ext cx="222250" cy="10370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22225</xdr:colOff>
      <xdr:row>17</xdr:row>
      <xdr:rowOff>87770</xdr:rowOff>
    </xdr:from>
    <xdr:to>
      <xdr:col>9</xdr:col>
      <xdr:colOff>244475</xdr:colOff>
      <xdr:row>17</xdr:row>
      <xdr:rowOff>153401</xdr:rowOff>
    </xdr:to>
    <xdr:cxnSp macro="">
      <xdr:nvCxnSpPr>
        <xdr:cNvPr id="1489" name="SCHEMA_T03_COND_0073">
          <a:extLst>
            <a:ext uri="{FF2B5EF4-FFF2-40B4-BE49-F238E27FC236}">
              <a16:creationId xmlns:a16="http://schemas.microsoft.com/office/drawing/2014/main" id="{9DE6E015-3C5A-4C99-6AA2-F8CACD20D22C}"/>
            </a:ext>
          </a:extLst>
        </xdr:cNvPr>
        <xdr:cNvCxnSpPr/>
      </xdr:nvCxnSpPr>
      <xdr:spPr>
        <a:xfrm>
          <a:off x="4340225" y="5122413"/>
          <a:ext cx="222250" cy="6563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244475</xdr:colOff>
      <xdr:row>17</xdr:row>
      <xdr:rowOff>134366</xdr:rowOff>
    </xdr:from>
    <xdr:to>
      <xdr:col>10</xdr:col>
      <xdr:colOff>131082</xdr:colOff>
      <xdr:row>17</xdr:row>
      <xdr:rowOff>153401</xdr:rowOff>
    </xdr:to>
    <xdr:cxnSp macro="">
      <xdr:nvCxnSpPr>
        <xdr:cNvPr id="1490" name="SCHEMA_T03_COND_0074">
          <a:extLst>
            <a:ext uri="{FF2B5EF4-FFF2-40B4-BE49-F238E27FC236}">
              <a16:creationId xmlns:a16="http://schemas.microsoft.com/office/drawing/2014/main" id="{F4B4C3C5-C80B-61B8-0C16-D732833E1A9B}"/>
            </a:ext>
          </a:extLst>
        </xdr:cNvPr>
        <xdr:cNvCxnSpPr/>
      </xdr:nvCxnSpPr>
      <xdr:spPr>
        <a:xfrm flipV="1">
          <a:off x="4562475" y="5169009"/>
          <a:ext cx="222250" cy="1903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131082</xdr:colOff>
      <xdr:row>17</xdr:row>
      <xdr:rowOff>30664</xdr:rowOff>
    </xdr:from>
    <xdr:to>
      <xdr:col>11</xdr:col>
      <xdr:colOff>17689</xdr:colOff>
      <xdr:row>17</xdr:row>
      <xdr:rowOff>134366</xdr:rowOff>
    </xdr:to>
    <xdr:cxnSp macro="">
      <xdr:nvCxnSpPr>
        <xdr:cNvPr id="1491" name="SCHEMA_T03_COND_0075">
          <a:extLst>
            <a:ext uri="{FF2B5EF4-FFF2-40B4-BE49-F238E27FC236}">
              <a16:creationId xmlns:a16="http://schemas.microsoft.com/office/drawing/2014/main" id="{C9F42653-8C16-266B-2A92-5F5D174E8154}"/>
            </a:ext>
          </a:extLst>
        </xdr:cNvPr>
        <xdr:cNvCxnSpPr/>
      </xdr:nvCxnSpPr>
      <xdr:spPr>
        <a:xfrm flipV="1">
          <a:off x="4784725" y="5065307"/>
          <a:ext cx="222250" cy="10370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317500</xdr:colOff>
      <xdr:row>25</xdr:row>
      <xdr:rowOff>41729</xdr:rowOff>
    </xdr:from>
    <xdr:to>
      <xdr:col>10</xdr:col>
      <xdr:colOff>58057</xdr:colOff>
      <xdr:row>25</xdr:row>
      <xdr:rowOff>117929</xdr:rowOff>
    </xdr:to>
    <xdr:sp macro="" textlink="">
      <xdr:nvSpPr>
        <xdr:cNvPr id="1492" name="SCHEMA_T03_ATTRAV_05">
          <a:extLst>
            <a:ext uri="{FF2B5EF4-FFF2-40B4-BE49-F238E27FC236}">
              <a16:creationId xmlns:a16="http://schemas.microsoft.com/office/drawing/2014/main" id="{F90F3D94-932B-44CE-1FAA-CA5FA25AE0B1}"/>
            </a:ext>
          </a:extLst>
        </xdr:cNvPr>
        <xdr:cNvSpPr/>
      </xdr:nvSpPr>
      <xdr:spPr>
        <a:xfrm>
          <a:off x="4635500" y="7035800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11</xdr:col>
      <xdr:colOff>17689</xdr:colOff>
      <xdr:row>14</xdr:row>
      <xdr:rowOff>244750</xdr:rowOff>
    </xdr:from>
    <xdr:to>
      <xdr:col>11</xdr:col>
      <xdr:colOff>239939</xdr:colOff>
      <xdr:row>15</xdr:row>
      <xdr:rowOff>128269</xdr:rowOff>
    </xdr:to>
    <xdr:cxnSp macro="">
      <xdr:nvCxnSpPr>
        <xdr:cNvPr id="1493" name="SCHEMA_T03_COND_0076">
          <a:extLst>
            <a:ext uri="{FF2B5EF4-FFF2-40B4-BE49-F238E27FC236}">
              <a16:creationId xmlns:a16="http://schemas.microsoft.com/office/drawing/2014/main" id="{4A97B5D2-AAB5-7440-B300-4363E23FAEB5}"/>
            </a:ext>
          </a:extLst>
        </xdr:cNvPr>
        <xdr:cNvCxnSpPr/>
      </xdr:nvCxnSpPr>
      <xdr:spPr>
        <a:xfrm>
          <a:off x="5006975" y="4544607"/>
          <a:ext cx="222250" cy="128448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239939</xdr:colOff>
      <xdr:row>15</xdr:row>
      <xdr:rowOff>128269</xdr:rowOff>
    </xdr:from>
    <xdr:to>
      <xdr:col>12</xdr:col>
      <xdr:colOff>126546</xdr:colOff>
      <xdr:row>15</xdr:row>
      <xdr:rowOff>172051</xdr:rowOff>
    </xdr:to>
    <xdr:cxnSp macro="">
      <xdr:nvCxnSpPr>
        <xdr:cNvPr id="1494" name="SCHEMA_T03_COND_0077">
          <a:extLst>
            <a:ext uri="{FF2B5EF4-FFF2-40B4-BE49-F238E27FC236}">
              <a16:creationId xmlns:a16="http://schemas.microsoft.com/office/drawing/2014/main" id="{13303EA5-6738-8F3D-186B-6385A97E3F61}"/>
            </a:ext>
          </a:extLst>
        </xdr:cNvPr>
        <xdr:cNvCxnSpPr/>
      </xdr:nvCxnSpPr>
      <xdr:spPr>
        <a:xfrm>
          <a:off x="5229225" y="4673055"/>
          <a:ext cx="222250" cy="43782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126546</xdr:colOff>
      <xdr:row>15</xdr:row>
      <xdr:rowOff>131165</xdr:rowOff>
    </xdr:from>
    <xdr:to>
      <xdr:col>13</xdr:col>
      <xdr:colOff>13154</xdr:colOff>
      <xdr:row>15</xdr:row>
      <xdr:rowOff>172051</xdr:rowOff>
    </xdr:to>
    <xdr:cxnSp macro="">
      <xdr:nvCxnSpPr>
        <xdr:cNvPr id="1495" name="SCHEMA_T03_COND_0078">
          <a:extLst>
            <a:ext uri="{FF2B5EF4-FFF2-40B4-BE49-F238E27FC236}">
              <a16:creationId xmlns:a16="http://schemas.microsoft.com/office/drawing/2014/main" id="{09FC2E6F-5E29-91B9-AC40-02E1329FA8B2}"/>
            </a:ext>
          </a:extLst>
        </xdr:cNvPr>
        <xdr:cNvCxnSpPr/>
      </xdr:nvCxnSpPr>
      <xdr:spPr>
        <a:xfrm flipV="1">
          <a:off x="5451475" y="4675951"/>
          <a:ext cx="222250" cy="40886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17689</xdr:colOff>
      <xdr:row>15</xdr:row>
      <xdr:rowOff>164921</xdr:rowOff>
    </xdr:from>
    <xdr:to>
      <xdr:col>11</xdr:col>
      <xdr:colOff>239939</xdr:colOff>
      <xdr:row>16</xdr:row>
      <xdr:rowOff>48441</xdr:rowOff>
    </xdr:to>
    <xdr:cxnSp macro="">
      <xdr:nvCxnSpPr>
        <xdr:cNvPr id="1496" name="SCHEMA_T03_COND_0079">
          <a:extLst>
            <a:ext uri="{FF2B5EF4-FFF2-40B4-BE49-F238E27FC236}">
              <a16:creationId xmlns:a16="http://schemas.microsoft.com/office/drawing/2014/main" id="{EE2DFAAF-4CA7-43AD-9D4E-2526FE48E69B}"/>
            </a:ext>
          </a:extLst>
        </xdr:cNvPr>
        <xdr:cNvCxnSpPr/>
      </xdr:nvCxnSpPr>
      <xdr:spPr>
        <a:xfrm>
          <a:off x="5006975" y="4709707"/>
          <a:ext cx="222250" cy="12844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239939</xdr:colOff>
      <xdr:row>16</xdr:row>
      <xdr:rowOff>48441</xdr:rowOff>
    </xdr:from>
    <xdr:to>
      <xdr:col>12</xdr:col>
      <xdr:colOff>126546</xdr:colOff>
      <xdr:row>16</xdr:row>
      <xdr:rowOff>92223</xdr:rowOff>
    </xdr:to>
    <xdr:cxnSp macro="">
      <xdr:nvCxnSpPr>
        <xdr:cNvPr id="1497" name="SCHEMA_T03_COND_0080">
          <a:extLst>
            <a:ext uri="{FF2B5EF4-FFF2-40B4-BE49-F238E27FC236}">
              <a16:creationId xmlns:a16="http://schemas.microsoft.com/office/drawing/2014/main" id="{60258294-6BA5-546D-F302-6A1CBE7D8A7E}"/>
            </a:ext>
          </a:extLst>
        </xdr:cNvPr>
        <xdr:cNvCxnSpPr/>
      </xdr:nvCxnSpPr>
      <xdr:spPr>
        <a:xfrm>
          <a:off x="5229225" y="4838155"/>
          <a:ext cx="222250" cy="4378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126546</xdr:colOff>
      <xdr:row>16</xdr:row>
      <xdr:rowOff>51337</xdr:rowOff>
    </xdr:from>
    <xdr:to>
      <xdr:col>13</xdr:col>
      <xdr:colOff>13154</xdr:colOff>
      <xdr:row>16</xdr:row>
      <xdr:rowOff>92223</xdr:rowOff>
    </xdr:to>
    <xdr:cxnSp macro="">
      <xdr:nvCxnSpPr>
        <xdr:cNvPr id="1498" name="SCHEMA_T03_COND_0081">
          <a:extLst>
            <a:ext uri="{FF2B5EF4-FFF2-40B4-BE49-F238E27FC236}">
              <a16:creationId xmlns:a16="http://schemas.microsoft.com/office/drawing/2014/main" id="{78D1DA2F-4BED-72C4-FD17-BA2A7D84B461}"/>
            </a:ext>
          </a:extLst>
        </xdr:cNvPr>
        <xdr:cNvCxnSpPr/>
      </xdr:nvCxnSpPr>
      <xdr:spPr>
        <a:xfrm flipV="1">
          <a:off x="5451475" y="4841051"/>
          <a:ext cx="222250" cy="4088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17689</xdr:colOff>
      <xdr:row>16</xdr:row>
      <xdr:rowOff>21593</xdr:rowOff>
    </xdr:from>
    <xdr:to>
      <xdr:col>11</xdr:col>
      <xdr:colOff>239939</xdr:colOff>
      <xdr:row>16</xdr:row>
      <xdr:rowOff>150041</xdr:rowOff>
    </xdr:to>
    <xdr:cxnSp macro="">
      <xdr:nvCxnSpPr>
        <xdr:cNvPr id="1499" name="SCHEMA_T03_COND_0082">
          <a:extLst>
            <a:ext uri="{FF2B5EF4-FFF2-40B4-BE49-F238E27FC236}">
              <a16:creationId xmlns:a16="http://schemas.microsoft.com/office/drawing/2014/main" id="{61800D37-3ED2-020B-4694-AB36FE816769}"/>
            </a:ext>
          </a:extLst>
        </xdr:cNvPr>
        <xdr:cNvCxnSpPr/>
      </xdr:nvCxnSpPr>
      <xdr:spPr>
        <a:xfrm>
          <a:off x="5006975" y="4811307"/>
          <a:ext cx="222250" cy="12844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239939</xdr:colOff>
      <xdr:row>16</xdr:row>
      <xdr:rowOff>150041</xdr:rowOff>
    </xdr:from>
    <xdr:to>
      <xdr:col>12</xdr:col>
      <xdr:colOff>126546</xdr:colOff>
      <xdr:row>16</xdr:row>
      <xdr:rowOff>193823</xdr:rowOff>
    </xdr:to>
    <xdr:cxnSp macro="">
      <xdr:nvCxnSpPr>
        <xdr:cNvPr id="1500" name="SCHEMA_T03_COND_0083">
          <a:extLst>
            <a:ext uri="{FF2B5EF4-FFF2-40B4-BE49-F238E27FC236}">
              <a16:creationId xmlns:a16="http://schemas.microsoft.com/office/drawing/2014/main" id="{020C19DD-95E8-4689-D90A-55A4F7579076}"/>
            </a:ext>
          </a:extLst>
        </xdr:cNvPr>
        <xdr:cNvCxnSpPr/>
      </xdr:nvCxnSpPr>
      <xdr:spPr>
        <a:xfrm>
          <a:off x="5229225" y="4939755"/>
          <a:ext cx="222250" cy="4378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126546</xdr:colOff>
      <xdr:row>16</xdr:row>
      <xdr:rowOff>152937</xdr:rowOff>
    </xdr:from>
    <xdr:to>
      <xdr:col>13</xdr:col>
      <xdr:colOff>13154</xdr:colOff>
      <xdr:row>16</xdr:row>
      <xdr:rowOff>193823</xdr:rowOff>
    </xdr:to>
    <xdr:cxnSp macro="">
      <xdr:nvCxnSpPr>
        <xdr:cNvPr id="1501" name="SCHEMA_T03_COND_0084">
          <a:extLst>
            <a:ext uri="{FF2B5EF4-FFF2-40B4-BE49-F238E27FC236}">
              <a16:creationId xmlns:a16="http://schemas.microsoft.com/office/drawing/2014/main" id="{F7D50956-17E1-1027-3C15-A942A5C171C9}"/>
            </a:ext>
          </a:extLst>
        </xdr:cNvPr>
        <xdr:cNvCxnSpPr/>
      </xdr:nvCxnSpPr>
      <xdr:spPr>
        <a:xfrm flipV="1">
          <a:off x="5451475" y="4942651"/>
          <a:ext cx="222250" cy="4088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17689</xdr:colOff>
      <xdr:row>16</xdr:row>
      <xdr:rowOff>173993</xdr:rowOff>
    </xdr:from>
    <xdr:to>
      <xdr:col>11</xdr:col>
      <xdr:colOff>239939</xdr:colOff>
      <xdr:row>17</xdr:row>
      <xdr:rowOff>57512</xdr:rowOff>
    </xdr:to>
    <xdr:cxnSp macro="">
      <xdr:nvCxnSpPr>
        <xdr:cNvPr id="1502" name="SCHEMA_T03_COND_0085">
          <a:extLst>
            <a:ext uri="{FF2B5EF4-FFF2-40B4-BE49-F238E27FC236}">
              <a16:creationId xmlns:a16="http://schemas.microsoft.com/office/drawing/2014/main" id="{158E3CA6-5789-6920-7416-41571E1626CB}"/>
            </a:ext>
          </a:extLst>
        </xdr:cNvPr>
        <xdr:cNvCxnSpPr/>
      </xdr:nvCxnSpPr>
      <xdr:spPr>
        <a:xfrm>
          <a:off x="5006975" y="4963707"/>
          <a:ext cx="222250" cy="12844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239939</xdr:colOff>
      <xdr:row>17</xdr:row>
      <xdr:rowOff>57512</xdr:rowOff>
    </xdr:from>
    <xdr:to>
      <xdr:col>12</xdr:col>
      <xdr:colOff>126546</xdr:colOff>
      <xdr:row>17</xdr:row>
      <xdr:rowOff>101294</xdr:rowOff>
    </xdr:to>
    <xdr:cxnSp macro="">
      <xdr:nvCxnSpPr>
        <xdr:cNvPr id="1503" name="SCHEMA_T03_COND_0086">
          <a:extLst>
            <a:ext uri="{FF2B5EF4-FFF2-40B4-BE49-F238E27FC236}">
              <a16:creationId xmlns:a16="http://schemas.microsoft.com/office/drawing/2014/main" id="{262A1B0A-6505-5ED7-D9AB-E66804E8BFEC}"/>
            </a:ext>
          </a:extLst>
        </xdr:cNvPr>
        <xdr:cNvCxnSpPr/>
      </xdr:nvCxnSpPr>
      <xdr:spPr>
        <a:xfrm>
          <a:off x="5229225" y="5092155"/>
          <a:ext cx="222250" cy="4378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126546</xdr:colOff>
      <xdr:row>17</xdr:row>
      <xdr:rowOff>60408</xdr:rowOff>
    </xdr:from>
    <xdr:to>
      <xdr:col>13</xdr:col>
      <xdr:colOff>13154</xdr:colOff>
      <xdr:row>17</xdr:row>
      <xdr:rowOff>101294</xdr:rowOff>
    </xdr:to>
    <xdr:cxnSp macro="">
      <xdr:nvCxnSpPr>
        <xdr:cNvPr id="1504" name="SCHEMA_T03_COND_0087">
          <a:extLst>
            <a:ext uri="{FF2B5EF4-FFF2-40B4-BE49-F238E27FC236}">
              <a16:creationId xmlns:a16="http://schemas.microsoft.com/office/drawing/2014/main" id="{BDEB865E-33AA-0060-BD8F-7798C4F38937}"/>
            </a:ext>
          </a:extLst>
        </xdr:cNvPr>
        <xdr:cNvCxnSpPr/>
      </xdr:nvCxnSpPr>
      <xdr:spPr>
        <a:xfrm flipV="1">
          <a:off x="5451475" y="5095051"/>
          <a:ext cx="222250" cy="4088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17689</xdr:colOff>
      <xdr:row>17</xdr:row>
      <xdr:rowOff>30664</xdr:rowOff>
    </xdr:from>
    <xdr:to>
      <xdr:col>11</xdr:col>
      <xdr:colOff>239939</xdr:colOff>
      <xdr:row>17</xdr:row>
      <xdr:rowOff>159112</xdr:rowOff>
    </xdr:to>
    <xdr:cxnSp macro="">
      <xdr:nvCxnSpPr>
        <xdr:cNvPr id="1505" name="SCHEMA_T03_COND_0088">
          <a:extLst>
            <a:ext uri="{FF2B5EF4-FFF2-40B4-BE49-F238E27FC236}">
              <a16:creationId xmlns:a16="http://schemas.microsoft.com/office/drawing/2014/main" id="{40A625EC-5759-BA42-D00C-BB6F7BE74E5D}"/>
            </a:ext>
          </a:extLst>
        </xdr:cNvPr>
        <xdr:cNvCxnSpPr/>
      </xdr:nvCxnSpPr>
      <xdr:spPr>
        <a:xfrm>
          <a:off x="5006975" y="5065307"/>
          <a:ext cx="222250" cy="12844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239939</xdr:colOff>
      <xdr:row>17</xdr:row>
      <xdr:rowOff>159112</xdr:rowOff>
    </xdr:from>
    <xdr:to>
      <xdr:col>12</xdr:col>
      <xdr:colOff>126546</xdr:colOff>
      <xdr:row>17</xdr:row>
      <xdr:rowOff>202894</xdr:rowOff>
    </xdr:to>
    <xdr:cxnSp macro="">
      <xdr:nvCxnSpPr>
        <xdr:cNvPr id="1506" name="SCHEMA_T03_COND_0089">
          <a:extLst>
            <a:ext uri="{FF2B5EF4-FFF2-40B4-BE49-F238E27FC236}">
              <a16:creationId xmlns:a16="http://schemas.microsoft.com/office/drawing/2014/main" id="{8A32A4BF-A8F4-7C9E-38EB-27A7DFCFB6B4}"/>
            </a:ext>
          </a:extLst>
        </xdr:cNvPr>
        <xdr:cNvCxnSpPr/>
      </xdr:nvCxnSpPr>
      <xdr:spPr>
        <a:xfrm>
          <a:off x="5229225" y="5193755"/>
          <a:ext cx="222250" cy="4378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126546</xdr:colOff>
      <xdr:row>17</xdr:row>
      <xdr:rowOff>162008</xdr:rowOff>
    </xdr:from>
    <xdr:to>
      <xdr:col>13</xdr:col>
      <xdr:colOff>13154</xdr:colOff>
      <xdr:row>17</xdr:row>
      <xdr:rowOff>202894</xdr:rowOff>
    </xdr:to>
    <xdr:cxnSp macro="">
      <xdr:nvCxnSpPr>
        <xdr:cNvPr id="1507" name="SCHEMA_T03_COND_0090">
          <a:extLst>
            <a:ext uri="{FF2B5EF4-FFF2-40B4-BE49-F238E27FC236}">
              <a16:creationId xmlns:a16="http://schemas.microsoft.com/office/drawing/2014/main" id="{CDD6FD17-895B-8BFE-2C4E-FBBE92A323AE}"/>
            </a:ext>
          </a:extLst>
        </xdr:cNvPr>
        <xdr:cNvCxnSpPr/>
      </xdr:nvCxnSpPr>
      <xdr:spPr>
        <a:xfrm flipV="1">
          <a:off x="5451475" y="5196651"/>
          <a:ext cx="222250" cy="4088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13154</xdr:colOff>
      <xdr:row>15</xdr:row>
      <xdr:rowOff>109233</xdr:rowOff>
    </xdr:from>
    <xdr:to>
      <xdr:col>13</xdr:col>
      <xdr:colOff>235404</xdr:colOff>
      <xdr:row>15</xdr:row>
      <xdr:rowOff>131165</xdr:rowOff>
    </xdr:to>
    <xdr:cxnSp macro="">
      <xdr:nvCxnSpPr>
        <xdr:cNvPr id="1508" name="SCHEMA_T03_COND_0091">
          <a:extLst>
            <a:ext uri="{FF2B5EF4-FFF2-40B4-BE49-F238E27FC236}">
              <a16:creationId xmlns:a16="http://schemas.microsoft.com/office/drawing/2014/main" id="{16CB7F3D-EA49-9556-E724-A5E98A7269AA}"/>
            </a:ext>
          </a:extLst>
        </xdr:cNvPr>
        <xdr:cNvCxnSpPr/>
      </xdr:nvCxnSpPr>
      <xdr:spPr>
        <a:xfrm flipV="1">
          <a:off x="5673725" y="4654019"/>
          <a:ext cx="222250" cy="21932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235404</xdr:colOff>
      <xdr:row>15</xdr:row>
      <xdr:rowOff>2635</xdr:rowOff>
    </xdr:from>
    <xdr:to>
      <xdr:col>14</xdr:col>
      <xdr:colOff>122011</xdr:colOff>
      <xdr:row>15</xdr:row>
      <xdr:rowOff>109233</xdr:rowOff>
    </xdr:to>
    <xdr:cxnSp macro="">
      <xdr:nvCxnSpPr>
        <xdr:cNvPr id="1509" name="SCHEMA_T03_COND_0092">
          <a:extLst>
            <a:ext uri="{FF2B5EF4-FFF2-40B4-BE49-F238E27FC236}">
              <a16:creationId xmlns:a16="http://schemas.microsoft.com/office/drawing/2014/main" id="{259890D7-F6BD-8442-8191-E575060127FC}"/>
            </a:ext>
          </a:extLst>
        </xdr:cNvPr>
        <xdr:cNvCxnSpPr/>
      </xdr:nvCxnSpPr>
      <xdr:spPr>
        <a:xfrm flipV="1">
          <a:off x="5895975" y="4547421"/>
          <a:ext cx="222250" cy="106598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122011</xdr:colOff>
      <xdr:row>14</xdr:row>
      <xdr:rowOff>56299</xdr:rowOff>
    </xdr:from>
    <xdr:to>
      <xdr:col>15</xdr:col>
      <xdr:colOff>8618</xdr:colOff>
      <xdr:row>15</xdr:row>
      <xdr:rowOff>2635</xdr:rowOff>
    </xdr:to>
    <xdr:cxnSp macro="">
      <xdr:nvCxnSpPr>
        <xdr:cNvPr id="1510" name="SCHEMA_T03_COND_0093">
          <a:extLst>
            <a:ext uri="{FF2B5EF4-FFF2-40B4-BE49-F238E27FC236}">
              <a16:creationId xmlns:a16="http://schemas.microsoft.com/office/drawing/2014/main" id="{290550A1-81D5-B65E-BC81-299ECF7CF35E}"/>
            </a:ext>
          </a:extLst>
        </xdr:cNvPr>
        <xdr:cNvCxnSpPr/>
      </xdr:nvCxnSpPr>
      <xdr:spPr>
        <a:xfrm flipV="1">
          <a:off x="6118225" y="4356156"/>
          <a:ext cx="222250" cy="191265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13154</xdr:colOff>
      <xdr:row>16</xdr:row>
      <xdr:rowOff>29405</xdr:rowOff>
    </xdr:from>
    <xdr:to>
      <xdr:col>13</xdr:col>
      <xdr:colOff>235404</xdr:colOff>
      <xdr:row>16</xdr:row>
      <xdr:rowOff>51337</xdr:rowOff>
    </xdr:to>
    <xdr:cxnSp macro="">
      <xdr:nvCxnSpPr>
        <xdr:cNvPr id="1511" name="SCHEMA_T03_COND_0094">
          <a:extLst>
            <a:ext uri="{FF2B5EF4-FFF2-40B4-BE49-F238E27FC236}">
              <a16:creationId xmlns:a16="http://schemas.microsoft.com/office/drawing/2014/main" id="{106DD7DA-C8D4-8AB7-552F-83293EA8C554}"/>
            </a:ext>
          </a:extLst>
        </xdr:cNvPr>
        <xdr:cNvCxnSpPr/>
      </xdr:nvCxnSpPr>
      <xdr:spPr>
        <a:xfrm flipV="1">
          <a:off x="5673725" y="4819119"/>
          <a:ext cx="222250" cy="2193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235404</xdr:colOff>
      <xdr:row>15</xdr:row>
      <xdr:rowOff>167735</xdr:rowOff>
    </xdr:from>
    <xdr:to>
      <xdr:col>14</xdr:col>
      <xdr:colOff>122011</xdr:colOff>
      <xdr:row>16</xdr:row>
      <xdr:rowOff>29405</xdr:rowOff>
    </xdr:to>
    <xdr:cxnSp macro="">
      <xdr:nvCxnSpPr>
        <xdr:cNvPr id="1512" name="SCHEMA_T03_COND_0095">
          <a:extLst>
            <a:ext uri="{FF2B5EF4-FFF2-40B4-BE49-F238E27FC236}">
              <a16:creationId xmlns:a16="http://schemas.microsoft.com/office/drawing/2014/main" id="{ED9BFD21-4FD1-532D-3C64-A41C14FCC46A}"/>
            </a:ext>
          </a:extLst>
        </xdr:cNvPr>
        <xdr:cNvCxnSpPr/>
      </xdr:nvCxnSpPr>
      <xdr:spPr>
        <a:xfrm flipV="1">
          <a:off x="5895975" y="4712521"/>
          <a:ext cx="222250" cy="10659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122011</xdr:colOff>
      <xdr:row>14</xdr:row>
      <xdr:rowOff>221399</xdr:rowOff>
    </xdr:from>
    <xdr:to>
      <xdr:col>15</xdr:col>
      <xdr:colOff>8618</xdr:colOff>
      <xdr:row>15</xdr:row>
      <xdr:rowOff>167735</xdr:rowOff>
    </xdr:to>
    <xdr:cxnSp macro="">
      <xdr:nvCxnSpPr>
        <xdr:cNvPr id="1513" name="SCHEMA_T03_COND_0096">
          <a:extLst>
            <a:ext uri="{FF2B5EF4-FFF2-40B4-BE49-F238E27FC236}">
              <a16:creationId xmlns:a16="http://schemas.microsoft.com/office/drawing/2014/main" id="{498FBEBC-30A4-281F-9E08-F10868774702}"/>
            </a:ext>
          </a:extLst>
        </xdr:cNvPr>
        <xdr:cNvCxnSpPr/>
      </xdr:nvCxnSpPr>
      <xdr:spPr>
        <a:xfrm flipV="1">
          <a:off x="6118225" y="4521256"/>
          <a:ext cx="222250" cy="19126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13154</xdr:colOff>
      <xdr:row>16</xdr:row>
      <xdr:rowOff>131005</xdr:rowOff>
    </xdr:from>
    <xdr:to>
      <xdr:col>13</xdr:col>
      <xdr:colOff>235404</xdr:colOff>
      <xdr:row>16</xdr:row>
      <xdr:rowOff>152937</xdr:rowOff>
    </xdr:to>
    <xdr:cxnSp macro="">
      <xdr:nvCxnSpPr>
        <xdr:cNvPr id="1514" name="SCHEMA_T03_COND_0097">
          <a:extLst>
            <a:ext uri="{FF2B5EF4-FFF2-40B4-BE49-F238E27FC236}">
              <a16:creationId xmlns:a16="http://schemas.microsoft.com/office/drawing/2014/main" id="{54588855-0966-8768-83E4-2658674F6B74}"/>
            </a:ext>
          </a:extLst>
        </xdr:cNvPr>
        <xdr:cNvCxnSpPr/>
      </xdr:nvCxnSpPr>
      <xdr:spPr>
        <a:xfrm flipV="1">
          <a:off x="5673725" y="4920719"/>
          <a:ext cx="222250" cy="2193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235404</xdr:colOff>
      <xdr:row>16</xdr:row>
      <xdr:rowOff>24407</xdr:rowOff>
    </xdr:from>
    <xdr:to>
      <xdr:col>14</xdr:col>
      <xdr:colOff>122011</xdr:colOff>
      <xdr:row>16</xdr:row>
      <xdr:rowOff>131005</xdr:rowOff>
    </xdr:to>
    <xdr:cxnSp macro="">
      <xdr:nvCxnSpPr>
        <xdr:cNvPr id="1515" name="SCHEMA_T03_COND_0098">
          <a:extLst>
            <a:ext uri="{FF2B5EF4-FFF2-40B4-BE49-F238E27FC236}">
              <a16:creationId xmlns:a16="http://schemas.microsoft.com/office/drawing/2014/main" id="{4C43CB7F-08C5-EAEF-6311-4D1FE7810A16}"/>
            </a:ext>
          </a:extLst>
        </xdr:cNvPr>
        <xdr:cNvCxnSpPr/>
      </xdr:nvCxnSpPr>
      <xdr:spPr>
        <a:xfrm flipV="1">
          <a:off x="5895975" y="4814121"/>
          <a:ext cx="222250" cy="10659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122011</xdr:colOff>
      <xdr:row>15</xdr:row>
      <xdr:rowOff>78070</xdr:rowOff>
    </xdr:from>
    <xdr:to>
      <xdr:col>15</xdr:col>
      <xdr:colOff>8618</xdr:colOff>
      <xdr:row>16</xdr:row>
      <xdr:rowOff>24407</xdr:rowOff>
    </xdr:to>
    <xdr:cxnSp macro="">
      <xdr:nvCxnSpPr>
        <xdr:cNvPr id="1516" name="SCHEMA_T03_COND_0099">
          <a:extLst>
            <a:ext uri="{FF2B5EF4-FFF2-40B4-BE49-F238E27FC236}">
              <a16:creationId xmlns:a16="http://schemas.microsoft.com/office/drawing/2014/main" id="{5CF7AC8D-4C2C-D952-0736-5CAEEA6FC667}"/>
            </a:ext>
          </a:extLst>
        </xdr:cNvPr>
        <xdr:cNvCxnSpPr/>
      </xdr:nvCxnSpPr>
      <xdr:spPr>
        <a:xfrm flipV="1">
          <a:off x="6118225" y="4622856"/>
          <a:ext cx="222250" cy="19126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13154</xdr:colOff>
      <xdr:row>17</xdr:row>
      <xdr:rowOff>38476</xdr:rowOff>
    </xdr:from>
    <xdr:to>
      <xdr:col>13</xdr:col>
      <xdr:colOff>235404</xdr:colOff>
      <xdr:row>17</xdr:row>
      <xdr:rowOff>60408</xdr:rowOff>
    </xdr:to>
    <xdr:cxnSp macro="">
      <xdr:nvCxnSpPr>
        <xdr:cNvPr id="1517" name="SCHEMA_T03_COND_0100">
          <a:extLst>
            <a:ext uri="{FF2B5EF4-FFF2-40B4-BE49-F238E27FC236}">
              <a16:creationId xmlns:a16="http://schemas.microsoft.com/office/drawing/2014/main" id="{33F1C24E-2F86-9E95-2DCF-D724A6C8AC31}"/>
            </a:ext>
          </a:extLst>
        </xdr:cNvPr>
        <xdr:cNvCxnSpPr/>
      </xdr:nvCxnSpPr>
      <xdr:spPr>
        <a:xfrm flipV="1">
          <a:off x="5673725" y="5073119"/>
          <a:ext cx="222250" cy="2193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235404</xdr:colOff>
      <xdr:row>16</xdr:row>
      <xdr:rowOff>176807</xdr:rowOff>
    </xdr:from>
    <xdr:to>
      <xdr:col>14</xdr:col>
      <xdr:colOff>122011</xdr:colOff>
      <xdr:row>17</xdr:row>
      <xdr:rowOff>38476</xdr:rowOff>
    </xdr:to>
    <xdr:cxnSp macro="">
      <xdr:nvCxnSpPr>
        <xdr:cNvPr id="1518" name="SCHEMA_T03_COND_0101">
          <a:extLst>
            <a:ext uri="{FF2B5EF4-FFF2-40B4-BE49-F238E27FC236}">
              <a16:creationId xmlns:a16="http://schemas.microsoft.com/office/drawing/2014/main" id="{6C3F10F2-73ED-8A78-3FDE-48C9E5ADDA5B}"/>
            </a:ext>
          </a:extLst>
        </xdr:cNvPr>
        <xdr:cNvCxnSpPr/>
      </xdr:nvCxnSpPr>
      <xdr:spPr>
        <a:xfrm flipV="1">
          <a:off x="5895975" y="4966521"/>
          <a:ext cx="222250" cy="10659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122011</xdr:colOff>
      <xdr:row>15</xdr:row>
      <xdr:rowOff>230470</xdr:rowOff>
    </xdr:from>
    <xdr:to>
      <xdr:col>15</xdr:col>
      <xdr:colOff>8618</xdr:colOff>
      <xdr:row>16</xdr:row>
      <xdr:rowOff>176807</xdr:rowOff>
    </xdr:to>
    <xdr:cxnSp macro="">
      <xdr:nvCxnSpPr>
        <xdr:cNvPr id="1519" name="SCHEMA_T03_COND_0102">
          <a:extLst>
            <a:ext uri="{FF2B5EF4-FFF2-40B4-BE49-F238E27FC236}">
              <a16:creationId xmlns:a16="http://schemas.microsoft.com/office/drawing/2014/main" id="{48E32ECB-04EF-8DBB-214E-D7104840FD85}"/>
            </a:ext>
          </a:extLst>
        </xdr:cNvPr>
        <xdr:cNvCxnSpPr/>
      </xdr:nvCxnSpPr>
      <xdr:spPr>
        <a:xfrm flipV="1">
          <a:off x="6118225" y="4775256"/>
          <a:ext cx="222250" cy="19126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13154</xdr:colOff>
      <xdr:row>17</xdr:row>
      <xdr:rowOff>140076</xdr:rowOff>
    </xdr:from>
    <xdr:to>
      <xdr:col>13</xdr:col>
      <xdr:colOff>235404</xdr:colOff>
      <xdr:row>17</xdr:row>
      <xdr:rowOff>162008</xdr:rowOff>
    </xdr:to>
    <xdr:cxnSp macro="">
      <xdr:nvCxnSpPr>
        <xdr:cNvPr id="1520" name="SCHEMA_T03_COND_0103">
          <a:extLst>
            <a:ext uri="{FF2B5EF4-FFF2-40B4-BE49-F238E27FC236}">
              <a16:creationId xmlns:a16="http://schemas.microsoft.com/office/drawing/2014/main" id="{F26C0CFD-146A-8085-7043-4C9D267E7E3C}"/>
            </a:ext>
          </a:extLst>
        </xdr:cNvPr>
        <xdr:cNvCxnSpPr/>
      </xdr:nvCxnSpPr>
      <xdr:spPr>
        <a:xfrm flipV="1">
          <a:off x="5673725" y="5174719"/>
          <a:ext cx="222250" cy="2193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235404</xdr:colOff>
      <xdr:row>17</xdr:row>
      <xdr:rowOff>33478</xdr:rowOff>
    </xdr:from>
    <xdr:to>
      <xdr:col>14</xdr:col>
      <xdr:colOff>122011</xdr:colOff>
      <xdr:row>17</xdr:row>
      <xdr:rowOff>140076</xdr:rowOff>
    </xdr:to>
    <xdr:cxnSp macro="">
      <xdr:nvCxnSpPr>
        <xdr:cNvPr id="1521" name="SCHEMA_T03_COND_0104">
          <a:extLst>
            <a:ext uri="{FF2B5EF4-FFF2-40B4-BE49-F238E27FC236}">
              <a16:creationId xmlns:a16="http://schemas.microsoft.com/office/drawing/2014/main" id="{48969313-6E60-9369-ECE0-6EEDF3D1AC4A}"/>
            </a:ext>
          </a:extLst>
        </xdr:cNvPr>
        <xdr:cNvCxnSpPr/>
      </xdr:nvCxnSpPr>
      <xdr:spPr>
        <a:xfrm flipV="1">
          <a:off x="5895975" y="5068121"/>
          <a:ext cx="222250" cy="10659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122011</xdr:colOff>
      <xdr:row>16</xdr:row>
      <xdr:rowOff>87142</xdr:rowOff>
    </xdr:from>
    <xdr:to>
      <xdr:col>15</xdr:col>
      <xdr:colOff>8618</xdr:colOff>
      <xdr:row>17</xdr:row>
      <xdr:rowOff>33478</xdr:rowOff>
    </xdr:to>
    <xdr:cxnSp macro="">
      <xdr:nvCxnSpPr>
        <xdr:cNvPr id="1522" name="SCHEMA_T03_COND_0105">
          <a:extLst>
            <a:ext uri="{FF2B5EF4-FFF2-40B4-BE49-F238E27FC236}">
              <a16:creationId xmlns:a16="http://schemas.microsoft.com/office/drawing/2014/main" id="{4B02815C-FCD6-D045-5CF1-34479DB520ED}"/>
            </a:ext>
          </a:extLst>
        </xdr:cNvPr>
        <xdr:cNvCxnSpPr/>
      </xdr:nvCxnSpPr>
      <xdr:spPr>
        <a:xfrm flipV="1">
          <a:off x="6118225" y="4876856"/>
          <a:ext cx="222250" cy="19126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8618</xdr:colOff>
      <xdr:row>14</xdr:row>
      <xdr:rowOff>56299</xdr:rowOff>
    </xdr:from>
    <xdr:to>
      <xdr:col>15</xdr:col>
      <xdr:colOff>230868</xdr:colOff>
      <xdr:row>15</xdr:row>
      <xdr:rowOff>17863</xdr:rowOff>
    </xdr:to>
    <xdr:cxnSp macro="">
      <xdr:nvCxnSpPr>
        <xdr:cNvPr id="1523" name="SCHEMA_T03_COND_0106">
          <a:extLst>
            <a:ext uri="{FF2B5EF4-FFF2-40B4-BE49-F238E27FC236}">
              <a16:creationId xmlns:a16="http://schemas.microsoft.com/office/drawing/2014/main" id="{B1DC486A-CE42-48A7-78AD-4A55D3577F98}"/>
            </a:ext>
          </a:extLst>
        </xdr:cNvPr>
        <xdr:cNvCxnSpPr/>
      </xdr:nvCxnSpPr>
      <xdr:spPr>
        <a:xfrm>
          <a:off x="6340475" y="4356156"/>
          <a:ext cx="222250" cy="206493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230868</xdr:colOff>
      <xdr:row>15</xdr:row>
      <xdr:rowOff>17863</xdr:rowOff>
    </xdr:from>
    <xdr:to>
      <xdr:col>16</xdr:col>
      <xdr:colOff>117475</xdr:colOff>
      <xdr:row>15</xdr:row>
      <xdr:rowOff>139690</xdr:rowOff>
    </xdr:to>
    <xdr:cxnSp macro="">
      <xdr:nvCxnSpPr>
        <xdr:cNvPr id="1524" name="SCHEMA_T03_COND_0107">
          <a:extLst>
            <a:ext uri="{FF2B5EF4-FFF2-40B4-BE49-F238E27FC236}">
              <a16:creationId xmlns:a16="http://schemas.microsoft.com/office/drawing/2014/main" id="{8283EFEB-5778-7A6C-70B0-2DA84E28F9B5}"/>
            </a:ext>
          </a:extLst>
        </xdr:cNvPr>
        <xdr:cNvCxnSpPr/>
      </xdr:nvCxnSpPr>
      <xdr:spPr>
        <a:xfrm>
          <a:off x="6562725" y="4562649"/>
          <a:ext cx="222250" cy="121827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117475</xdr:colOff>
      <xdr:row>15</xdr:row>
      <xdr:rowOff>139690</xdr:rowOff>
    </xdr:from>
    <xdr:to>
      <xdr:col>17</xdr:col>
      <xdr:colOff>4082</xdr:colOff>
      <xdr:row>15</xdr:row>
      <xdr:rowOff>176851</xdr:rowOff>
    </xdr:to>
    <xdr:cxnSp macro="">
      <xdr:nvCxnSpPr>
        <xdr:cNvPr id="1525" name="SCHEMA_T03_COND_0108">
          <a:extLst>
            <a:ext uri="{FF2B5EF4-FFF2-40B4-BE49-F238E27FC236}">
              <a16:creationId xmlns:a16="http://schemas.microsoft.com/office/drawing/2014/main" id="{BFFA59EF-ACCB-93DB-275E-344F188BFBF5}"/>
            </a:ext>
          </a:extLst>
        </xdr:cNvPr>
        <xdr:cNvCxnSpPr/>
      </xdr:nvCxnSpPr>
      <xdr:spPr>
        <a:xfrm>
          <a:off x="6784975" y="4684476"/>
          <a:ext cx="222250" cy="37161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8618</xdr:colOff>
      <xdr:row>14</xdr:row>
      <xdr:rowOff>221399</xdr:rowOff>
    </xdr:from>
    <xdr:to>
      <xdr:col>15</xdr:col>
      <xdr:colOff>230868</xdr:colOff>
      <xdr:row>15</xdr:row>
      <xdr:rowOff>182963</xdr:rowOff>
    </xdr:to>
    <xdr:cxnSp macro="">
      <xdr:nvCxnSpPr>
        <xdr:cNvPr id="1526" name="SCHEMA_T03_COND_0109">
          <a:extLst>
            <a:ext uri="{FF2B5EF4-FFF2-40B4-BE49-F238E27FC236}">
              <a16:creationId xmlns:a16="http://schemas.microsoft.com/office/drawing/2014/main" id="{4500C2DC-B0BF-682B-B4A7-3AE67C97A4F1}"/>
            </a:ext>
          </a:extLst>
        </xdr:cNvPr>
        <xdr:cNvCxnSpPr/>
      </xdr:nvCxnSpPr>
      <xdr:spPr>
        <a:xfrm>
          <a:off x="6340475" y="4521256"/>
          <a:ext cx="222250" cy="20649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230868</xdr:colOff>
      <xdr:row>15</xdr:row>
      <xdr:rowOff>182963</xdr:rowOff>
    </xdr:from>
    <xdr:to>
      <xdr:col>16</xdr:col>
      <xdr:colOff>117475</xdr:colOff>
      <xdr:row>16</xdr:row>
      <xdr:rowOff>59862</xdr:rowOff>
    </xdr:to>
    <xdr:cxnSp macro="">
      <xdr:nvCxnSpPr>
        <xdr:cNvPr id="1527" name="SCHEMA_T03_COND_0110">
          <a:extLst>
            <a:ext uri="{FF2B5EF4-FFF2-40B4-BE49-F238E27FC236}">
              <a16:creationId xmlns:a16="http://schemas.microsoft.com/office/drawing/2014/main" id="{7485D172-E2F3-C9A4-F1A7-6258CB359D29}"/>
            </a:ext>
          </a:extLst>
        </xdr:cNvPr>
        <xdr:cNvCxnSpPr/>
      </xdr:nvCxnSpPr>
      <xdr:spPr>
        <a:xfrm>
          <a:off x="6562725" y="4727749"/>
          <a:ext cx="222250" cy="12182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117475</xdr:colOff>
      <xdr:row>16</xdr:row>
      <xdr:rowOff>59862</xdr:rowOff>
    </xdr:from>
    <xdr:to>
      <xdr:col>17</xdr:col>
      <xdr:colOff>4082</xdr:colOff>
      <xdr:row>16</xdr:row>
      <xdr:rowOff>97023</xdr:rowOff>
    </xdr:to>
    <xdr:cxnSp macro="">
      <xdr:nvCxnSpPr>
        <xdr:cNvPr id="1528" name="SCHEMA_T03_COND_0111">
          <a:extLst>
            <a:ext uri="{FF2B5EF4-FFF2-40B4-BE49-F238E27FC236}">
              <a16:creationId xmlns:a16="http://schemas.microsoft.com/office/drawing/2014/main" id="{A80EE94A-D9AF-616F-6211-D04FAD1F72E0}"/>
            </a:ext>
          </a:extLst>
        </xdr:cNvPr>
        <xdr:cNvCxnSpPr/>
      </xdr:nvCxnSpPr>
      <xdr:spPr>
        <a:xfrm>
          <a:off x="6784975" y="4849576"/>
          <a:ext cx="222250" cy="3716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8618</xdr:colOff>
      <xdr:row>15</xdr:row>
      <xdr:rowOff>78070</xdr:rowOff>
    </xdr:from>
    <xdr:to>
      <xdr:col>15</xdr:col>
      <xdr:colOff>230868</xdr:colOff>
      <xdr:row>16</xdr:row>
      <xdr:rowOff>39635</xdr:rowOff>
    </xdr:to>
    <xdr:cxnSp macro="">
      <xdr:nvCxnSpPr>
        <xdr:cNvPr id="1529" name="SCHEMA_T03_COND_0112">
          <a:extLst>
            <a:ext uri="{FF2B5EF4-FFF2-40B4-BE49-F238E27FC236}">
              <a16:creationId xmlns:a16="http://schemas.microsoft.com/office/drawing/2014/main" id="{E831C9FB-BE5B-5017-304B-0698892D09B5}"/>
            </a:ext>
          </a:extLst>
        </xdr:cNvPr>
        <xdr:cNvCxnSpPr/>
      </xdr:nvCxnSpPr>
      <xdr:spPr>
        <a:xfrm>
          <a:off x="6340475" y="4622856"/>
          <a:ext cx="222250" cy="20649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230868</xdr:colOff>
      <xdr:row>16</xdr:row>
      <xdr:rowOff>39635</xdr:rowOff>
    </xdr:from>
    <xdr:to>
      <xdr:col>16</xdr:col>
      <xdr:colOff>117475</xdr:colOff>
      <xdr:row>16</xdr:row>
      <xdr:rowOff>161462</xdr:rowOff>
    </xdr:to>
    <xdr:cxnSp macro="">
      <xdr:nvCxnSpPr>
        <xdr:cNvPr id="1530" name="SCHEMA_T03_COND_0113">
          <a:extLst>
            <a:ext uri="{FF2B5EF4-FFF2-40B4-BE49-F238E27FC236}">
              <a16:creationId xmlns:a16="http://schemas.microsoft.com/office/drawing/2014/main" id="{0ED9B4FD-69BE-D6BD-2E19-46DE9309C6EE}"/>
            </a:ext>
          </a:extLst>
        </xdr:cNvPr>
        <xdr:cNvCxnSpPr/>
      </xdr:nvCxnSpPr>
      <xdr:spPr>
        <a:xfrm>
          <a:off x="6562725" y="4829349"/>
          <a:ext cx="222250" cy="12182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117475</xdr:colOff>
      <xdr:row>16</xdr:row>
      <xdr:rowOff>161462</xdr:rowOff>
    </xdr:from>
    <xdr:to>
      <xdr:col>17</xdr:col>
      <xdr:colOff>4082</xdr:colOff>
      <xdr:row>16</xdr:row>
      <xdr:rowOff>198623</xdr:rowOff>
    </xdr:to>
    <xdr:cxnSp macro="">
      <xdr:nvCxnSpPr>
        <xdr:cNvPr id="1531" name="SCHEMA_T03_COND_0114">
          <a:extLst>
            <a:ext uri="{FF2B5EF4-FFF2-40B4-BE49-F238E27FC236}">
              <a16:creationId xmlns:a16="http://schemas.microsoft.com/office/drawing/2014/main" id="{F4769D66-09D4-9483-DFA2-93AFF72FB12A}"/>
            </a:ext>
          </a:extLst>
        </xdr:cNvPr>
        <xdr:cNvCxnSpPr/>
      </xdr:nvCxnSpPr>
      <xdr:spPr>
        <a:xfrm>
          <a:off x="6784975" y="4951176"/>
          <a:ext cx="222250" cy="3716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8618</xdr:colOff>
      <xdr:row>15</xdr:row>
      <xdr:rowOff>230470</xdr:rowOff>
    </xdr:from>
    <xdr:to>
      <xdr:col>15</xdr:col>
      <xdr:colOff>230868</xdr:colOff>
      <xdr:row>16</xdr:row>
      <xdr:rowOff>192035</xdr:rowOff>
    </xdr:to>
    <xdr:cxnSp macro="">
      <xdr:nvCxnSpPr>
        <xdr:cNvPr id="1532" name="SCHEMA_T03_COND_0115">
          <a:extLst>
            <a:ext uri="{FF2B5EF4-FFF2-40B4-BE49-F238E27FC236}">
              <a16:creationId xmlns:a16="http://schemas.microsoft.com/office/drawing/2014/main" id="{48BF75F7-0CDB-8F49-447C-B237BFC8CB53}"/>
            </a:ext>
          </a:extLst>
        </xdr:cNvPr>
        <xdr:cNvCxnSpPr/>
      </xdr:nvCxnSpPr>
      <xdr:spPr>
        <a:xfrm>
          <a:off x="6340475" y="4775256"/>
          <a:ext cx="222250" cy="20649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230868</xdr:colOff>
      <xdr:row>16</xdr:row>
      <xdr:rowOff>192035</xdr:rowOff>
    </xdr:from>
    <xdr:to>
      <xdr:col>16</xdr:col>
      <xdr:colOff>117475</xdr:colOff>
      <xdr:row>17</xdr:row>
      <xdr:rowOff>68933</xdr:rowOff>
    </xdr:to>
    <xdr:cxnSp macro="">
      <xdr:nvCxnSpPr>
        <xdr:cNvPr id="1533" name="SCHEMA_T03_COND_0116">
          <a:extLst>
            <a:ext uri="{FF2B5EF4-FFF2-40B4-BE49-F238E27FC236}">
              <a16:creationId xmlns:a16="http://schemas.microsoft.com/office/drawing/2014/main" id="{1EDC057F-845E-8A8A-9D56-D80AFD3C950B}"/>
            </a:ext>
          </a:extLst>
        </xdr:cNvPr>
        <xdr:cNvCxnSpPr/>
      </xdr:nvCxnSpPr>
      <xdr:spPr>
        <a:xfrm>
          <a:off x="6562725" y="4981749"/>
          <a:ext cx="222250" cy="12182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117475</xdr:colOff>
      <xdr:row>17</xdr:row>
      <xdr:rowOff>68933</xdr:rowOff>
    </xdr:from>
    <xdr:to>
      <xdr:col>17</xdr:col>
      <xdr:colOff>4082</xdr:colOff>
      <xdr:row>17</xdr:row>
      <xdr:rowOff>106094</xdr:rowOff>
    </xdr:to>
    <xdr:cxnSp macro="">
      <xdr:nvCxnSpPr>
        <xdr:cNvPr id="1534" name="SCHEMA_T03_COND_0117">
          <a:extLst>
            <a:ext uri="{FF2B5EF4-FFF2-40B4-BE49-F238E27FC236}">
              <a16:creationId xmlns:a16="http://schemas.microsoft.com/office/drawing/2014/main" id="{26384125-B96F-F263-CD8D-5004C80B1E00}"/>
            </a:ext>
          </a:extLst>
        </xdr:cNvPr>
        <xdr:cNvCxnSpPr/>
      </xdr:nvCxnSpPr>
      <xdr:spPr>
        <a:xfrm>
          <a:off x="6784975" y="5103576"/>
          <a:ext cx="222250" cy="3716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8618</xdr:colOff>
      <xdr:row>16</xdr:row>
      <xdr:rowOff>87142</xdr:rowOff>
    </xdr:from>
    <xdr:to>
      <xdr:col>15</xdr:col>
      <xdr:colOff>230868</xdr:colOff>
      <xdr:row>17</xdr:row>
      <xdr:rowOff>48706</xdr:rowOff>
    </xdr:to>
    <xdr:cxnSp macro="">
      <xdr:nvCxnSpPr>
        <xdr:cNvPr id="1535" name="SCHEMA_T03_COND_0118">
          <a:extLst>
            <a:ext uri="{FF2B5EF4-FFF2-40B4-BE49-F238E27FC236}">
              <a16:creationId xmlns:a16="http://schemas.microsoft.com/office/drawing/2014/main" id="{43B61B9F-B1B6-5F29-AEA8-4AA9ECFDF9AB}"/>
            </a:ext>
          </a:extLst>
        </xdr:cNvPr>
        <xdr:cNvCxnSpPr/>
      </xdr:nvCxnSpPr>
      <xdr:spPr>
        <a:xfrm>
          <a:off x="6340475" y="4876856"/>
          <a:ext cx="222250" cy="20649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230868</xdr:colOff>
      <xdr:row>17</xdr:row>
      <xdr:rowOff>48706</xdr:rowOff>
    </xdr:from>
    <xdr:to>
      <xdr:col>16</xdr:col>
      <xdr:colOff>117475</xdr:colOff>
      <xdr:row>17</xdr:row>
      <xdr:rowOff>170533</xdr:rowOff>
    </xdr:to>
    <xdr:cxnSp macro="">
      <xdr:nvCxnSpPr>
        <xdr:cNvPr id="1536" name="SCHEMA_T03_COND_0119">
          <a:extLst>
            <a:ext uri="{FF2B5EF4-FFF2-40B4-BE49-F238E27FC236}">
              <a16:creationId xmlns:a16="http://schemas.microsoft.com/office/drawing/2014/main" id="{3BBE0068-8F10-6D93-44AA-ACD3B90939EB}"/>
            </a:ext>
          </a:extLst>
        </xdr:cNvPr>
        <xdr:cNvCxnSpPr/>
      </xdr:nvCxnSpPr>
      <xdr:spPr>
        <a:xfrm>
          <a:off x="6562725" y="5083349"/>
          <a:ext cx="222250" cy="12182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117475</xdr:colOff>
      <xdr:row>17</xdr:row>
      <xdr:rowOff>170533</xdr:rowOff>
    </xdr:from>
    <xdr:to>
      <xdr:col>17</xdr:col>
      <xdr:colOff>4082</xdr:colOff>
      <xdr:row>17</xdr:row>
      <xdr:rowOff>207694</xdr:rowOff>
    </xdr:to>
    <xdr:cxnSp macro="">
      <xdr:nvCxnSpPr>
        <xdr:cNvPr id="1537" name="SCHEMA_T03_COND_0120">
          <a:extLst>
            <a:ext uri="{FF2B5EF4-FFF2-40B4-BE49-F238E27FC236}">
              <a16:creationId xmlns:a16="http://schemas.microsoft.com/office/drawing/2014/main" id="{57875FAE-2C0D-E3C4-062F-DE686314F505}"/>
            </a:ext>
          </a:extLst>
        </xdr:cNvPr>
        <xdr:cNvCxnSpPr/>
      </xdr:nvCxnSpPr>
      <xdr:spPr>
        <a:xfrm>
          <a:off x="6784975" y="5205176"/>
          <a:ext cx="222250" cy="3716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4082</xdr:colOff>
      <xdr:row>15</xdr:row>
      <xdr:rowOff>176851</xdr:rowOff>
    </xdr:from>
    <xdr:to>
      <xdr:col>17</xdr:col>
      <xdr:colOff>226332</xdr:colOff>
      <xdr:row>16</xdr:row>
      <xdr:rowOff>28011</xdr:rowOff>
    </xdr:to>
    <xdr:cxnSp macro="">
      <xdr:nvCxnSpPr>
        <xdr:cNvPr id="1538" name="SCHEMA_T03_COND_0121">
          <a:extLst>
            <a:ext uri="{FF2B5EF4-FFF2-40B4-BE49-F238E27FC236}">
              <a16:creationId xmlns:a16="http://schemas.microsoft.com/office/drawing/2014/main" id="{FF480D1E-238D-354D-6D96-1EB24E4DFFEB}"/>
            </a:ext>
          </a:extLst>
        </xdr:cNvPr>
        <xdr:cNvCxnSpPr/>
      </xdr:nvCxnSpPr>
      <xdr:spPr>
        <a:xfrm>
          <a:off x="7007225" y="4721637"/>
          <a:ext cx="222250" cy="96088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226332</xdr:colOff>
      <xdr:row>16</xdr:row>
      <xdr:rowOff>28011</xdr:rowOff>
    </xdr:from>
    <xdr:to>
      <xdr:col>18</xdr:col>
      <xdr:colOff>112939</xdr:colOff>
      <xdr:row>16</xdr:row>
      <xdr:rowOff>39432</xdr:rowOff>
    </xdr:to>
    <xdr:cxnSp macro="">
      <xdr:nvCxnSpPr>
        <xdr:cNvPr id="1539" name="SCHEMA_T03_COND_0122">
          <a:extLst>
            <a:ext uri="{FF2B5EF4-FFF2-40B4-BE49-F238E27FC236}">
              <a16:creationId xmlns:a16="http://schemas.microsoft.com/office/drawing/2014/main" id="{70DA045B-D587-5EA0-423C-6E6795A583C6}"/>
            </a:ext>
          </a:extLst>
        </xdr:cNvPr>
        <xdr:cNvCxnSpPr/>
      </xdr:nvCxnSpPr>
      <xdr:spPr>
        <a:xfrm>
          <a:off x="7229475" y="4817725"/>
          <a:ext cx="222250" cy="11421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112939</xdr:colOff>
      <xdr:row>15</xdr:row>
      <xdr:rowOff>211114</xdr:rowOff>
    </xdr:from>
    <xdr:to>
      <xdr:col>18</xdr:col>
      <xdr:colOff>335189</xdr:colOff>
      <xdr:row>16</xdr:row>
      <xdr:rowOff>39432</xdr:rowOff>
    </xdr:to>
    <xdr:cxnSp macro="">
      <xdr:nvCxnSpPr>
        <xdr:cNvPr id="1540" name="SCHEMA_T03_COND_0123">
          <a:extLst>
            <a:ext uri="{FF2B5EF4-FFF2-40B4-BE49-F238E27FC236}">
              <a16:creationId xmlns:a16="http://schemas.microsoft.com/office/drawing/2014/main" id="{533CAA39-16DE-55B4-5CEB-57687F564055}"/>
            </a:ext>
          </a:extLst>
        </xdr:cNvPr>
        <xdr:cNvCxnSpPr/>
      </xdr:nvCxnSpPr>
      <xdr:spPr>
        <a:xfrm flipV="1">
          <a:off x="7451725" y="4755900"/>
          <a:ext cx="222250" cy="73246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4082</xdr:colOff>
      <xdr:row>16</xdr:row>
      <xdr:rowOff>97023</xdr:rowOff>
    </xdr:from>
    <xdr:to>
      <xdr:col>17</xdr:col>
      <xdr:colOff>226332</xdr:colOff>
      <xdr:row>16</xdr:row>
      <xdr:rowOff>193111</xdr:rowOff>
    </xdr:to>
    <xdr:cxnSp macro="">
      <xdr:nvCxnSpPr>
        <xdr:cNvPr id="1541" name="SCHEMA_T03_COND_0124">
          <a:extLst>
            <a:ext uri="{FF2B5EF4-FFF2-40B4-BE49-F238E27FC236}">
              <a16:creationId xmlns:a16="http://schemas.microsoft.com/office/drawing/2014/main" id="{8DFD8594-43A9-522F-05B8-ADA2B51C7FEB}"/>
            </a:ext>
          </a:extLst>
        </xdr:cNvPr>
        <xdr:cNvCxnSpPr/>
      </xdr:nvCxnSpPr>
      <xdr:spPr>
        <a:xfrm>
          <a:off x="7007225" y="4886737"/>
          <a:ext cx="222250" cy="9608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226332</xdr:colOff>
      <xdr:row>16</xdr:row>
      <xdr:rowOff>193111</xdr:rowOff>
    </xdr:from>
    <xdr:to>
      <xdr:col>18</xdr:col>
      <xdr:colOff>112939</xdr:colOff>
      <xdr:row>16</xdr:row>
      <xdr:rowOff>204532</xdr:rowOff>
    </xdr:to>
    <xdr:cxnSp macro="">
      <xdr:nvCxnSpPr>
        <xdr:cNvPr id="1542" name="SCHEMA_T03_COND_0125">
          <a:extLst>
            <a:ext uri="{FF2B5EF4-FFF2-40B4-BE49-F238E27FC236}">
              <a16:creationId xmlns:a16="http://schemas.microsoft.com/office/drawing/2014/main" id="{96F02AD5-CB66-1D63-C681-CF76D9B6439A}"/>
            </a:ext>
          </a:extLst>
        </xdr:cNvPr>
        <xdr:cNvCxnSpPr/>
      </xdr:nvCxnSpPr>
      <xdr:spPr>
        <a:xfrm>
          <a:off x="7229475" y="4982825"/>
          <a:ext cx="222250" cy="1142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112939</xdr:colOff>
      <xdr:row>16</xdr:row>
      <xdr:rowOff>131286</xdr:rowOff>
    </xdr:from>
    <xdr:to>
      <xdr:col>18</xdr:col>
      <xdr:colOff>335189</xdr:colOff>
      <xdr:row>16</xdr:row>
      <xdr:rowOff>204532</xdr:rowOff>
    </xdr:to>
    <xdr:cxnSp macro="">
      <xdr:nvCxnSpPr>
        <xdr:cNvPr id="1543" name="SCHEMA_T03_COND_0126">
          <a:extLst>
            <a:ext uri="{FF2B5EF4-FFF2-40B4-BE49-F238E27FC236}">
              <a16:creationId xmlns:a16="http://schemas.microsoft.com/office/drawing/2014/main" id="{BDAD3D6C-6FC8-385C-FE80-F5EC10D26480}"/>
            </a:ext>
          </a:extLst>
        </xdr:cNvPr>
        <xdr:cNvCxnSpPr/>
      </xdr:nvCxnSpPr>
      <xdr:spPr>
        <a:xfrm flipV="1">
          <a:off x="7451725" y="4921000"/>
          <a:ext cx="222250" cy="7324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4082</xdr:colOff>
      <xdr:row>16</xdr:row>
      <xdr:rowOff>198623</xdr:rowOff>
    </xdr:from>
    <xdr:to>
      <xdr:col>17</xdr:col>
      <xdr:colOff>226332</xdr:colOff>
      <xdr:row>17</xdr:row>
      <xdr:rowOff>49782</xdr:rowOff>
    </xdr:to>
    <xdr:cxnSp macro="">
      <xdr:nvCxnSpPr>
        <xdr:cNvPr id="1544" name="SCHEMA_T03_COND_0127">
          <a:extLst>
            <a:ext uri="{FF2B5EF4-FFF2-40B4-BE49-F238E27FC236}">
              <a16:creationId xmlns:a16="http://schemas.microsoft.com/office/drawing/2014/main" id="{C9ED545F-2C92-4BB4-BE2B-71ED28472F1B}"/>
            </a:ext>
          </a:extLst>
        </xdr:cNvPr>
        <xdr:cNvCxnSpPr/>
      </xdr:nvCxnSpPr>
      <xdr:spPr>
        <a:xfrm>
          <a:off x="7007225" y="4988337"/>
          <a:ext cx="222250" cy="9608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226332</xdr:colOff>
      <xdr:row>17</xdr:row>
      <xdr:rowOff>49782</xdr:rowOff>
    </xdr:from>
    <xdr:to>
      <xdr:col>18</xdr:col>
      <xdr:colOff>112939</xdr:colOff>
      <xdr:row>17</xdr:row>
      <xdr:rowOff>61203</xdr:rowOff>
    </xdr:to>
    <xdr:cxnSp macro="">
      <xdr:nvCxnSpPr>
        <xdr:cNvPr id="1545" name="SCHEMA_T03_COND_0128">
          <a:extLst>
            <a:ext uri="{FF2B5EF4-FFF2-40B4-BE49-F238E27FC236}">
              <a16:creationId xmlns:a16="http://schemas.microsoft.com/office/drawing/2014/main" id="{9ABD4F63-CFFB-3840-B0D0-BC83C234292A}"/>
            </a:ext>
          </a:extLst>
        </xdr:cNvPr>
        <xdr:cNvCxnSpPr/>
      </xdr:nvCxnSpPr>
      <xdr:spPr>
        <a:xfrm>
          <a:off x="7229475" y="5084425"/>
          <a:ext cx="222250" cy="1142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112939</xdr:colOff>
      <xdr:row>16</xdr:row>
      <xdr:rowOff>232886</xdr:rowOff>
    </xdr:from>
    <xdr:to>
      <xdr:col>18</xdr:col>
      <xdr:colOff>335189</xdr:colOff>
      <xdr:row>17</xdr:row>
      <xdr:rowOff>61203</xdr:rowOff>
    </xdr:to>
    <xdr:cxnSp macro="">
      <xdr:nvCxnSpPr>
        <xdr:cNvPr id="1546" name="SCHEMA_T03_COND_0129">
          <a:extLst>
            <a:ext uri="{FF2B5EF4-FFF2-40B4-BE49-F238E27FC236}">
              <a16:creationId xmlns:a16="http://schemas.microsoft.com/office/drawing/2014/main" id="{837F648A-2AB7-D394-E9F2-702457E3B085}"/>
            </a:ext>
          </a:extLst>
        </xdr:cNvPr>
        <xdr:cNvCxnSpPr/>
      </xdr:nvCxnSpPr>
      <xdr:spPr>
        <a:xfrm flipV="1">
          <a:off x="7451725" y="5022600"/>
          <a:ext cx="222250" cy="7324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4082</xdr:colOff>
      <xdr:row>17</xdr:row>
      <xdr:rowOff>106094</xdr:rowOff>
    </xdr:from>
    <xdr:to>
      <xdr:col>17</xdr:col>
      <xdr:colOff>226332</xdr:colOff>
      <xdr:row>17</xdr:row>
      <xdr:rowOff>202182</xdr:rowOff>
    </xdr:to>
    <xdr:cxnSp macro="">
      <xdr:nvCxnSpPr>
        <xdr:cNvPr id="1547" name="SCHEMA_T03_COND_0130">
          <a:extLst>
            <a:ext uri="{FF2B5EF4-FFF2-40B4-BE49-F238E27FC236}">
              <a16:creationId xmlns:a16="http://schemas.microsoft.com/office/drawing/2014/main" id="{7EAC0FA3-8EBA-F40D-A72B-1F1CE71A9A47}"/>
            </a:ext>
          </a:extLst>
        </xdr:cNvPr>
        <xdr:cNvCxnSpPr/>
      </xdr:nvCxnSpPr>
      <xdr:spPr>
        <a:xfrm>
          <a:off x="7007225" y="5140737"/>
          <a:ext cx="222250" cy="9608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226332</xdr:colOff>
      <xdr:row>17</xdr:row>
      <xdr:rowOff>202182</xdr:rowOff>
    </xdr:from>
    <xdr:to>
      <xdr:col>18</xdr:col>
      <xdr:colOff>112939</xdr:colOff>
      <xdr:row>17</xdr:row>
      <xdr:rowOff>213603</xdr:rowOff>
    </xdr:to>
    <xdr:cxnSp macro="">
      <xdr:nvCxnSpPr>
        <xdr:cNvPr id="1548" name="SCHEMA_T03_COND_0131">
          <a:extLst>
            <a:ext uri="{FF2B5EF4-FFF2-40B4-BE49-F238E27FC236}">
              <a16:creationId xmlns:a16="http://schemas.microsoft.com/office/drawing/2014/main" id="{669E7C01-2402-6FE1-D46A-263A8DE29AF8}"/>
            </a:ext>
          </a:extLst>
        </xdr:cNvPr>
        <xdr:cNvCxnSpPr/>
      </xdr:nvCxnSpPr>
      <xdr:spPr>
        <a:xfrm>
          <a:off x="7229475" y="5236825"/>
          <a:ext cx="222250" cy="1142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112939</xdr:colOff>
      <xdr:row>17</xdr:row>
      <xdr:rowOff>140357</xdr:rowOff>
    </xdr:from>
    <xdr:to>
      <xdr:col>18</xdr:col>
      <xdr:colOff>335189</xdr:colOff>
      <xdr:row>17</xdr:row>
      <xdr:rowOff>213603</xdr:rowOff>
    </xdr:to>
    <xdr:cxnSp macro="">
      <xdr:nvCxnSpPr>
        <xdr:cNvPr id="1549" name="SCHEMA_T03_COND_0132">
          <a:extLst>
            <a:ext uri="{FF2B5EF4-FFF2-40B4-BE49-F238E27FC236}">
              <a16:creationId xmlns:a16="http://schemas.microsoft.com/office/drawing/2014/main" id="{CCDDFD8A-11ED-1E81-0A14-1EA1505D9B7C}"/>
            </a:ext>
          </a:extLst>
        </xdr:cNvPr>
        <xdr:cNvCxnSpPr/>
      </xdr:nvCxnSpPr>
      <xdr:spPr>
        <a:xfrm flipV="1">
          <a:off x="7451725" y="5175000"/>
          <a:ext cx="222250" cy="7324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4082</xdr:colOff>
      <xdr:row>17</xdr:row>
      <xdr:rowOff>207694</xdr:rowOff>
    </xdr:from>
    <xdr:to>
      <xdr:col>17</xdr:col>
      <xdr:colOff>226332</xdr:colOff>
      <xdr:row>18</xdr:row>
      <xdr:rowOff>58854</xdr:rowOff>
    </xdr:to>
    <xdr:cxnSp macro="">
      <xdr:nvCxnSpPr>
        <xdr:cNvPr id="1550" name="SCHEMA_T03_COND_0133">
          <a:extLst>
            <a:ext uri="{FF2B5EF4-FFF2-40B4-BE49-F238E27FC236}">
              <a16:creationId xmlns:a16="http://schemas.microsoft.com/office/drawing/2014/main" id="{EC9F41A4-23CF-6B5A-9F40-CBEF6F9F5F73}"/>
            </a:ext>
          </a:extLst>
        </xdr:cNvPr>
        <xdr:cNvCxnSpPr/>
      </xdr:nvCxnSpPr>
      <xdr:spPr>
        <a:xfrm>
          <a:off x="7007225" y="5242337"/>
          <a:ext cx="222250" cy="9608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226332</xdr:colOff>
      <xdr:row>18</xdr:row>
      <xdr:rowOff>58854</xdr:rowOff>
    </xdr:from>
    <xdr:to>
      <xdr:col>18</xdr:col>
      <xdr:colOff>112939</xdr:colOff>
      <xdr:row>18</xdr:row>
      <xdr:rowOff>70275</xdr:rowOff>
    </xdr:to>
    <xdr:cxnSp macro="">
      <xdr:nvCxnSpPr>
        <xdr:cNvPr id="1551" name="SCHEMA_T03_COND_0134">
          <a:extLst>
            <a:ext uri="{FF2B5EF4-FFF2-40B4-BE49-F238E27FC236}">
              <a16:creationId xmlns:a16="http://schemas.microsoft.com/office/drawing/2014/main" id="{1F2629E6-3D47-1320-6D3E-68871B98F1B5}"/>
            </a:ext>
          </a:extLst>
        </xdr:cNvPr>
        <xdr:cNvCxnSpPr/>
      </xdr:nvCxnSpPr>
      <xdr:spPr>
        <a:xfrm>
          <a:off x="7229475" y="5338425"/>
          <a:ext cx="222250" cy="1142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112939</xdr:colOff>
      <xdr:row>17</xdr:row>
      <xdr:rowOff>241957</xdr:rowOff>
    </xdr:from>
    <xdr:to>
      <xdr:col>18</xdr:col>
      <xdr:colOff>335189</xdr:colOff>
      <xdr:row>18</xdr:row>
      <xdr:rowOff>70275</xdr:rowOff>
    </xdr:to>
    <xdr:cxnSp macro="">
      <xdr:nvCxnSpPr>
        <xdr:cNvPr id="1552" name="SCHEMA_T03_COND_0135">
          <a:extLst>
            <a:ext uri="{FF2B5EF4-FFF2-40B4-BE49-F238E27FC236}">
              <a16:creationId xmlns:a16="http://schemas.microsoft.com/office/drawing/2014/main" id="{0AFD48E2-58FA-6297-4D6B-83D08C2E86E1}"/>
            </a:ext>
          </a:extLst>
        </xdr:cNvPr>
        <xdr:cNvCxnSpPr/>
      </xdr:nvCxnSpPr>
      <xdr:spPr>
        <a:xfrm flipV="1">
          <a:off x="7451725" y="5276600"/>
          <a:ext cx="222250" cy="7324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299357</xdr:colOff>
      <xdr:row>25</xdr:row>
      <xdr:rowOff>41729</xdr:rowOff>
    </xdr:from>
    <xdr:to>
      <xdr:col>18</xdr:col>
      <xdr:colOff>39914</xdr:colOff>
      <xdr:row>25</xdr:row>
      <xdr:rowOff>117929</xdr:rowOff>
    </xdr:to>
    <xdr:sp macro="" textlink="">
      <xdr:nvSpPr>
        <xdr:cNvPr id="1553" name="SCHEMA_T03_ATTRAV_09">
          <a:extLst>
            <a:ext uri="{FF2B5EF4-FFF2-40B4-BE49-F238E27FC236}">
              <a16:creationId xmlns:a16="http://schemas.microsoft.com/office/drawing/2014/main" id="{0101E84E-5250-F351-1787-97078B40DDE0}"/>
            </a:ext>
          </a:extLst>
        </xdr:cNvPr>
        <xdr:cNvSpPr/>
      </xdr:nvSpPr>
      <xdr:spPr>
        <a:xfrm>
          <a:off x="7302500" y="7035800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18</xdr:col>
      <xdr:colOff>335189</xdr:colOff>
      <xdr:row>15</xdr:row>
      <xdr:rowOff>211114</xdr:rowOff>
    </xdr:from>
    <xdr:to>
      <xdr:col>19</xdr:col>
      <xdr:colOff>221796</xdr:colOff>
      <xdr:row>16</xdr:row>
      <xdr:rowOff>33721</xdr:rowOff>
    </xdr:to>
    <xdr:cxnSp macro="">
      <xdr:nvCxnSpPr>
        <xdr:cNvPr id="1554" name="SCHEMA_T03_COND_0136">
          <a:extLst>
            <a:ext uri="{FF2B5EF4-FFF2-40B4-BE49-F238E27FC236}">
              <a16:creationId xmlns:a16="http://schemas.microsoft.com/office/drawing/2014/main" id="{F50B466A-F2F8-8C70-13A8-11350B12E83E}"/>
            </a:ext>
          </a:extLst>
        </xdr:cNvPr>
        <xdr:cNvCxnSpPr/>
      </xdr:nvCxnSpPr>
      <xdr:spPr>
        <a:xfrm>
          <a:off x="7673975" y="4755900"/>
          <a:ext cx="222250" cy="67535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221796</xdr:colOff>
      <xdr:row>16</xdr:row>
      <xdr:rowOff>16589</xdr:rowOff>
    </xdr:from>
    <xdr:to>
      <xdr:col>20</xdr:col>
      <xdr:colOff>108404</xdr:colOff>
      <xdr:row>16</xdr:row>
      <xdr:rowOff>33721</xdr:rowOff>
    </xdr:to>
    <xdr:cxnSp macro="">
      <xdr:nvCxnSpPr>
        <xdr:cNvPr id="1555" name="SCHEMA_T03_COND_0137">
          <a:extLst>
            <a:ext uri="{FF2B5EF4-FFF2-40B4-BE49-F238E27FC236}">
              <a16:creationId xmlns:a16="http://schemas.microsoft.com/office/drawing/2014/main" id="{243E92AE-33AF-0236-F058-B68462679F8C}"/>
            </a:ext>
          </a:extLst>
        </xdr:cNvPr>
        <xdr:cNvCxnSpPr/>
      </xdr:nvCxnSpPr>
      <xdr:spPr>
        <a:xfrm flipV="1">
          <a:off x="7896225" y="4806303"/>
          <a:ext cx="222250" cy="17132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108404</xdr:colOff>
      <xdr:row>15</xdr:row>
      <xdr:rowOff>159719</xdr:rowOff>
    </xdr:from>
    <xdr:to>
      <xdr:col>20</xdr:col>
      <xdr:colOff>330654</xdr:colOff>
      <xdr:row>16</xdr:row>
      <xdr:rowOff>16589</xdr:rowOff>
    </xdr:to>
    <xdr:cxnSp macro="">
      <xdr:nvCxnSpPr>
        <xdr:cNvPr id="1556" name="SCHEMA_T03_COND_0138">
          <a:extLst>
            <a:ext uri="{FF2B5EF4-FFF2-40B4-BE49-F238E27FC236}">
              <a16:creationId xmlns:a16="http://schemas.microsoft.com/office/drawing/2014/main" id="{1D9B0A3D-9730-3168-5170-ECFA1BA4C216}"/>
            </a:ext>
          </a:extLst>
        </xdr:cNvPr>
        <xdr:cNvCxnSpPr/>
      </xdr:nvCxnSpPr>
      <xdr:spPr>
        <a:xfrm flipV="1">
          <a:off x="8118475" y="4704505"/>
          <a:ext cx="222250" cy="101798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335189</xdr:colOff>
      <xdr:row>16</xdr:row>
      <xdr:rowOff>131286</xdr:rowOff>
    </xdr:from>
    <xdr:to>
      <xdr:col>19</xdr:col>
      <xdr:colOff>221796</xdr:colOff>
      <xdr:row>16</xdr:row>
      <xdr:rowOff>198821</xdr:rowOff>
    </xdr:to>
    <xdr:cxnSp macro="">
      <xdr:nvCxnSpPr>
        <xdr:cNvPr id="1557" name="SCHEMA_T03_COND_0139">
          <a:extLst>
            <a:ext uri="{FF2B5EF4-FFF2-40B4-BE49-F238E27FC236}">
              <a16:creationId xmlns:a16="http://schemas.microsoft.com/office/drawing/2014/main" id="{0ED3C5E2-03A2-1A02-5A8C-1208517C4182}"/>
            </a:ext>
          </a:extLst>
        </xdr:cNvPr>
        <xdr:cNvCxnSpPr/>
      </xdr:nvCxnSpPr>
      <xdr:spPr>
        <a:xfrm>
          <a:off x="7673975" y="4921000"/>
          <a:ext cx="222250" cy="6753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221796</xdr:colOff>
      <xdr:row>16</xdr:row>
      <xdr:rowOff>181689</xdr:rowOff>
    </xdr:from>
    <xdr:to>
      <xdr:col>20</xdr:col>
      <xdr:colOff>108404</xdr:colOff>
      <xdr:row>16</xdr:row>
      <xdr:rowOff>198821</xdr:rowOff>
    </xdr:to>
    <xdr:cxnSp macro="">
      <xdr:nvCxnSpPr>
        <xdr:cNvPr id="1558" name="SCHEMA_T03_COND_0140">
          <a:extLst>
            <a:ext uri="{FF2B5EF4-FFF2-40B4-BE49-F238E27FC236}">
              <a16:creationId xmlns:a16="http://schemas.microsoft.com/office/drawing/2014/main" id="{E4CC5A80-F474-D85C-695D-B82B40A66F5C}"/>
            </a:ext>
          </a:extLst>
        </xdr:cNvPr>
        <xdr:cNvCxnSpPr/>
      </xdr:nvCxnSpPr>
      <xdr:spPr>
        <a:xfrm flipV="1">
          <a:off x="7896225" y="4971403"/>
          <a:ext cx="222250" cy="1713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108404</xdr:colOff>
      <xdr:row>16</xdr:row>
      <xdr:rowOff>79891</xdr:rowOff>
    </xdr:from>
    <xdr:to>
      <xdr:col>20</xdr:col>
      <xdr:colOff>330654</xdr:colOff>
      <xdr:row>16</xdr:row>
      <xdr:rowOff>181689</xdr:rowOff>
    </xdr:to>
    <xdr:cxnSp macro="">
      <xdr:nvCxnSpPr>
        <xdr:cNvPr id="1559" name="SCHEMA_T03_COND_0141">
          <a:extLst>
            <a:ext uri="{FF2B5EF4-FFF2-40B4-BE49-F238E27FC236}">
              <a16:creationId xmlns:a16="http://schemas.microsoft.com/office/drawing/2014/main" id="{595EA2D4-1F73-C897-A7CD-72BDF8A276E5}"/>
            </a:ext>
          </a:extLst>
        </xdr:cNvPr>
        <xdr:cNvCxnSpPr/>
      </xdr:nvCxnSpPr>
      <xdr:spPr>
        <a:xfrm flipV="1">
          <a:off x="8118475" y="4869605"/>
          <a:ext cx="222250" cy="10179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335189</xdr:colOff>
      <xdr:row>16</xdr:row>
      <xdr:rowOff>232886</xdr:rowOff>
    </xdr:from>
    <xdr:to>
      <xdr:col>19</xdr:col>
      <xdr:colOff>221796</xdr:colOff>
      <xdr:row>17</xdr:row>
      <xdr:rowOff>55492</xdr:rowOff>
    </xdr:to>
    <xdr:cxnSp macro="">
      <xdr:nvCxnSpPr>
        <xdr:cNvPr id="1560" name="SCHEMA_T03_COND_0142">
          <a:extLst>
            <a:ext uri="{FF2B5EF4-FFF2-40B4-BE49-F238E27FC236}">
              <a16:creationId xmlns:a16="http://schemas.microsoft.com/office/drawing/2014/main" id="{21B33D79-202A-F8D4-223D-52F6CC293C53}"/>
            </a:ext>
          </a:extLst>
        </xdr:cNvPr>
        <xdr:cNvCxnSpPr/>
      </xdr:nvCxnSpPr>
      <xdr:spPr>
        <a:xfrm>
          <a:off x="7673975" y="5022600"/>
          <a:ext cx="222250" cy="6753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221796</xdr:colOff>
      <xdr:row>17</xdr:row>
      <xdr:rowOff>38360</xdr:rowOff>
    </xdr:from>
    <xdr:to>
      <xdr:col>20</xdr:col>
      <xdr:colOff>108404</xdr:colOff>
      <xdr:row>17</xdr:row>
      <xdr:rowOff>55492</xdr:rowOff>
    </xdr:to>
    <xdr:cxnSp macro="">
      <xdr:nvCxnSpPr>
        <xdr:cNvPr id="1561" name="SCHEMA_T03_COND_0143">
          <a:extLst>
            <a:ext uri="{FF2B5EF4-FFF2-40B4-BE49-F238E27FC236}">
              <a16:creationId xmlns:a16="http://schemas.microsoft.com/office/drawing/2014/main" id="{F17D1774-05D4-602C-AC1E-4D748DBF573A}"/>
            </a:ext>
          </a:extLst>
        </xdr:cNvPr>
        <xdr:cNvCxnSpPr/>
      </xdr:nvCxnSpPr>
      <xdr:spPr>
        <a:xfrm flipV="1">
          <a:off x="7896225" y="5073003"/>
          <a:ext cx="222250" cy="1713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108404</xdr:colOff>
      <xdr:row>16</xdr:row>
      <xdr:rowOff>181491</xdr:rowOff>
    </xdr:from>
    <xdr:to>
      <xdr:col>20</xdr:col>
      <xdr:colOff>330654</xdr:colOff>
      <xdr:row>17</xdr:row>
      <xdr:rowOff>38360</xdr:rowOff>
    </xdr:to>
    <xdr:cxnSp macro="">
      <xdr:nvCxnSpPr>
        <xdr:cNvPr id="1562" name="SCHEMA_T03_COND_0144">
          <a:extLst>
            <a:ext uri="{FF2B5EF4-FFF2-40B4-BE49-F238E27FC236}">
              <a16:creationId xmlns:a16="http://schemas.microsoft.com/office/drawing/2014/main" id="{B7391E39-619F-B044-2A7C-ADB58A688F2A}"/>
            </a:ext>
          </a:extLst>
        </xdr:cNvPr>
        <xdr:cNvCxnSpPr/>
      </xdr:nvCxnSpPr>
      <xdr:spPr>
        <a:xfrm flipV="1">
          <a:off x="8118475" y="4971205"/>
          <a:ext cx="222250" cy="10179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335189</xdr:colOff>
      <xdr:row>17</xdr:row>
      <xdr:rowOff>140357</xdr:rowOff>
    </xdr:from>
    <xdr:to>
      <xdr:col>19</xdr:col>
      <xdr:colOff>221796</xdr:colOff>
      <xdr:row>17</xdr:row>
      <xdr:rowOff>207892</xdr:rowOff>
    </xdr:to>
    <xdr:cxnSp macro="">
      <xdr:nvCxnSpPr>
        <xdr:cNvPr id="1563" name="SCHEMA_T03_COND_0145">
          <a:extLst>
            <a:ext uri="{FF2B5EF4-FFF2-40B4-BE49-F238E27FC236}">
              <a16:creationId xmlns:a16="http://schemas.microsoft.com/office/drawing/2014/main" id="{5820B072-2D4B-7132-8C85-7EEEF0523E76}"/>
            </a:ext>
          </a:extLst>
        </xdr:cNvPr>
        <xdr:cNvCxnSpPr/>
      </xdr:nvCxnSpPr>
      <xdr:spPr>
        <a:xfrm>
          <a:off x="7673975" y="5175000"/>
          <a:ext cx="222250" cy="6753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221796</xdr:colOff>
      <xdr:row>17</xdr:row>
      <xdr:rowOff>190760</xdr:rowOff>
    </xdr:from>
    <xdr:to>
      <xdr:col>20</xdr:col>
      <xdr:colOff>108404</xdr:colOff>
      <xdr:row>17</xdr:row>
      <xdr:rowOff>207892</xdr:rowOff>
    </xdr:to>
    <xdr:cxnSp macro="">
      <xdr:nvCxnSpPr>
        <xdr:cNvPr id="1564" name="SCHEMA_T03_COND_0146">
          <a:extLst>
            <a:ext uri="{FF2B5EF4-FFF2-40B4-BE49-F238E27FC236}">
              <a16:creationId xmlns:a16="http://schemas.microsoft.com/office/drawing/2014/main" id="{B29C33CF-C04F-E1AB-6DCE-E06C786ED793}"/>
            </a:ext>
          </a:extLst>
        </xdr:cNvPr>
        <xdr:cNvCxnSpPr/>
      </xdr:nvCxnSpPr>
      <xdr:spPr>
        <a:xfrm flipV="1">
          <a:off x="7896225" y="5225403"/>
          <a:ext cx="222250" cy="1713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108404</xdr:colOff>
      <xdr:row>17</xdr:row>
      <xdr:rowOff>88962</xdr:rowOff>
    </xdr:from>
    <xdr:to>
      <xdr:col>20</xdr:col>
      <xdr:colOff>330654</xdr:colOff>
      <xdr:row>17</xdr:row>
      <xdr:rowOff>190760</xdr:rowOff>
    </xdr:to>
    <xdr:cxnSp macro="">
      <xdr:nvCxnSpPr>
        <xdr:cNvPr id="1565" name="SCHEMA_T03_COND_0147">
          <a:extLst>
            <a:ext uri="{FF2B5EF4-FFF2-40B4-BE49-F238E27FC236}">
              <a16:creationId xmlns:a16="http://schemas.microsoft.com/office/drawing/2014/main" id="{50A5A715-4079-835C-20E5-17EE0D45E2C8}"/>
            </a:ext>
          </a:extLst>
        </xdr:cNvPr>
        <xdr:cNvCxnSpPr/>
      </xdr:nvCxnSpPr>
      <xdr:spPr>
        <a:xfrm flipV="1">
          <a:off x="8118475" y="5123605"/>
          <a:ext cx="222250" cy="10179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335189</xdr:colOff>
      <xdr:row>17</xdr:row>
      <xdr:rowOff>241957</xdr:rowOff>
    </xdr:from>
    <xdr:to>
      <xdr:col>19</xdr:col>
      <xdr:colOff>221796</xdr:colOff>
      <xdr:row>18</xdr:row>
      <xdr:rowOff>64564</xdr:rowOff>
    </xdr:to>
    <xdr:cxnSp macro="">
      <xdr:nvCxnSpPr>
        <xdr:cNvPr id="1566" name="SCHEMA_T03_COND_0148">
          <a:extLst>
            <a:ext uri="{FF2B5EF4-FFF2-40B4-BE49-F238E27FC236}">
              <a16:creationId xmlns:a16="http://schemas.microsoft.com/office/drawing/2014/main" id="{816EFAE4-4F62-6F4A-449A-151230C59EDA}"/>
            </a:ext>
          </a:extLst>
        </xdr:cNvPr>
        <xdr:cNvCxnSpPr/>
      </xdr:nvCxnSpPr>
      <xdr:spPr>
        <a:xfrm>
          <a:off x="7673975" y="5276600"/>
          <a:ext cx="222250" cy="6753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221796</xdr:colOff>
      <xdr:row>18</xdr:row>
      <xdr:rowOff>47432</xdr:rowOff>
    </xdr:from>
    <xdr:to>
      <xdr:col>20</xdr:col>
      <xdr:colOff>108404</xdr:colOff>
      <xdr:row>18</xdr:row>
      <xdr:rowOff>64564</xdr:rowOff>
    </xdr:to>
    <xdr:cxnSp macro="">
      <xdr:nvCxnSpPr>
        <xdr:cNvPr id="1567" name="SCHEMA_T03_COND_0149">
          <a:extLst>
            <a:ext uri="{FF2B5EF4-FFF2-40B4-BE49-F238E27FC236}">
              <a16:creationId xmlns:a16="http://schemas.microsoft.com/office/drawing/2014/main" id="{607CC713-FB75-A22B-C60E-3A57FA88F901}"/>
            </a:ext>
          </a:extLst>
        </xdr:cNvPr>
        <xdr:cNvCxnSpPr/>
      </xdr:nvCxnSpPr>
      <xdr:spPr>
        <a:xfrm flipV="1">
          <a:off x="7896225" y="5327003"/>
          <a:ext cx="222250" cy="1713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108404</xdr:colOff>
      <xdr:row>17</xdr:row>
      <xdr:rowOff>190562</xdr:rowOff>
    </xdr:from>
    <xdr:to>
      <xdr:col>20</xdr:col>
      <xdr:colOff>330654</xdr:colOff>
      <xdr:row>18</xdr:row>
      <xdr:rowOff>47432</xdr:rowOff>
    </xdr:to>
    <xdr:cxnSp macro="">
      <xdr:nvCxnSpPr>
        <xdr:cNvPr id="1568" name="SCHEMA_T03_COND_0150">
          <a:extLst>
            <a:ext uri="{FF2B5EF4-FFF2-40B4-BE49-F238E27FC236}">
              <a16:creationId xmlns:a16="http://schemas.microsoft.com/office/drawing/2014/main" id="{D0A127C6-6E2D-CCE7-645B-6B38AD3E7380}"/>
            </a:ext>
          </a:extLst>
        </xdr:cNvPr>
        <xdr:cNvCxnSpPr/>
      </xdr:nvCxnSpPr>
      <xdr:spPr>
        <a:xfrm flipV="1">
          <a:off x="8118475" y="5225205"/>
          <a:ext cx="222250" cy="10179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294821</xdr:colOff>
      <xdr:row>25</xdr:row>
      <xdr:rowOff>41729</xdr:rowOff>
    </xdr:from>
    <xdr:to>
      <xdr:col>20</xdr:col>
      <xdr:colOff>35379</xdr:colOff>
      <xdr:row>25</xdr:row>
      <xdr:rowOff>117929</xdr:rowOff>
    </xdr:to>
    <xdr:sp macro="" textlink="">
      <xdr:nvSpPr>
        <xdr:cNvPr id="1569" name="SCHEMA_T03_ATTRAV_10">
          <a:extLst>
            <a:ext uri="{FF2B5EF4-FFF2-40B4-BE49-F238E27FC236}">
              <a16:creationId xmlns:a16="http://schemas.microsoft.com/office/drawing/2014/main" id="{17007C9A-32E6-6221-181E-AE2260F962DC}"/>
            </a:ext>
          </a:extLst>
        </xdr:cNvPr>
        <xdr:cNvSpPr/>
      </xdr:nvSpPr>
      <xdr:spPr>
        <a:xfrm>
          <a:off x="7969250" y="7035800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20</xdr:col>
      <xdr:colOff>330654</xdr:colOff>
      <xdr:row>15</xdr:row>
      <xdr:rowOff>159719</xdr:rowOff>
    </xdr:from>
    <xdr:to>
      <xdr:col>21</xdr:col>
      <xdr:colOff>217261</xdr:colOff>
      <xdr:row>15</xdr:row>
      <xdr:rowOff>217736</xdr:rowOff>
    </xdr:to>
    <xdr:cxnSp macro="">
      <xdr:nvCxnSpPr>
        <xdr:cNvPr id="1570" name="SCHEMA_T03_COND_0151">
          <a:extLst>
            <a:ext uri="{FF2B5EF4-FFF2-40B4-BE49-F238E27FC236}">
              <a16:creationId xmlns:a16="http://schemas.microsoft.com/office/drawing/2014/main" id="{B93D8AC3-B137-02A7-8483-56B304AC5317}"/>
            </a:ext>
          </a:extLst>
        </xdr:cNvPr>
        <xdr:cNvCxnSpPr/>
      </xdr:nvCxnSpPr>
      <xdr:spPr>
        <a:xfrm>
          <a:off x="8340725" y="4704505"/>
          <a:ext cx="222250" cy="58017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217261</xdr:colOff>
      <xdr:row>15</xdr:row>
      <xdr:rowOff>191086</xdr:rowOff>
    </xdr:from>
    <xdr:to>
      <xdr:col>22</xdr:col>
      <xdr:colOff>103868</xdr:colOff>
      <xdr:row>15</xdr:row>
      <xdr:rowOff>217736</xdr:rowOff>
    </xdr:to>
    <xdr:cxnSp macro="">
      <xdr:nvCxnSpPr>
        <xdr:cNvPr id="1571" name="SCHEMA_T03_COND_0152">
          <a:extLst>
            <a:ext uri="{FF2B5EF4-FFF2-40B4-BE49-F238E27FC236}">
              <a16:creationId xmlns:a16="http://schemas.microsoft.com/office/drawing/2014/main" id="{11C4193D-8E29-ED3A-8A76-5A2775B444A0}"/>
            </a:ext>
          </a:extLst>
        </xdr:cNvPr>
        <xdr:cNvCxnSpPr/>
      </xdr:nvCxnSpPr>
      <xdr:spPr>
        <a:xfrm flipV="1">
          <a:off x="8562975" y="4735872"/>
          <a:ext cx="222250" cy="26650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103868</xdr:colOff>
      <xdr:row>15</xdr:row>
      <xdr:rowOff>79770</xdr:rowOff>
    </xdr:from>
    <xdr:to>
      <xdr:col>22</xdr:col>
      <xdr:colOff>326118</xdr:colOff>
      <xdr:row>15</xdr:row>
      <xdr:rowOff>191086</xdr:rowOff>
    </xdr:to>
    <xdr:cxnSp macro="">
      <xdr:nvCxnSpPr>
        <xdr:cNvPr id="1572" name="SCHEMA_T03_COND_0153">
          <a:extLst>
            <a:ext uri="{FF2B5EF4-FFF2-40B4-BE49-F238E27FC236}">
              <a16:creationId xmlns:a16="http://schemas.microsoft.com/office/drawing/2014/main" id="{79FBAF61-4377-57E7-982C-0FA057032C96}"/>
            </a:ext>
          </a:extLst>
        </xdr:cNvPr>
        <xdr:cNvCxnSpPr/>
      </xdr:nvCxnSpPr>
      <xdr:spPr>
        <a:xfrm flipV="1">
          <a:off x="8785225" y="4624556"/>
          <a:ext cx="222250" cy="111316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330654</xdr:colOff>
      <xdr:row>16</xdr:row>
      <xdr:rowOff>79891</xdr:rowOff>
    </xdr:from>
    <xdr:to>
      <xdr:col>21</xdr:col>
      <xdr:colOff>217261</xdr:colOff>
      <xdr:row>16</xdr:row>
      <xdr:rowOff>137908</xdr:rowOff>
    </xdr:to>
    <xdr:cxnSp macro="">
      <xdr:nvCxnSpPr>
        <xdr:cNvPr id="1573" name="SCHEMA_T03_COND_0154">
          <a:extLst>
            <a:ext uri="{FF2B5EF4-FFF2-40B4-BE49-F238E27FC236}">
              <a16:creationId xmlns:a16="http://schemas.microsoft.com/office/drawing/2014/main" id="{96062427-6A5E-9E99-1991-E5412D2B1FA1}"/>
            </a:ext>
          </a:extLst>
        </xdr:cNvPr>
        <xdr:cNvCxnSpPr/>
      </xdr:nvCxnSpPr>
      <xdr:spPr>
        <a:xfrm>
          <a:off x="8340725" y="4869605"/>
          <a:ext cx="222250" cy="5801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217261</xdr:colOff>
      <xdr:row>16</xdr:row>
      <xdr:rowOff>111258</xdr:rowOff>
    </xdr:from>
    <xdr:to>
      <xdr:col>22</xdr:col>
      <xdr:colOff>103868</xdr:colOff>
      <xdr:row>16</xdr:row>
      <xdr:rowOff>137908</xdr:rowOff>
    </xdr:to>
    <xdr:cxnSp macro="">
      <xdr:nvCxnSpPr>
        <xdr:cNvPr id="1574" name="SCHEMA_T03_COND_0155">
          <a:extLst>
            <a:ext uri="{FF2B5EF4-FFF2-40B4-BE49-F238E27FC236}">
              <a16:creationId xmlns:a16="http://schemas.microsoft.com/office/drawing/2014/main" id="{CF05BD58-BEC7-8B9A-4FF6-609CBA553FB5}"/>
            </a:ext>
          </a:extLst>
        </xdr:cNvPr>
        <xdr:cNvCxnSpPr/>
      </xdr:nvCxnSpPr>
      <xdr:spPr>
        <a:xfrm flipV="1">
          <a:off x="8562975" y="4900972"/>
          <a:ext cx="222250" cy="2665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103868</xdr:colOff>
      <xdr:row>15</xdr:row>
      <xdr:rowOff>244870</xdr:rowOff>
    </xdr:from>
    <xdr:to>
      <xdr:col>22</xdr:col>
      <xdr:colOff>326118</xdr:colOff>
      <xdr:row>16</xdr:row>
      <xdr:rowOff>111258</xdr:rowOff>
    </xdr:to>
    <xdr:cxnSp macro="">
      <xdr:nvCxnSpPr>
        <xdr:cNvPr id="1575" name="SCHEMA_T03_COND_0156">
          <a:extLst>
            <a:ext uri="{FF2B5EF4-FFF2-40B4-BE49-F238E27FC236}">
              <a16:creationId xmlns:a16="http://schemas.microsoft.com/office/drawing/2014/main" id="{C1C4CF7B-7D90-F2AA-022F-4F281161F2A9}"/>
            </a:ext>
          </a:extLst>
        </xdr:cNvPr>
        <xdr:cNvCxnSpPr/>
      </xdr:nvCxnSpPr>
      <xdr:spPr>
        <a:xfrm flipV="1">
          <a:off x="8785225" y="4789656"/>
          <a:ext cx="222250" cy="11131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330654</xdr:colOff>
      <xdr:row>16</xdr:row>
      <xdr:rowOff>181491</xdr:rowOff>
    </xdr:from>
    <xdr:to>
      <xdr:col>21</xdr:col>
      <xdr:colOff>217261</xdr:colOff>
      <xdr:row>16</xdr:row>
      <xdr:rowOff>239508</xdr:rowOff>
    </xdr:to>
    <xdr:cxnSp macro="">
      <xdr:nvCxnSpPr>
        <xdr:cNvPr id="1576" name="SCHEMA_T03_COND_0157">
          <a:extLst>
            <a:ext uri="{FF2B5EF4-FFF2-40B4-BE49-F238E27FC236}">
              <a16:creationId xmlns:a16="http://schemas.microsoft.com/office/drawing/2014/main" id="{E13A16D6-7FD0-5C12-8777-54A3E5D52E25}"/>
            </a:ext>
          </a:extLst>
        </xdr:cNvPr>
        <xdr:cNvCxnSpPr/>
      </xdr:nvCxnSpPr>
      <xdr:spPr>
        <a:xfrm>
          <a:off x="8340725" y="4971205"/>
          <a:ext cx="222250" cy="5801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217261</xdr:colOff>
      <xdr:row>16</xdr:row>
      <xdr:rowOff>212858</xdr:rowOff>
    </xdr:from>
    <xdr:to>
      <xdr:col>22</xdr:col>
      <xdr:colOff>103868</xdr:colOff>
      <xdr:row>16</xdr:row>
      <xdr:rowOff>239508</xdr:rowOff>
    </xdr:to>
    <xdr:cxnSp macro="">
      <xdr:nvCxnSpPr>
        <xdr:cNvPr id="1577" name="SCHEMA_T03_COND_0158">
          <a:extLst>
            <a:ext uri="{FF2B5EF4-FFF2-40B4-BE49-F238E27FC236}">
              <a16:creationId xmlns:a16="http://schemas.microsoft.com/office/drawing/2014/main" id="{0729276C-B280-FBB7-64B8-C9DCCC36D0BB}"/>
            </a:ext>
          </a:extLst>
        </xdr:cNvPr>
        <xdr:cNvCxnSpPr/>
      </xdr:nvCxnSpPr>
      <xdr:spPr>
        <a:xfrm flipV="1">
          <a:off x="8562975" y="5002572"/>
          <a:ext cx="222250" cy="2665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103868</xdr:colOff>
      <xdr:row>16</xdr:row>
      <xdr:rowOff>101542</xdr:rowOff>
    </xdr:from>
    <xdr:to>
      <xdr:col>22</xdr:col>
      <xdr:colOff>326118</xdr:colOff>
      <xdr:row>16</xdr:row>
      <xdr:rowOff>212858</xdr:rowOff>
    </xdr:to>
    <xdr:cxnSp macro="">
      <xdr:nvCxnSpPr>
        <xdr:cNvPr id="1578" name="SCHEMA_T03_COND_0159">
          <a:extLst>
            <a:ext uri="{FF2B5EF4-FFF2-40B4-BE49-F238E27FC236}">
              <a16:creationId xmlns:a16="http://schemas.microsoft.com/office/drawing/2014/main" id="{60CFC13A-8C5C-286C-5540-F5EC7C8ED93C}"/>
            </a:ext>
          </a:extLst>
        </xdr:cNvPr>
        <xdr:cNvCxnSpPr/>
      </xdr:nvCxnSpPr>
      <xdr:spPr>
        <a:xfrm flipV="1">
          <a:off x="8785225" y="4891256"/>
          <a:ext cx="222250" cy="11131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330654</xdr:colOff>
      <xdr:row>17</xdr:row>
      <xdr:rowOff>88962</xdr:rowOff>
    </xdr:from>
    <xdr:to>
      <xdr:col>21</xdr:col>
      <xdr:colOff>217261</xdr:colOff>
      <xdr:row>17</xdr:row>
      <xdr:rowOff>146979</xdr:rowOff>
    </xdr:to>
    <xdr:cxnSp macro="">
      <xdr:nvCxnSpPr>
        <xdr:cNvPr id="1579" name="SCHEMA_T03_COND_0160">
          <a:extLst>
            <a:ext uri="{FF2B5EF4-FFF2-40B4-BE49-F238E27FC236}">
              <a16:creationId xmlns:a16="http://schemas.microsoft.com/office/drawing/2014/main" id="{34C96184-377E-9F85-EEDB-7B804D22A44B}"/>
            </a:ext>
          </a:extLst>
        </xdr:cNvPr>
        <xdr:cNvCxnSpPr/>
      </xdr:nvCxnSpPr>
      <xdr:spPr>
        <a:xfrm>
          <a:off x="8340725" y="5123605"/>
          <a:ext cx="222250" cy="5801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217261</xdr:colOff>
      <xdr:row>17</xdr:row>
      <xdr:rowOff>120329</xdr:rowOff>
    </xdr:from>
    <xdr:to>
      <xdr:col>22</xdr:col>
      <xdr:colOff>103868</xdr:colOff>
      <xdr:row>17</xdr:row>
      <xdr:rowOff>146979</xdr:rowOff>
    </xdr:to>
    <xdr:cxnSp macro="">
      <xdr:nvCxnSpPr>
        <xdr:cNvPr id="1580" name="SCHEMA_T03_COND_0161">
          <a:extLst>
            <a:ext uri="{FF2B5EF4-FFF2-40B4-BE49-F238E27FC236}">
              <a16:creationId xmlns:a16="http://schemas.microsoft.com/office/drawing/2014/main" id="{C8931270-2C14-F233-EA44-A3C815514130}"/>
            </a:ext>
          </a:extLst>
        </xdr:cNvPr>
        <xdr:cNvCxnSpPr/>
      </xdr:nvCxnSpPr>
      <xdr:spPr>
        <a:xfrm flipV="1">
          <a:off x="8562975" y="5154972"/>
          <a:ext cx="222250" cy="2665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103868</xdr:colOff>
      <xdr:row>17</xdr:row>
      <xdr:rowOff>9013</xdr:rowOff>
    </xdr:from>
    <xdr:to>
      <xdr:col>22</xdr:col>
      <xdr:colOff>326118</xdr:colOff>
      <xdr:row>17</xdr:row>
      <xdr:rowOff>120329</xdr:rowOff>
    </xdr:to>
    <xdr:cxnSp macro="">
      <xdr:nvCxnSpPr>
        <xdr:cNvPr id="1581" name="SCHEMA_T03_COND_0162">
          <a:extLst>
            <a:ext uri="{FF2B5EF4-FFF2-40B4-BE49-F238E27FC236}">
              <a16:creationId xmlns:a16="http://schemas.microsoft.com/office/drawing/2014/main" id="{4F7682A3-B3C7-D71C-1C51-5992565BF86F}"/>
            </a:ext>
          </a:extLst>
        </xdr:cNvPr>
        <xdr:cNvCxnSpPr/>
      </xdr:nvCxnSpPr>
      <xdr:spPr>
        <a:xfrm flipV="1">
          <a:off x="8785225" y="5043656"/>
          <a:ext cx="222250" cy="11131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330654</xdr:colOff>
      <xdr:row>17</xdr:row>
      <xdr:rowOff>190562</xdr:rowOff>
    </xdr:from>
    <xdr:to>
      <xdr:col>21</xdr:col>
      <xdr:colOff>217261</xdr:colOff>
      <xdr:row>18</xdr:row>
      <xdr:rowOff>3651</xdr:rowOff>
    </xdr:to>
    <xdr:cxnSp macro="">
      <xdr:nvCxnSpPr>
        <xdr:cNvPr id="1582" name="SCHEMA_T03_COND_0163">
          <a:extLst>
            <a:ext uri="{FF2B5EF4-FFF2-40B4-BE49-F238E27FC236}">
              <a16:creationId xmlns:a16="http://schemas.microsoft.com/office/drawing/2014/main" id="{0149D9CF-EBFA-7030-FFD5-2C1EE8D94029}"/>
            </a:ext>
          </a:extLst>
        </xdr:cNvPr>
        <xdr:cNvCxnSpPr/>
      </xdr:nvCxnSpPr>
      <xdr:spPr>
        <a:xfrm>
          <a:off x="8340725" y="5225205"/>
          <a:ext cx="222250" cy="5801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217261</xdr:colOff>
      <xdr:row>17</xdr:row>
      <xdr:rowOff>221929</xdr:rowOff>
    </xdr:from>
    <xdr:to>
      <xdr:col>22</xdr:col>
      <xdr:colOff>103868</xdr:colOff>
      <xdr:row>18</xdr:row>
      <xdr:rowOff>3651</xdr:rowOff>
    </xdr:to>
    <xdr:cxnSp macro="">
      <xdr:nvCxnSpPr>
        <xdr:cNvPr id="1583" name="SCHEMA_T03_COND_0164">
          <a:extLst>
            <a:ext uri="{FF2B5EF4-FFF2-40B4-BE49-F238E27FC236}">
              <a16:creationId xmlns:a16="http://schemas.microsoft.com/office/drawing/2014/main" id="{6A891CC9-A5DF-64B5-9791-B859BB92AF1E}"/>
            </a:ext>
          </a:extLst>
        </xdr:cNvPr>
        <xdr:cNvCxnSpPr/>
      </xdr:nvCxnSpPr>
      <xdr:spPr>
        <a:xfrm flipV="1">
          <a:off x="8562975" y="5256572"/>
          <a:ext cx="222250" cy="2665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103868</xdr:colOff>
      <xdr:row>17</xdr:row>
      <xdr:rowOff>110613</xdr:rowOff>
    </xdr:from>
    <xdr:to>
      <xdr:col>22</xdr:col>
      <xdr:colOff>326118</xdr:colOff>
      <xdr:row>17</xdr:row>
      <xdr:rowOff>221929</xdr:rowOff>
    </xdr:to>
    <xdr:cxnSp macro="">
      <xdr:nvCxnSpPr>
        <xdr:cNvPr id="1584" name="SCHEMA_T03_COND_0165">
          <a:extLst>
            <a:ext uri="{FF2B5EF4-FFF2-40B4-BE49-F238E27FC236}">
              <a16:creationId xmlns:a16="http://schemas.microsoft.com/office/drawing/2014/main" id="{08F65A1D-2596-C9A7-89B6-C06ED1B5F34B}"/>
            </a:ext>
          </a:extLst>
        </xdr:cNvPr>
        <xdr:cNvCxnSpPr/>
      </xdr:nvCxnSpPr>
      <xdr:spPr>
        <a:xfrm flipV="1">
          <a:off x="8785225" y="5145256"/>
          <a:ext cx="222250" cy="11131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290286</xdr:colOff>
      <xdr:row>25</xdr:row>
      <xdr:rowOff>41729</xdr:rowOff>
    </xdr:from>
    <xdr:to>
      <xdr:col>22</xdr:col>
      <xdr:colOff>30843</xdr:colOff>
      <xdr:row>25</xdr:row>
      <xdr:rowOff>117929</xdr:rowOff>
    </xdr:to>
    <xdr:sp macro="" textlink="">
      <xdr:nvSpPr>
        <xdr:cNvPr id="1585" name="SCHEMA_T03_ATTRAV_11">
          <a:extLst>
            <a:ext uri="{FF2B5EF4-FFF2-40B4-BE49-F238E27FC236}">
              <a16:creationId xmlns:a16="http://schemas.microsoft.com/office/drawing/2014/main" id="{99602805-1295-138D-09AA-13628D23251F}"/>
            </a:ext>
          </a:extLst>
        </xdr:cNvPr>
        <xdr:cNvSpPr/>
      </xdr:nvSpPr>
      <xdr:spPr>
        <a:xfrm>
          <a:off x="8636000" y="7035800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22</xdr:col>
      <xdr:colOff>326118</xdr:colOff>
      <xdr:row>15</xdr:row>
      <xdr:rowOff>79770</xdr:rowOff>
    </xdr:from>
    <xdr:to>
      <xdr:col>23</xdr:col>
      <xdr:colOff>212725</xdr:colOff>
      <xdr:row>15</xdr:row>
      <xdr:rowOff>164436</xdr:rowOff>
    </xdr:to>
    <xdr:cxnSp macro="">
      <xdr:nvCxnSpPr>
        <xdr:cNvPr id="1586" name="SCHEMA_T03_COND_0166">
          <a:extLst>
            <a:ext uri="{FF2B5EF4-FFF2-40B4-BE49-F238E27FC236}">
              <a16:creationId xmlns:a16="http://schemas.microsoft.com/office/drawing/2014/main" id="{517240C2-CB92-A616-21E7-438BD9D6C301}"/>
            </a:ext>
          </a:extLst>
        </xdr:cNvPr>
        <xdr:cNvCxnSpPr/>
      </xdr:nvCxnSpPr>
      <xdr:spPr>
        <a:xfrm>
          <a:off x="9007475" y="4624556"/>
          <a:ext cx="222250" cy="84666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212725</xdr:colOff>
      <xdr:row>15</xdr:row>
      <xdr:rowOff>164436</xdr:rowOff>
    </xdr:from>
    <xdr:to>
      <xdr:col>24</xdr:col>
      <xdr:colOff>99332</xdr:colOff>
      <xdr:row>15</xdr:row>
      <xdr:rowOff>164436</xdr:rowOff>
    </xdr:to>
    <xdr:cxnSp macro="">
      <xdr:nvCxnSpPr>
        <xdr:cNvPr id="1587" name="SCHEMA_T03_COND_0167">
          <a:extLst>
            <a:ext uri="{FF2B5EF4-FFF2-40B4-BE49-F238E27FC236}">
              <a16:creationId xmlns:a16="http://schemas.microsoft.com/office/drawing/2014/main" id="{52EA9D91-AD51-5FEE-5E9D-F3A2256B90DA}"/>
            </a:ext>
          </a:extLst>
        </xdr:cNvPr>
        <xdr:cNvCxnSpPr/>
      </xdr:nvCxnSpPr>
      <xdr:spPr>
        <a:xfrm>
          <a:off x="9229725" y="4709222"/>
          <a:ext cx="222250" cy="0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99332</xdr:colOff>
      <xdr:row>15</xdr:row>
      <xdr:rowOff>79770</xdr:rowOff>
    </xdr:from>
    <xdr:to>
      <xdr:col>24</xdr:col>
      <xdr:colOff>321582</xdr:colOff>
      <xdr:row>15</xdr:row>
      <xdr:rowOff>164436</xdr:rowOff>
    </xdr:to>
    <xdr:cxnSp macro="">
      <xdr:nvCxnSpPr>
        <xdr:cNvPr id="1588" name="SCHEMA_T03_COND_0168">
          <a:extLst>
            <a:ext uri="{FF2B5EF4-FFF2-40B4-BE49-F238E27FC236}">
              <a16:creationId xmlns:a16="http://schemas.microsoft.com/office/drawing/2014/main" id="{36F95CF2-2B4B-3137-FE4B-2B4F4FFD35DD}"/>
            </a:ext>
          </a:extLst>
        </xdr:cNvPr>
        <xdr:cNvCxnSpPr/>
      </xdr:nvCxnSpPr>
      <xdr:spPr>
        <a:xfrm flipV="1">
          <a:off x="9451975" y="4624556"/>
          <a:ext cx="222250" cy="84666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326118</xdr:colOff>
      <xdr:row>15</xdr:row>
      <xdr:rowOff>244870</xdr:rowOff>
    </xdr:from>
    <xdr:to>
      <xdr:col>23</xdr:col>
      <xdr:colOff>212725</xdr:colOff>
      <xdr:row>16</xdr:row>
      <xdr:rowOff>84608</xdr:rowOff>
    </xdr:to>
    <xdr:cxnSp macro="">
      <xdr:nvCxnSpPr>
        <xdr:cNvPr id="1589" name="SCHEMA_T03_COND_0169">
          <a:extLst>
            <a:ext uri="{FF2B5EF4-FFF2-40B4-BE49-F238E27FC236}">
              <a16:creationId xmlns:a16="http://schemas.microsoft.com/office/drawing/2014/main" id="{29553B88-51CE-3A41-70D7-3C8ACC3AC2CD}"/>
            </a:ext>
          </a:extLst>
        </xdr:cNvPr>
        <xdr:cNvCxnSpPr/>
      </xdr:nvCxnSpPr>
      <xdr:spPr>
        <a:xfrm>
          <a:off x="9007475" y="4789656"/>
          <a:ext cx="222250" cy="8466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212725</xdr:colOff>
      <xdr:row>16</xdr:row>
      <xdr:rowOff>84608</xdr:rowOff>
    </xdr:from>
    <xdr:to>
      <xdr:col>24</xdr:col>
      <xdr:colOff>99332</xdr:colOff>
      <xdr:row>16</xdr:row>
      <xdr:rowOff>84608</xdr:rowOff>
    </xdr:to>
    <xdr:cxnSp macro="">
      <xdr:nvCxnSpPr>
        <xdr:cNvPr id="1590" name="SCHEMA_T03_COND_0170">
          <a:extLst>
            <a:ext uri="{FF2B5EF4-FFF2-40B4-BE49-F238E27FC236}">
              <a16:creationId xmlns:a16="http://schemas.microsoft.com/office/drawing/2014/main" id="{8B785273-572E-6619-3386-1E1905829A86}"/>
            </a:ext>
          </a:extLst>
        </xdr:cNvPr>
        <xdr:cNvCxnSpPr/>
      </xdr:nvCxnSpPr>
      <xdr:spPr>
        <a:xfrm>
          <a:off x="9229725" y="4874322"/>
          <a:ext cx="222250" cy="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99332</xdr:colOff>
      <xdr:row>15</xdr:row>
      <xdr:rowOff>244870</xdr:rowOff>
    </xdr:from>
    <xdr:to>
      <xdr:col>24</xdr:col>
      <xdr:colOff>321582</xdr:colOff>
      <xdr:row>16</xdr:row>
      <xdr:rowOff>84608</xdr:rowOff>
    </xdr:to>
    <xdr:cxnSp macro="">
      <xdr:nvCxnSpPr>
        <xdr:cNvPr id="1591" name="SCHEMA_T03_COND_0171">
          <a:extLst>
            <a:ext uri="{FF2B5EF4-FFF2-40B4-BE49-F238E27FC236}">
              <a16:creationId xmlns:a16="http://schemas.microsoft.com/office/drawing/2014/main" id="{00600E39-B4CE-A842-E2BA-9921E0211E89}"/>
            </a:ext>
          </a:extLst>
        </xdr:cNvPr>
        <xdr:cNvCxnSpPr/>
      </xdr:nvCxnSpPr>
      <xdr:spPr>
        <a:xfrm flipV="1">
          <a:off x="9451975" y="4789656"/>
          <a:ext cx="222250" cy="8466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326118</xdr:colOff>
      <xdr:row>16</xdr:row>
      <xdr:rowOff>101542</xdr:rowOff>
    </xdr:from>
    <xdr:to>
      <xdr:col>23</xdr:col>
      <xdr:colOff>212725</xdr:colOff>
      <xdr:row>16</xdr:row>
      <xdr:rowOff>186208</xdr:rowOff>
    </xdr:to>
    <xdr:cxnSp macro="">
      <xdr:nvCxnSpPr>
        <xdr:cNvPr id="1592" name="SCHEMA_T03_COND_0172">
          <a:extLst>
            <a:ext uri="{FF2B5EF4-FFF2-40B4-BE49-F238E27FC236}">
              <a16:creationId xmlns:a16="http://schemas.microsoft.com/office/drawing/2014/main" id="{232B4ACD-46BD-0ED2-3BCD-117E186A16A1}"/>
            </a:ext>
          </a:extLst>
        </xdr:cNvPr>
        <xdr:cNvCxnSpPr/>
      </xdr:nvCxnSpPr>
      <xdr:spPr>
        <a:xfrm>
          <a:off x="9007475" y="4891256"/>
          <a:ext cx="222250" cy="8466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212725</xdr:colOff>
      <xdr:row>16</xdr:row>
      <xdr:rowOff>186208</xdr:rowOff>
    </xdr:from>
    <xdr:to>
      <xdr:col>24</xdr:col>
      <xdr:colOff>99332</xdr:colOff>
      <xdr:row>16</xdr:row>
      <xdr:rowOff>186208</xdr:rowOff>
    </xdr:to>
    <xdr:cxnSp macro="">
      <xdr:nvCxnSpPr>
        <xdr:cNvPr id="1593" name="SCHEMA_T03_COND_0173">
          <a:extLst>
            <a:ext uri="{FF2B5EF4-FFF2-40B4-BE49-F238E27FC236}">
              <a16:creationId xmlns:a16="http://schemas.microsoft.com/office/drawing/2014/main" id="{42D2AF3D-11D9-1331-E907-FE4DDC10CFF8}"/>
            </a:ext>
          </a:extLst>
        </xdr:cNvPr>
        <xdr:cNvCxnSpPr/>
      </xdr:nvCxnSpPr>
      <xdr:spPr>
        <a:xfrm>
          <a:off x="9229725" y="4975922"/>
          <a:ext cx="222250" cy="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99332</xdr:colOff>
      <xdr:row>16</xdr:row>
      <xdr:rowOff>101542</xdr:rowOff>
    </xdr:from>
    <xdr:to>
      <xdr:col>24</xdr:col>
      <xdr:colOff>321582</xdr:colOff>
      <xdr:row>16</xdr:row>
      <xdr:rowOff>186208</xdr:rowOff>
    </xdr:to>
    <xdr:cxnSp macro="">
      <xdr:nvCxnSpPr>
        <xdr:cNvPr id="1594" name="SCHEMA_T03_COND_0174">
          <a:extLst>
            <a:ext uri="{FF2B5EF4-FFF2-40B4-BE49-F238E27FC236}">
              <a16:creationId xmlns:a16="http://schemas.microsoft.com/office/drawing/2014/main" id="{C0D03256-6927-0FBA-95A7-8FAF5E0213A7}"/>
            </a:ext>
          </a:extLst>
        </xdr:cNvPr>
        <xdr:cNvCxnSpPr/>
      </xdr:nvCxnSpPr>
      <xdr:spPr>
        <a:xfrm flipV="1">
          <a:off x="9451975" y="4891256"/>
          <a:ext cx="222250" cy="8466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326118</xdr:colOff>
      <xdr:row>17</xdr:row>
      <xdr:rowOff>9013</xdr:rowOff>
    </xdr:from>
    <xdr:to>
      <xdr:col>23</xdr:col>
      <xdr:colOff>212725</xdr:colOff>
      <xdr:row>17</xdr:row>
      <xdr:rowOff>93679</xdr:rowOff>
    </xdr:to>
    <xdr:cxnSp macro="">
      <xdr:nvCxnSpPr>
        <xdr:cNvPr id="1595" name="SCHEMA_T03_COND_0175">
          <a:extLst>
            <a:ext uri="{FF2B5EF4-FFF2-40B4-BE49-F238E27FC236}">
              <a16:creationId xmlns:a16="http://schemas.microsoft.com/office/drawing/2014/main" id="{0BD84A01-38C3-F622-632C-C7CCA866E7DC}"/>
            </a:ext>
          </a:extLst>
        </xdr:cNvPr>
        <xdr:cNvCxnSpPr/>
      </xdr:nvCxnSpPr>
      <xdr:spPr>
        <a:xfrm>
          <a:off x="9007475" y="5043656"/>
          <a:ext cx="222250" cy="8466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212725</xdr:colOff>
      <xdr:row>17</xdr:row>
      <xdr:rowOff>93679</xdr:rowOff>
    </xdr:from>
    <xdr:to>
      <xdr:col>24</xdr:col>
      <xdr:colOff>99332</xdr:colOff>
      <xdr:row>17</xdr:row>
      <xdr:rowOff>93679</xdr:rowOff>
    </xdr:to>
    <xdr:cxnSp macro="">
      <xdr:nvCxnSpPr>
        <xdr:cNvPr id="1596" name="SCHEMA_T03_COND_0176">
          <a:extLst>
            <a:ext uri="{FF2B5EF4-FFF2-40B4-BE49-F238E27FC236}">
              <a16:creationId xmlns:a16="http://schemas.microsoft.com/office/drawing/2014/main" id="{166963C7-8CAE-4626-BC6A-55D44636E834}"/>
            </a:ext>
          </a:extLst>
        </xdr:cNvPr>
        <xdr:cNvCxnSpPr/>
      </xdr:nvCxnSpPr>
      <xdr:spPr>
        <a:xfrm>
          <a:off x="9229725" y="5128322"/>
          <a:ext cx="222250" cy="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99332</xdr:colOff>
      <xdr:row>17</xdr:row>
      <xdr:rowOff>9013</xdr:rowOff>
    </xdr:from>
    <xdr:to>
      <xdr:col>24</xdr:col>
      <xdr:colOff>321582</xdr:colOff>
      <xdr:row>17</xdr:row>
      <xdr:rowOff>93679</xdr:rowOff>
    </xdr:to>
    <xdr:cxnSp macro="">
      <xdr:nvCxnSpPr>
        <xdr:cNvPr id="1597" name="SCHEMA_T03_COND_0177">
          <a:extLst>
            <a:ext uri="{FF2B5EF4-FFF2-40B4-BE49-F238E27FC236}">
              <a16:creationId xmlns:a16="http://schemas.microsoft.com/office/drawing/2014/main" id="{FBF8D25E-8A70-446F-D2AF-0382B3CF01DE}"/>
            </a:ext>
          </a:extLst>
        </xdr:cNvPr>
        <xdr:cNvCxnSpPr/>
      </xdr:nvCxnSpPr>
      <xdr:spPr>
        <a:xfrm flipV="1">
          <a:off x="9451975" y="5043656"/>
          <a:ext cx="222250" cy="8466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326118</xdr:colOff>
      <xdr:row>17</xdr:row>
      <xdr:rowOff>110613</xdr:rowOff>
    </xdr:from>
    <xdr:to>
      <xdr:col>23</xdr:col>
      <xdr:colOff>212725</xdr:colOff>
      <xdr:row>17</xdr:row>
      <xdr:rowOff>195279</xdr:rowOff>
    </xdr:to>
    <xdr:cxnSp macro="">
      <xdr:nvCxnSpPr>
        <xdr:cNvPr id="1598" name="SCHEMA_T03_COND_0178">
          <a:extLst>
            <a:ext uri="{FF2B5EF4-FFF2-40B4-BE49-F238E27FC236}">
              <a16:creationId xmlns:a16="http://schemas.microsoft.com/office/drawing/2014/main" id="{21650ABB-B0C0-15AE-1ABD-87F3955114D9}"/>
            </a:ext>
          </a:extLst>
        </xdr:cNvPr>
        <xdr:cNvCxnSpPr/>
      </xdr:nvCxnSpPr>
      <xdr:spPr>
        <a:xfrm>
          <a:off x="9007475" y="5145256"/>
          <a:ext cx="222250" cy="8466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212725</xdr:colOff>
      <xdr:row>17</xdr:row>
      <xdr:rowOff>195279</xdr:rowOff>
    </xdr:from>
    <xdr:to>
      <xdr:col>24</xdr:col>
      <xdr:colOff>99332</xdr:colOff>
      <xdr:row>17</xdr:row>
      <xdr:rowOff>195279</xdr:rowOff>
    </xdr:to>
    <xdr:cxnSp macro="">
      <xdr:nvCxnSpPr>
        <xdr:cNvPr id="1599" name="SCHEMA_T03_COND_0179">
          <a:extLst>
            <a:ext uri="{FF2B5EF4-FFF2-40B4-BE49-F238E27FC236}">
              <a16:creationId xmlns:a16="http://schemas.microsoft.com/office/drawing/2014/main" id="{C355942A-BBEB-1EA3-29B4-370A08767AA6}"/>
            </a:ext>
          </a:extLst>
        </xdr:cNvPr>
        <xdr:cNvCxnSpPr/>
      </xdr:nvCxnSpPr>
      <xdr:spPr>
        <a:xfrm>
          <a:off x="9229725" y="5229922"/>
          <a:ext cx="222250" cy="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99332</xdr:colOff>
      <xdr:row>17</xdr:row>
      <xdr:rowOff>110613</xdr:rowOff>
    </xdr:from>
    <xdr:to>
      <xdr:col>24</xdr:col>
      <xdr:colOff>321582</xdr:colOff>
      <xdr:row>17</xdr:row>
      <xdr:rowOff>195279</xdr:rowOff>
    </xdr:to>
    <xdr:cxnSp macro="">
      <xdr:nvCxnSpPr>
        <xdr:cNvPr id="1600" name="SCHEMA_T03_COND_0180">
          <a:extLst>
            <a:ext uri="{FF2B5EF4-FFF2-40B4-BE49-F238E27FC236}">
              <a16:creationId xmlns:a16="http://schemas.microsoft.com/office/drawing/2014/main" id="{1DB2262A-C21B-0EF2-A3E9-DC2F7D0A3A9D}"/>
            </a:ext>
          </a:extLst>
        </xdr:cNvPr>
        <xdr:cNvCxnSpPr/>
      </xdr:nvCxnSpPr>
      <xdr:spPr>
        <a:xfrm flipV="1">
          <a:off x="9451975" y="5145256"/>
          <a:ext cx="222250" cy="8466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321582</xdr:colOff>
      <xdr:row>15</xdr:row>
      <xdr:rowOff>79770</xdr:rowOff>
    </xdr:from>
    <xdr:to>
      <xdr:col>25</xdr:col>
      <xdr:colOff>208189</xdr:colOff>
      <xdr:row>15</xdr:row>
      <xdr:rowOff>210121</xdr:rowOff>
    </xdr:to>
    <xdr:cxnSp macro="">
      <xdr:nvCxnSpPr>
        <xdr:cNvPr id="1601" name="SCHEMA_T03_COND_0181">
          <a:extLst>
            <a:ext uri="{FF2B5EF4-FFF2-40B4-BE49-F238E27FC236}">
              <a16:creationId xmlns:a16="http://schemas.microsoft.com/office/drawing/2014/main" id="{52C8ACA0-6630-BB3D-320B-CE552066BF32}"/>
            </a:ext>
          </a:extLst>
        </xdr:cNvPr>
        <xdr:cNvCxnSpPr/>
      </xdr:nvCxnSpPr>
      <xdr:spPr>
        <a:xfrm>
          <a:off x="9674225" y="4624556"/>
          <a:ext cx="222250" cy="130351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208189</xdr:colOff>
      <xdr:row>15</xdr:row>
      <xdr:rowOff>210121</xdr:rowOff>
    </xdr:from>
    <xdr:to>
      <xdr:col>26</xdr:col>
      <xdr:colOff>94796</xdr:colOff>
      <xdr:row>16</xdr:row>
      <xdr:rowOff>10879</xdr:rowOff>
    </xdr:to>
    <xdr:cxnSp macro="">
      <xdr:nvCxnSpPr>
        <xdr:cNvPr id="1602" name="SCHEMA_T03_COND_0182">
          <a:extLst>
            <a:ext uri="{FF2B5EF4-FFF2-40B4-BE49-F238E27FC236}">
              <a16:creationId xmlns:a16="http://schemas.microsoft.com/office/drawing/2014/main" id="{288F4478-03A7-F22E-BC75-4A8568368F24}"/>
            </a:ext>
          </a:extLst>
        </xdr:cNvPr>
        <xdr:cNvCxnSpPr/>
      </xdr:nvCxnSpPr>
      <xdr:spPr>
        <a:xfrm>
          <a:off x="9896475" y="4754907"/>
          <a:ext cx="222250" cy="45686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94796</xdr:colOff>
      <xdr:row>15</xdr:row>
      <xdr:rowOff>216825</xdr:rowOff>
    </xdr:from>
    <xdr:to>
      <xdr:col>26</xdr:col>
      <xdr:colOff>317046</xdr:colOff>
      <xdr:row>16</xdr:row>
      <xdr:rowOff>10879</xdr:rowOff>
    </xdr:to>
    <xdr:cxnSp macro="">
      <xdr:nvCxnSpPr>
        <xdr:cNvPr id="1603" name="SCHEMA_T03_COND_0183">
          <a:extLst>
            <a:ext uri="{FF2B5EF4-FFF2-40B4-BE49-F238E27FC236}">
              <a16:creationId xmlns:a16="http://schemas.microsoft.com/office/drawing/2014/main" id="{8BD4BA00-7864-8F26-4D3E-BCE1F9327253}"/>
            </a:ext>
          </a:extLst>
        </xdr:cNvPr>
        <xdr:cNvCxnSpPr/>
      </xdr:nvCxnSpPr>
      <xdr:spPr>
        <a:xfrm flipV="1">
          <a:off x="10118725" y="4761611"/>
          <a:ext cx="222250" cy="38982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321582</xdr:colOff>
      <xdr:row>15</xdr:row>
      <xdr:rowOff>244870</xdr:rowOff>
    </xdr:from>
    <xdr:to>
      <xdr:col>25</xdr:col>
      <xdr:colOff>208189</xdr:colOff>
      <xdr:row>16</xdr:row>
      <xdr:rowOff>130293</xdr:rowOff>
    </xdr:to>
    <xdr:cxnSp macro="">
      <xdr:nvCxnSpPr>
        <xdr:cNvPr id="1604" name="SCHEMA_T03_COND_0184">
          <a:extLst>
            <a:ext uri="{FF2B5EF4-FFF2-40B4-BE49-F238E27FC236}">
              <a16:creationId xmlns:a16="http://schemas.microsoft.com/office/drawing/2014/main" id="{E8AE8543-0FC3-E770-749E-BD639280C8B1}"/>
            </a:ext>
          </a:extLst>
        </xdr:cNvPr>
        <xdr:cNvCxnSpPr/>
      </xdr:nvCxnSpPr>
      <xdr:spPr>
        <a:xfrm>
          <a:off x="9674225" y="4789656"/>
          <a:ext cx="222250" cy="13035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208189</xdr:colOff>
      <xdr:row>16</xdr:row>
      <xdr:rowOff>130293</xdr:rowOff>
    </xdr:from>
    <xdr:to>
      <xdr:col>26</xdr:col>
      <xdr:colOff>94796</xdr:colOff>
      <xdr:row>16</xdr:row>
      <xdr:rowOff>175979</xdr:rowOff>
    </xdr:to>
    <xdr:cxnSp macro="">
      <xdr:nvCxnSpPr>
        <xdr:cNvPr id="1605" name="SCHEMA_T03_COND_0185">
          <a:extLst>
            <a:ext uri="{FF2B5EF4-FFF2-40B4-BE49-F238E27FC236}">
              <a16:creationId xmlns:a16="http://schemas.microsoft.com/office/drawing/2014/main" id="{F70F9545-6FF6-00E8-616A-EB5087C03966}"/>
            </a:ext>
          </a:extLst>
        </xdr:cNvPr>
        <xdr:cNvCxnSpPr/>
      </xdr:nvCxnSpPr>
      <xdr:spPr>
        <a:xfrm>
          <a:off x="9896475" y="4920007"/>
          <a:ext cx="222250" cy="4568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94796</xdr:colOff>
      <xdr:row>16</xdr:row>
      <xdr:rowOff>136997</xdr:rowOff>
    </xdr:from>
    <xdr:to>
      <xdr:col>26</xdr:col>
      <xdr:colOff>317046</xdr:colOff>
      <xdr:row>16</xdr:row>
      <xdr:rowOff>175979</xdr:rowOff>
    </xdr:to>
    <xdr:cxnSp macro="">
      <xdr:nvCxnSpPr>
        <xdr:cNvPr id="1606" name="SCHEMA_T03_COND_0186">
          <a:extLst>
            <a:ext uri="{FF2B5EF4-FFF2-40B4-BE49-F238E27FC236}">
              <a16:creationId xmlns:a16="http://schemas.microsoft.com/office/drawing/2014/main" id="{7B385BC3-EB5F-E302-9BEB-41F8AAE31272}"/>
            </a:ext>
          </a:extLst>
        </xdr:cNvPr>
        <xdr:cNvCxnSpPr/>
      </xdr:nvCxnSpPr>
      <xdr:spPr>
        <a:xfrm flipV="1">
          <a:off x="10118725" y="4926711"/>
          <a:ext cx="222250" cy="3898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321582</xdr:colOff>
      <xdr:row>16</xdr:row>
      <xdr:rowOff>101542</xdr:rowOff>
    </xdr:from>
    <xdr:to>
      <xdr:col>25</xdr:col>
      <xdr:colOff>208189</xdr:colOff>
      <xdr:row>16</xdr:row>
      <xdr:rowOff>231893</xdr:rowOff>
    </xdr:to>
    <xdr:cxnSp macro="">
      <xdr:nvCxnSpPr>
        <xdr:cNvPr id="1607" name="SCHEMA_T03_COND_0187">
          <a:extLst>
            <a:ext uri="{FF2B5EF4-FFF2-40B4-BE49-F238E27FC236}">
              <a16:creationId xmlns:a16="http://schemas.microsoft.com/office/drawing/2014/main" id="{04930629-F18E-87D4-4F74-ECAADD344E8B}"/>
            </a:ext>
          </a:extLst>
        </xdr:cNvPr>
        <xdr:cNvCxnSpPr/>
      </xdr:nvCxnSpPr>
      <xdr:spPr>
        <a:xfrm>
          <a:off x="9674225" y="4891256"/>
          <a:ext cx="222250" cy="13035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208189</xdr:colOff>
      <xdr:row>16</xdr:row>
      <xdr:rowOff>231893</xdr:rowOff>
    </xdr:from>
    <xdr:to>
      <xdr:col>26</xdr:col>
      <xdr:colOff>94796</xdr:colOff>
      <xdr:row>17</xdr:row>
      <xdr:rowOff>32650</xdr:rowOff>
    </xdr:to>
    <xdr:cxnSp macro="">
      <xdr:nvCxnSpPr>
        <xdr:cNvPr id="1608" name="SCHEMA_T03_COND_0188">
          <a:extLst>
            <a:ext uri="{FF2B5EF4-FFF2-40B4-BE49-F238E27FC236}">
              <a16:creationId xmlns:a16="http://schemas.microsoft.com/office/drawing/2014/main" id="{79C4B557-4879-3417-5D28-EE53DF3CD1AB}"/>
            </a:ext>
          </a:extLst>
        </xdr:cNvPr>
        <xdr:cNvCxnSpPr/>
      </xdr:nvCxnSpPr>
      <xdr:spPr>
        <a:xfrm>
          <a:off x="9896475" y="5021607"/>
          <a:ext cx="222250" cy="4568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94796</xdr:colOff>
      <xdr:row>16</xdr:row>
      <xdr:rowOff>238597</xdr:rowOff>
    </xdr:from>
    <xdr:to>
      <xdr:col>26</xdr:col>
      <xdr:colOff>317046</xdr:colOff>
      <xdr:row>17</xdr:row>
      <xdr:rowOff>32650</xdr:rowOff>
    </xdr:to>
    <xdr:cxnSp macro="">
      <xdr:nvCxnSpPr>
        <xdr:cNvPr id="1609" name="SCHEMA_T03_COND_0189">
          <a:extLst>
            <a:ext uri="{FF2B5EF4-FFF2-40B4-BE49-F238E27FC236}">
              <a16:creationId xmlns:a16="http://schemas.microsoft.com/office/drawing/2014/main" id="{0B30C6B9-BC26-AE1B-6108-5CEC4EDD3468}"/>
            </a:ext>
          </a:extLst>
        </xdr:cNvPr>
        <xdr:cNvCxnSpPr/>
      </xdr:nvCxnSpPr>
      <xdr:spPr>
        <a:xfrm flipV="1">
          <a:off x="10118725" y="5028311"/>
          <a:ext cx="222250" cy="3898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321582</xdr:colOff>
      <xdr:row>17</xdr:row>
      <xdr:rowOff>9013</xdr:rowOff>
    </xdr:from>
    <xdr:to>
      <xdr:col>25</xdr:col>
      <xdr:colOff>208189</xdr:colOff>
      <xdr:row>17</xdr:row>
      <xdr:rowOff>139364</xdr:rowOff>
    </xdr:to>
    <xdr:cxnSp macro="">
      <xdr:nvCxnSpPr>
        <xdr:cNvPr id="1610" name="SCHEMA_T03_COND_0190">
          <a:extLst>
            <a:ext uri="{FF2B5EF4-FFF2-40B4-BE49-F238E27FC236}">
              <a16:creationId xmlns:a16="http://schemas.microsoft.com/office/drawing/2014/main" id="{15DA79E4-5D4D-FC0C-1F42-9282D1B92182}"/>
            </a:ext>
          </a:extLst>
        </xdr:cNvPr>
        <xdr:cNvCxnSpPr/>
      </xdr:nvCxnSpPr>
      <xdr:spPr>
        <a:xfrm>
          <a:off x="9674225" y="5043656"/>
          <a:ext cx="222250" cy="13035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208189</xdr:colOff>
      <xdr:row>17</xdr:row>
      <xdr:rowOff>139364</xdr:rowOff>
    </xdr:from>
    <xdr:to>
      <xdr:col>26</xdr:col>
      <xdr:colOff>94796</xdr:colOff>
      <xdr:row>17</xdr:row>
      <xdr:rowOff>185050</xdr:rowOff>
    </xdr:to>
    <xdr:cxnSp macro="">
      <xdr:nvCxnSpPr>
        <xdr:cNvPr id="1611" name="SCHEMA_T03_COND_0191">
          <a:extLst>
            <a:ext uri="{FF2B5EF4-FFF2-40B4-BE49-F238E27FC236}">
              <a16:creationId xmlns:a16="http://schemas.microsoft.com/office/drawing/2014/main" id="{FD94497A-7B05-4FFD-8155-8E0A1FD61788}"/>
            </a:ext>
          </a:extLst>
        </xdr:cNvPr>
        <xdr:cNvCxnSpPr/>
      </xdr:nvCxnSpPr>
      <xdr:spPr>
        <a:xfrm>
          <a:off x="9896475" y="5174007"/>
          <a:ext cx="222250" cy="4568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94796</xdr:colOff>
      <xdr:row>17</xdr:row>
      <xdr:rowOff>146068</xdr:rowOff>
    </xdr:from>
    <xdr:to>
      <xdr:col>26</xdr:col>
      <xdr:colOff>317046</xdr:colOff>
      <xdr:row>17</xdr:row>
      <xdr:rowOff>185050</xdr:rowOff>
    </xdr:to>
    <xdr:cxnSp macro="">
      <xdr:nvCxnSpPr>
        <xdr:cNvPr id="1612" name="SCHEMA_T03_COND_0192">
          <a:extLst>
            <a:ext uri="{FF2B5EF4-FFF2-40B4-BE49-F238E27FC236}">
              <a16:creationId xmlns:a16="http://schemas.microsoft.com/office/drawing/2014/main" id="{A378E026-BDAA-2EE5-0966-A5A905CF6225}"/>
            </a:ext>
          </a:extLst>
        </xdr:cNvPr>
        <xdr:cNvCxnSpPr/>
      </xdr:nvCxnSpPr>
      <xdr:spPr>
        <a:xfrm flipV="1">
          <a:off x="10118725" y="5180711"/>
          <a:ext cx="222250" cy="3898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321582</xdr:colOff>
      <xdr:row>17</xdr:row>
      <xdr:rowOff>110613</xdr:rowOff>
    </xdr:from>
    <xdr:to>
      <xdr:col>25</xdr:col>
      <xdr:colOff>208189</xdr:colOff>
      <xdr:row>17</xdr:row>
      <xdr:rowOff>240964</xdr:rowOff>
    </xdr:to>
    <xdr:cxnSp macro="">
      <xdr:nvCxnSpPr>
        <xdr:cNvPr id="1613" name="SCHEMA_T03_COND_0193">
          <a:extLst>
            <a:ext uri="{FF2B5EF4-FFF2-40B4-BE49-F238E27FC236}">
              <a16:creationId xmlns:a16="http://schemas.microsoft.com/office/drawing/2014/main" id="{3E18C373-CDBD-E5B3-95CB-FD84D0ABA6D6}"/>
            </a:ext>
          </a:extLst>
        </xdr:cNvPr>
        <xdr:cNvCxnSpPr/>
      </xdr:nvCxnSpPr>
      <xdr:spPr>
        <a:xfrm>
          <a:off x="9674225" y="5145256"/>
          <a:ext cx="222250" cy="13035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208189</xdr:colOff>
      <xdr:row>17</xdr:row>
      <xdr:rowOff>240964</xdr:rowOff>
    </xdr:from>
    <xdr:to>
      <xdr:col>26</xdr:col>
      <xdr:colOff>94796</xdr:colOff>
      <xdr:row>18</xdr:row>
      <xdr:rowOff>41722</xdr:rowOff>
    </xdr:to>
    <xdr:cxnSp macro="">
      <xdr:nvCxnSpPr>
        <xdr:cNvPr id="1614" name="SCHEMA_T03_COND_0194">
          <a:extLst>
            <a:ext uri="{FF2B5EF4-FFF2-40B4-BE49-F238E27FC236}">
              <a16:creationId xmlns:a16="http://schemas.microsoft.com/office/drawing/2014/main" id="{9B9B5A27-D241-7A1C-8A09-6FF20374755F}"/>
            </a:ext>
          </a:extLst>
        </xdr:cNvPr>
        <xdr:cNvCxnSpPr/>
      </xdr:nvCxnSpPr>
      <xdr:spPr>
        <a:xfrm>
          <a:off x="9896475" y="5275607"/>
          <a:ext cx="222250" cy="4568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94796</xdr:colOff>
      <xdr:row>18</xdr:row>
      <xdr:rowOff>2740</xdr:rowOff>
    </xdr:from>
    <xdr:to>
      <xdr:col>26</xdr:col>
      <xdr:colOff>317046</xdr:colOff>
      <xdr:row>18</xdr:row>
      <xdr:rowOff>41722</xdr:rowOff>
    </xdr:to>
    <xdr:cxnSp macro="">
      <xdr:nvCxnSpPr>
        <xdr:cNvPr id="1615" name="SCHEMA_T03_COND_0195">
          <a:extLst>
            <a:ext uri="{FF2B5EF4-FFF2-40B4-BE49-F238E27FC236}">
              <a16:creationId xmlns:a16="http://schemas.microsoft.com/office/drawing/2014/main" id="{E4078D25-343D-F011-35CA-CE661433C74A}"/>
            </a:ext>
          </a:extLst>
        </xdr:cNvPr>
        <xdr:cNvCxnSpPr/>
      </xdr:nvCxnSpPr>
      <xdr:spPr>
        <a:xfrm flipV="1">
          <a:off x="10118725" y="5282311"/>
          <a:ext cx="222250" cy="3898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317046</xdr:colOff>
      <xdr:row>15</xdr:row>
      <xdr:rowOff>216825</xdr:rowOff>
    </xdr:from>
    <xdr:to>
      <xdr:col>27</xdr:col>
      <xdr:colOff>203654</xdr:colOff>
      <xdr:row>16</xdr:row>
      <xdr:rowOff>54660</xdr:rowOff>
    </xdr:to>
    <xdr:cxnSp macro="">
      <xdr:nvCxnSpPr>
        <xdr:cNvPr id="1616" name="SCHEMA_T03_COND_0196">
          <a:extLst>
            <a:ext uri="{FF2B5EF4-FFF2-40B4-BE49-F238E27FC236}">
              <a16:creationId xmlns:a16="http://schemas.microsoft.com/office/drawing/2014/main" id="{1E27E44F-9716-801E-56A0-20A37D7278B5}"/>
            </a:ext>
          </a:extLst>
        </xdr:cNvPr>
        <xdr:cNvCxnSpPr/>
      </xdr:nvCxnSpPr>
      <xdr:spPr>
        <a:xfrm>
          <a:off x="10340975" y="4761611"/>
          <a:ext cx="222250" cy="82763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203654</xdr:colOff>
      <xdr:row>16</xdr:row>
      <xdr:rowOff>52757</xdr:rowOff>
    </xdr:from>
    <xdr:to>
      <xdr:col>28</xdr:col>
      <xdr:colOff>90261</xdr:colOff>
      <xdr:row>16</xdr:row>
      <xdr:rowOff>54660</xdr:rowOff>
    </xdr:to>
    <xdr:cxnSp macro="">
      <xdr:nvCxnSpPr>
        <xdr:cNvPr id="1617" name="SCHEMA_T03_COND_0197">
          <a:extLst>
            <a:ext uri="{FF2B5EF4-FFF2-40B4-BE49-F238E27FC236}">
              <a16:creationId xmlns:a16="http://schemas.microsoft.com/office/drawing/2014/main" id="{F4C6B75D-E515-BD03-86F7-E786211A0546}"/>
            </a:ext>
          </a:extLst>
        </xdr:cNvPr>
        <xdr:cNvCxnSpPr/>
      </xdr:nvCxnSpPr>
      <xdr:spPr>
        <a:xfrm flipV="1">
          <a:off x="10563225" y="4842471"/>
          <a:ext cx="222250" cy="1903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90261</xdr:colOff>
      <xdr:row>15</xdr:row>
      <xdr:rowOff>211114</xdr:rowOff>
    </xdr:from>
    <xdr:to>
      <xdr:col>28</xdr:col>
      <xdr:colOff>312511</xdr:colOff>
      <xdr:row>16</xdr:row>
      <xdr:rowOff>52757</xdr:rowOff>
    </xdr:to>
    <xdr:cxnSp macro="">
      <xdr:nvCxnSpPr>
        <xdr:cNvPr id="1618" name="SCHEMA_T03_COND_0198">
          <a:extLst>
            <a:ext uri="{FF2B5EF4-FFF2-40B4-BE49-F238E27FC236}">
              <a16:creationId xmlns:a16="http://schemas.microsoft.com/office/drawing/2014/main" id="{8F1A95DE-29C9-815F-4C72-F01B953CEF24}"/>
            </a:ext>
          </a:extLst>
        </xdr:cNvPr>
        <xdr:cNvCxnSpPr/>
      </xdr:nvCxnSpPr>
      <xdr:spPr>
        <a:xfrm flipV="1">
          <a:off x="10785475" y="4755900"/>
          <a:ext cx="222250" cy="86571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317046</xdr:colOff>
      <xdr:row>16</xdr:row>
      <xdr:rowOff>136997</xdr:rowOff>
    </xdr:from>
    <xdr:to>
      <xdr:col>27</xdr:col>
      <xdr:colOff>203654</xdr:colOff>
      <xdr:row>16</xdr:row>
      <xdr:rowOff>219760</xdr:rowOff>
    </xdr:to>
    <xdr:cxnSp macro="">
      <xdr:nvCxnSpPr>
        <xdr:cNvPr id="1619" name="SCHEMA_T03_COND_0199">
          <a:extLst>
            <a:ext uri="{FF2B5EF4-FFF2-40B4-BE49-F238E27FC236}">
              <a16:creationId xmlns:a16="http://schemas.microsoft.com/office/drawing/2014/main" id="{B0F825EE-15C2-5DDD-6D16-E17BD7E230B8}"/>
            </a:ext>
          </a:extLst>
        </xdr:cNvPr>
        <xdr:cNvCxnSpPr/>
      </xdr:nvCxnSpPr>
      <xdr:spPr>
        <a:xfrm>
          <a:off x="10340975" y="4926711"/>
          <a:ext cx="222250" cy="8276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203654</xdr:colOff>
      <xdr:row>16</xdr:row>
      <xdr:rowOff>217857</xdr:rowOff>
    </xdr:from>
    <xdr:to>
      <xdr:col>28</xdr:col>
      <xdr:colOff>90261</xdr:colOff>
      <xdr:row>16</xdr:row>
      <xdr:rowOff>219760</xdr:rowOff>
    </xdr:to>
    <xdr:cxnSp macro="">
      <xdr:nvCxnSpPr>
        <xdr:cNvPr id="1620" name="SCHEMA_T03_COND_0200">
          <a:extLst>
            <a:ext uri="{FF2B5EF4-FFF2-40B4-BE49-F238E27FC236}">
              <a16:creationId xmlns:a16="http://schemas.microsoft.com/office/drawing/2014/main" id="{1E96D9E0-E5CE-8AC3-FA39-384BD6B4FF28}"/>
            </a:ext>
          </a:extLst>
        </xdr:cNvPr>
        <xdr:cNvCxnSpPr/>
      </xdr:nvCxnSpPr>
      <xdr:spPr>
        <a:xfrm flipV="1">
          <a:off x="10563225" y="5007571"/>
          <a:ext cx="222250" cy="190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90261</xdr:colOff>
      <xdr:row>16</xdr:row>
      <xdr:rowOff>131286</xdr:rowOff>
    </xdr:from>
    <xdr:to>
      <xdr:col>28</xdr:col>
      <xdr:colOff>312511</xdr:colOff>
      <xdr:row>16</xdr:row>
      <xdr:rowOff>217857</xdr:rowOff>
    </xdr:to>
    <xdr:cxnSp macro="">
      <xdr:nvCxnSpPr>
        <xdr:cNvPr id="1621" name="SCHEMA_T03_COND_0201">
          <a:extLst>
            <a:ext uri="{FF2B5EF4-FFF2-40B4-BE49-F238E27FC236}">
              <a16:creationId xmlns:a16="http://schemas.microsoft.com/office/drawing/2014/main" id="{2CFEC218-A447-7C7C-A5EF-4C7F53BD7D04}"/>
            </a:ext>
          </a:extLst>
        </xdr:cNvPr>
        <xdr:cNvCxnSpPr/>
      </xdr:nvCxnSpPr>
      <xdr:spPr>
        <a:xfrm flipV="1">
          <a:off x="10785475" y="4921000"/>
          <a:ext cx="222250" cy="8657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317046</xdr:colOff>
      <xdr:row>16</xdr:row>
      <xdr:rowOff>238597</xdr:rowOff>
    </xdr:from>
    <xdr:to>
      <xdr:col>27</xdr:col>
      <xdr:colOff>203654</xdr:colOff>
      <xdr:row>17</xdr:row>
      <xdr:rowOff>76431</xdr:rowOff>
    </xdr:to>
    <xdr:cxnSp macro="">
      <xdr:nvCxnSpPr>
        <xdr:cNvPr id="1622" name="SCHEMA_T03_COND_0202">
          <a:extLst>
            <a:ext uri="{FF2B5EF4-FFF2-40B4-BE49-F238E27FC236}">
              <a16:creationId xmlns:a16="http://schemas.microsoft.com/office/drawing/2014/main" id="{59504ADA-4924-29BF-D61F-F08E51AA6556}"/>
            </a:ext>
          </a:extLst>
        </xdr:cNvPr>
        <xdr:cNvCxnSpPr/>
      </xdr:nvCxnSpPr>
      <xdr:spPr>
        <a:xfrm>
          <a:off x="10340975" y="5028311"/>
          <a:ext cx="222250" cy="8276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203654</xdr:colOff>
      <xdr:row>17</xdr:row>
      <xdr:rowOff>74528</xdr:rowOff>
    </xdr:from>
    <xdr:to>
      <xdr:col>28</xdr:col>
      <xdr:colOff>90261</xdr:colOff>
      <xdr:row>17</xdr:row>
      <xdr:rowOff>76431</xdr:rowOff>
    </xdr:to>
    <xdr:cxnSp macro="">
      <xdr:nvCxnSpPr>
        <xdr:cNvPr id="1623" name="SCHEMA_T03_COND_0203">
          <a:extLst>
            <a:ext uri="{FF2B5EF4-FFF2-40B4-BE49-F238E27FC236}">
              <a16:creationId xmlns:a16="http://schemas.microsoft.com/office/drawing/2014/main" id="{A38443ED-C5D0-97B5-C8DD-F9159A71B3D1}"/>
            </a:ext>
          </a:extLst>
        </xdr:cNvPr>
        <xdr:cNvCxnSpPr/>
      </xdr:nvCxnSpPr>
      <xdr:spPr>
        <a:xfrm flipV="1">
          <a:off x="10563225" y="5109171"/>
          <a:ext cx="222250" cy="190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90261</xdr:colOff>
      <xdr:row>16</xdr:row>
      <xdr:rowOff>232886</xdr:rowOff>
    </xdr:from>
    <xdr:to>
      <xdr:col>28</xdr:col>
      <xdr:colOff>312511</xdr:colOff>
      <xdr:row>17</xdr:row>
      <xdr:rowOff>74528</xdr:rowOff>
    </xdr:to>
    <xdr:cxnSp macro="">
      <xdr:nvCxnSpPr>
        <xdr:cNvPr id="1624" name="SCHEMA_T03_COND_0204">
          <a:extLst>
            <a:ext uri="{FF2B5EF4-FFF2-40B4-BE49-F238E27FC236}">
              <a16:creationId xmlns:a16="http://schemas.microsoft.com/office/drawing/2014/main" id="{3DA6A040-95D4-430A-A9AE-F53BF3B22E6F}"/>
            </a:ext>
          </a:extLst>
        </xdr:cNvPr>
        <xdr:cNvCxnSpPr/>
      </xdr:nvCxnSpPr>
      <xdr:spPr>
        <a:xfrm flipV="1">
          <a:off x="10785475" y="5022600"/>
          <a:ext cx="222250" cy="8657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317046</xdr:colOff>
      <xdr:row>17</xdr:row>
      <xdr:rowOff>146068</xdr:rowOff>
    </xdr:from>
    <xdr:to>
      <xdr:col>27</xdr:col>
      <xdr:colOff>203654</xdr:colOff>
      <xdr:row>17</xdr:row>
      <xdr:rowOff>228831</xdr:rowOff>
    </xdr:to>
    <xdr:cxnSp macro="">
      <xdr:nvCxnSpPr>
        <xdr:cNvPr id="1625" name="SCHEMA_T03_COND_0205">
          <a:extLst>
            <a:ext uri="{FF2B5EF4-FFF2-40B4-BE49-F238E27FC236}">
              <a16:creationId xmlns:a16="http://schemas.microsoft.com/office/drawing/2014/main" id="{84C1B106-3730-08E5-FC0C-11ECBEC8BE2E}"/>
            </a:ext>
          </a:extLst>
        </xdr:cNvPr>
        <xdr:cNvCxnSpPr/>
      </xdr:nvCxnSpPr>
      <xdr:spPr>
        <a:xfrm>
          <a:off x="10340975" y="5180711"/>
          <a:ext cx="222250" cy="8276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203654</xdr:colOff>
      <xdr:row>17</xdr:row>
      <xdr:rowOff>226928</xdr:rowOff>
    </xdr:from>
    <xdr:to>
      <xdr:col>28</xdr:col>
      <xdr:colOff>90261</xdr:colOff>
      <xdr:row>17</xdr:row>
      <xdr:rowOff>228831</xdr:rowOff>
    </xdr:to>
    <xdr:cxnSp macro="">
      <xdr:nvCxnSpPr>
        <xdr:cNvPr id="1626" name="SCHEMA_T03_COND_0206">
          <a:extLst>
            <a:ext uri="{FF2B5EF4-FFF2-40B4-BE49-F238E27FC236}">
              <a16:creationId xmlns:a16="http://schemas.microsoft.com/office/drawing/2014/main" id="{B19506EB-182E-119D-0779-06957210056F}"/>
            </a:ext>
          </a:extLst>
        </xdr:cNvPr>
        <xdr:cNvCxnSpPr/>
      </xdr:nvCxnSpPr>
      <xdr:spPr>
        <a:xfrm flipV="1">
          <a:off x="10563225" y="5261571"/>
          <a:ext cx="222250" cy="190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90261</xdr:colOff>
      <xdr:row>17</xdr:row>
      <xdr:rowOff>140357</xdr:rowOff>
    </xdr:from>
    <xdr:to>
      <xdr:col>28</xdr:col>
      <xdr:colOff>312511</xdr:colOff>
      <xdr:row>17</xdr:row>
      <xdr:rowOff>226928</xdr:rowOff>
    </xdr:to>
    <xdr:cxnSp macro="">
      <xdr:nvCxnSpPr>
        <xdr:cNvPr id="1627" name="SCHEMA_T03_COND_0207">
          <a:extLst>
            <a:ext uri="{FF2B5EF4-FFF2-40B4-BE49-F238E27FC236}">
              <a16:creationId xmlns:a16="http://schemas.microsoft.com/office/drawing/2014/main" id="{7AE6419B-A1E7-DEDE-46D7-854FA38179D4}"/>
            </a:ext>
          </a:extLst>
        </xdr:cNvPr>
        <xdr:cNvCxnSpPr/>
      </xdr:nvCxnSpPr>
      <xdr:spPr>
        <a:xfrm flipV="1">
          <a:off x="10785475" y="5175000"/>
          <a:ext cx="222250" cy="8657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317046</xdr:colOff>
      <xdr:row>18</xdr:row>
      <xdr:rowOff>2740</xdr:rowOff>
    </xdr:from>
    <xdr:to>
      <xdr:col>27</xdr:col>
      <xdr:colOff>203654</xdr:colOff>
      <xdr:row>18</xdr:row>
      <xdr:rowOff>85503</xdr:rowOff>
    </xdr:to>
    <xdr:cxnSp macro="">
      <xdr:nvCxnSpPr>
        <xdr:cNvPr id="1628" name="SCHEMA_T03_COND_0208">
          <a:extLst>
            <a:ext uri="{FF2B5EF4-FFF2-40B4-BE49-F238E27FC236}">
              <a16:creationId xmlns:a16="http://schemas.microsoft.com/office/drawing/2014/main" id="{CB9B2D44-91B0-C708-9DA4-74A6023DA3B3}"/>
            </a:ext>
          </a:extLst>
        </xdr:cNvPr>
        <xdr:cNvCxnSpPr/>
      </xdr:nvCxnSpPr>
      <xdr:spPr>
        <a:xfrm>
          <a:off x="10340975" y="5282311"/>
          <a:ext cx="222250" cy="8276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203654</xdr:colOff>
      <xdr:row>18</xdr:row>
      <xdr:rowOff>83600</xdr:rowOff>
    </xdr:from>
    <xdr:to>
      <xdr:col>28</xdr:col>
      <xdr:colOff>90261</xdr:colOff>
      <xdr:row>18</xdr:row>
      <xdr:rowOff>85503</xdr:rowOff>
    </xdr:to>
    <xdr:cxnSp macro="">
      <xdr:nvCxnSpPr>
        <xdr:cNvPr id="1629" name="SCHEMA_T03_COND_0209">
          <a:extLst>
            <a:ext uri="{FF2B5EF4-FFF2-40B4-BE49-F238E27FC236}">
              <a16:creationId xmlns:a16="http://schemas.microsoft.com/office/drawing/2014/main" id="{7141BEED-7BE7-B378-A053-5BC7A9291607}"/>
            </a:ext>
          </a:extLst>
        </xdr:cNvPr>
        <xdr:cNvCxnSpPr/>
      </xdr:nvCxnSpPr>
      <xdr:spPr>
        <a:xfrm flipV="1">
          <a:off x="10563225" y="5363171"/>
          <a:ext cx="222250" cy="190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90261</xdr:colOff>
      <xdr:row>17</xdr:row>
      <xdr:rowOff>241957</xdr:rowOff>
    </xdr:from>
    <xdr:to>
      <xdr:col>28</xdr:col>
      <xdr:colOff>312511</xdr:colOff>
      <xdr:row>18</xdr:row>
      <xdr:rowOff>83600</xdr:rowOff>
    </xdr:to>
    <xdr:cxnSp macro="">
      <xdr:nvCxnSpPr>
        <xdr:cNvPr id="1630" name="SCHEMA_T03_COND_0210">
          <a:extLst>
            <a:ext uri="{FF2B5EF4-FFF2-40B4-BE49-F238E27FC236}">
              <a16:creationId xmlns:a16="http://schemas.microsoft.com/office/drawing/2014/main" id="{238336EA-2B1C-EC47-B9DF-B15EC043A318}"/>
            </a:ext>
          </a:extLst>
        </xdr:cNvPr>
        <xdr:cNvCxnSpPr/>
      </xdr:nvCxnSpPr>
      <xdr:spPr>
        <a:xfrm flipV="1">
          <a:off x="10785475" y="5276600"/>
          <a:ext cx="222250" cy="8657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312511</xdr:colOff>
      <xdr:row>15</xdr:row>
      <xdr:rowOff>211114</xdr:rowOff>
    </xdr:from>
    <xdr:to>
      <xdr:col>29</xdr:col>
      <xdr:colOff>199118</xdr:colOff>
      <xdr:row>16</xdr:row>
      <xdr:rowOff>52757</xdr:rowOff>
    </xdr:to>
    <xdr:cxnSp macro="">
      <xdr:nvCxnSpPr>
        <xdr:cNvPr id="1631" name="SCHEMA_T03_COND_0211">
          <a:extLst>
            <a:ext uri="{FF2B5EF4-FFF2-40B4-BE49-F238E27FC236}">
              <a16:creationId xmlns:a16="http://schemas.microsoft.com/office/drawing/2014/main" id="{D15669E7-44D4-98E9-7D66-DA268ED97562}"/>
            </a:ext>
          </a:extLst>
        </xdr:cNvPr>
        <xdr:cNvCxnSpPr/>
      </xdr:nvCxnSpPr>
      <xdr:spPr>
        <a:xfrm>
          <a:off x="11007725" y="4755900"/>
          <a:ext cx="222250" cy="86571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199118</xdr:colOff>
      <xdr:row>16</xdr:row>
      <xdr:rowOff>52757</xdr:rowOff>
    </xdr:from>
    <xdr:to>
      <xdr:col>30</xdr:col>
      <xdr:colOff>85725</xdr:colOff>
      <xdr:row>16</xdr:row>
      <xdr:rowOff>54660</xdr:rowOff>
    </xdr:to>
    <xdr:cxnSp macro="">
      <xdr:nvCxnSpPr>
        <xdr:cNvPr id="1632" name="SCHEMA_T03_COND_0212">
          <a:extLst>
            <a:ext uri="{FF2B5EF4-FFF2-40B4-BE49-F238E27FC236}">
              <a16:creationId xmlns:a16="http://schemas.microsoft.com/office/drawing/2014/main" id="{1C40EE31-284C-8408-2D67-85D9CFC64927}"/>
            </a:ext>
          </a:extLst>
        </xdr:cNvPr>
        <xdr:cNvCxnSpPr/>
      </xdr:nvCxnSpPr>
      <xdr:spPr>
        <a:xfrm>
          <a:off x="11229975" y="4842471"/>
          <a:ext cx="222250" cy="1903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85725</xdr:colOff>
      <xdr:row>15</xdr:row>
      <xdr:rowOff>216825</xdr:rowOff>
    </xdr:from>
    <xdr:to>
      <xdr:col>30</xdr:col>
      <xdr:colOff>307975</xdr:colOff>
      <xdr:row>16</xdr:row>
      <xdr:rowOff>54660</xdr:rowOff>
    </xdr:to>
    <xdr:cxnSp macro="">
      <xdr:nvCxnSpPr>
        <xdr:cNvPr id="1633" name="SCHEMA_T03_COND_0213">
          <a:extLst>
            <a:ext uri="{FF2B5EF4-FFF2-40B4-BE49-F238E27FC236}">
              <a16:creationId xmlns:a16="http://schemas.microsoft.com/office/drawing/2014/main" id="{E700A113-01FF-CCD8-4C57-1FA16EC16280}"/>
            </a:ext>
          </a:extLst>
        </xdr:cNvPr>
        <xdr:cNvCxnSpPr/>
      </xdr:nvCxnSpPr>
      <xdr:spPr>
        <a:xfrm flipV="1">
          <a:off x="11452225" y="4761611"/>
          <a:ext cx="222250" cy="82763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312511</xdr:colOff>
      <xdr:row>16</xdr:row>
      <xdr:rowOff>131286</xdr:rowOff>
    </xdr:from>
    <xdr:to>
      <xdr:col>29</xdr:col>
      <xdr:colOff>199118</xdr:colOff>
      <xdr:row>16</xdr:row>
      <xdr:rowOff>217857</xdr:rowOff>
    </xdr:to>
    <xdr:cxnSp macro="">
      <xdr:nvCxnSpPr>
        <xdr:cNvPr id="1634" name="SCHEMA_T03_COND_0214">
          <a:extLst>
            <a:ext uri="{FF2B5EF4-FFF2-40B4-BE49-F238E27FC236}">
              <a16:creationId xmlns:a16="http://schemas.microsoft.com/office/drawing/2014/main" id="{8685E992-0052-1541-B978-B6845658D12C}"/>
            </a:ext>
          </a:extLst>
        </xdr:cNvPr>
        <xdr:cNvCxnSpPr/>
      </xdr:nvCxnSpPr>
      <xdr:spPr>
        <a:xfrm>
          <a:off x="11007725" y="4921000"/>
          <a:ext cx="222250" cy="8657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199118</xdr:colOff>
      <xdr:row>16</xdr:row>
      <xdr:rowOff>217857</xdr:rowOff>
    </xdr:from>
    <xdr:to>
      <xdr:col>30</xdr:col>
      <xdr:colOff>85725</xdr:colOff>
      <xdr:row>16</xdr:row>
      <xdr:rowOff>219760</xdr:rowOff>
    </xdr:to>
    <xdr:cxnSp macro="">
      <xdr:nvCxnSpPr>
        <xdr:cNvPr id="1635" name="SCHEMA_T03_COND_0215">
          <a:extLst>
            <a:ext uri="{FF2B5EF4-FFF2-40B4-BE49-F238E27FC236}">
              <a16:creationId xmlns:a16="http://schemas.microsoft.com/office/drawing/2014/main" id="{127D88D6-BCA0-0FA4-0D4E-5A48A647631F}"/>
            </a:ext>
          </a:extLst>
        </xdr:cNvPr>
        <xdr:cNvCxnSpPr/>
      </xdr:nvCxnSpPr>
      <xdr:spPr>
        <a:xfrm>
          <a:off x="11229975" y="5007571"/>
          <a:ext cx="222250" cy="190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85725</xdr:colOff>
      <xdr:row>16</xdr:row>
      <xdr:rowOff>136997</xdr:rowOff>
    </xdr:from>
    <xdr:to>
      <xdr:col>30</xdr:col>
      <xdr:colOff>307975</xdr:colOff>
      <xdr:row>16</xdr:row>
      <xdr:rowOff>219760</xdr:rowOff>
    </xdr:to>
    <xdr:cxnSp macro="">
      <xdr:nvCxnSpPr>
        <xdr:cNvPr id="1636" name="SCHEMA_T03_COND_0216">
          <a:extLst>
            <a:ext uri="{FF2B5EF4-FFF2-40B4-BE49-F238E27FC236}">
              <a16:creationId xmlns:a16="http://schemas.microsoft.com/office/drawing/2014/main" id="{4DBFA9AF-298B-2CDE-27CD-E4EA8ADEF79F}"/>
            </a:ext>
          </a:extLst>
        </xdr:cNvPr>
        <xdr:cNvCxnSpPr/>
      </xdr:nvCxnSpPr>
      <xdr:spPr>
        <a:xfrm flipV="1">
          <a:off x="11452225" y="4926711"/>
          <a:ext cx="222250" cy="8276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312511</xdr:colOff>
      <xdr:row>16</xdr:row>
      <xdr:rowOff>232886</xdr:rowOff>
    </xdr:from>
    <xdr:to>
      <xdr:col>29</xdr:col>
      <xdr:colOff>199118</xdr:colOff>
      <xdr:row>17</xdr:row>
      <xdr:rowOff>74528</xdr:rowOff>
    </xdr:to>
    <xdr:cxnSp macro="">
      <xdr:nvCxnSpPr>
        <xdr:cNvPr id="1637" name="SCHEMA_T03_COND_0217">
          <a:extLst>
            <a:ext uri="{FF2B5EF4-FFF2-40B4-BE49-F238E27FC236}">
              <a16:creationId xmlns:a16="http://schemas.microsoft.com/office/drawing/2014/main" id="{2086EF80-F53C-85C0-6525-9E5CA292AE31}"/>
            </a:ext>
          </a:extLst>
        </xdr:cNvPr>
        <xdr:cNvCxnSpPr/>
      </xdr:nvCxnSpPr>
      <xdr:spPr>
        <a:xfrm>
          <a:off x="11007725" y="5022600"/>
          <a:ext cx="222250" cy="8657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199118</xdr:colOff>
      <xdr:row>17</xdr:row>
      <xdr:rowOff>74528</xdr:rowOff>
    </xdr:from>
    <xdr:to>
      <xdr:col>30</xdr:col>
      <xdr:colOff>85725</xdr:colOff>
      <xdr:row>17</xdr:row>
      <xdr:rowOff>76431</xdr:rowOff>
    </xdr:to>
    <xdr:cxnSp macro="">
      <xdr:nvCxnSpPr>
        <xdr:cNvPr id="1638" name="SCHEMA_T03_COND_0218">
          <a:extLst>
            <a:ext uri="{FF2B5EF4-FFF2-40B4-BE49-F238E27FC236}">
              <a16:creationId xmlns:a16="http://schemas.microsoft.com/office/drawing/2014/main" id="{B4118ECE-2F9B-6DF3-4809-A8347B09BAEC}"/>
            </a:ext>
          </a:extLst>
        </xdr:cNvPr>
        <xdr:cNvCxnSpPr/>
      </xdr:nvCxnSpPr>
      <xdr:spPr>
        <a:xfrm>
          <a:off x="11229975" y="5109171"/>
          <a:ext cx="222250" cy="190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85725</xdr:colOff>
      <xdr:row>16</xdr:row>
      <xdr:rowOff>238597</xdr:rowOff>
    </xdr:from>
    <xdr:to>
      <xdr:col>30</xdr:col>
      <xdr:colOff>307975</xdr:colOff>
      <xdr:row>17</xdr:row>
      <xdr:rowOff>76431</xdr:rowOff>
    </xdr:to>
    <xdr:cxnSp macro="">
      <xdr:nvCxnSpPr>
        <xdr:cNvPr id="1639" name="SCHEMA_T03_COND_0219">
          <a:extLst>
            <a:ext uri="{FF2B5EF4-FFF2-40B4-BE49-F238E27FC236}">
              <a16:creationId xmlns:a16="http://schemas.microsoft.com/office/drawing/2014/main" id="{CEA25E58-BEA3-EAC4-614A-E918CDBF97DC}"/>
            </a:ext>
          </a:extLst>
        </xdr:cNvPr>
        <xdr:cNvCxnSpPr/>
      </xdr:nvCxnSpPr>
      <xdr:spPr>
        <a:xfrm flipV="1">
          <a:off x="11452225" y="5028311"/>
          <a:ext cx="222250" cy="8276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312511</xdr:colOff>
      <xdr:row>17</xdr:row>
      <xdr:rowOff>140357</xdr:rowOff>
    </xdr:from>
    <xdr:to>
      <xdr:col>29</xdr:col>
      <xdr:colOff>199118</xdr:colOff>
      <xdr:row>17</xdr:row>
      <xdr:rowOff>226928</xdr:rowOff>
    </xdr:to>
    <xdr:cxnSp macro="">
      <xdr:nvCxnSpPr>
        <xdr:cNvPr id="1640" name="SCHEMA_T03_COND_0220">
          <a:extLst>
            <a:ext uri="{FF2B5EF4-FFF2-40B4-BE49-F238E27FC236}">
              <a16:creationId xmlns:a16="http://schemas.microsoft.com/office/drawing/2014/main" id="{AE1362D2-F551-4640-F913-9488A851B05A}"/>
            </a:ext>
          </a:extLst>
        </xdr:cNvPr>
        <xdr:cNvCxnSpPr/>
      </xdr:nvCxnSpPr>
      <xdr:spPr>
        <a:xfrm>
          <a:off x="11007725" y="5175000"/>
          <a:ext cx="222250" cy="8657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199118</xdr:colOff>
      <xdr:row>17</xdr:row>
      <xdr:rowOff>226928</xdr:rowOff>
    </xdr:from>
    <xdr:to>
      <xdr:col>30</xdr:col>
      <xdr:colOff>85725</xdr:colOff>
      <xdr:row>17</xdr:row>
      <xdr:rowOff>228831</xdr:rowOff>
    </xdr:to>
    <xdr:cxnSp macro="">
      <xdr:nvCxnSpPr>
        <xdr:cNvPr id="1641" name="SCHEMA_T03_COND_0221">
          <a:extLst>
            <a:ext uri="{FF2B5EF4-FFF2-40B4-BE49-F238E27FC236}">
              <a16:creationId xmlns:a16="http://schemas.microsoft.com/office/drawing/2014/main" id="{E950700A-20A4-AC9D-C61D-4349C87AB2D1}"/>
            </a:ext>
          </a:extLst>
        </xdr:cNvPr>
        <xdr:cNvCxnSpPr/>
      </xdr:nvCxnSpPr>
      <xdr:spPr>
        <a:xfrm>
          <a:off x="11229975" y="5261571"/>
          <a:ext cx="222250" cy="190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85725</xdr:colOff>
      <xdr:row>17</xdr:row>
      <xdr:rowOff>146068</xdr:rowOff>
    </xdr:from>
    <xdr:to>
      <xdr:col>30</xdr:col>
      <xdr:colOff>307975</xdr:colOff>
      <xdr:row>17</xdr:row>
      <xdr:rowOff>228831</xdr:rowOff>
    </xdr:to>
    <xdr:cxnSp macro="">
      <xdr:nvCxnSpPr>
        <xdr:cNvPr id="1642" name="SCHEMA_T03_COND_0222">
          <a:extLst>
            <a:ext uri="{FF2B5EF4-FFF2-40B4-BE49-F238E27FC236}">
              <a16:creationId xmlns:a16="http://schemas.microsoft.com/office/drawing/2014/main" id="{16A418B5-28A7-C286-B267-A84566B19712}"/>
            </a:ext>
          </a:extLst>
        </xdr:cNvPr>
        <xdr:cNvCxnSpPr/>
      </xdr:nvCxnSpPr>
      <xdr:spPr>
        <a:xfrm flipV="1">
          <a:off x="11452225" y="5180711"/>
          <a:ext cx="222250" cy="8276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312511</xdr:colOff>
      <xdr:row>17</xdr:row>
      <xdr:rowOff>241957</xdr:rowOff>
    </xdr:from>
    <xdr:to>
      <xdr:col>29</xdr:col>
      <xdr:colOff>199118</xdr:colOff>
      <xdr:row>18</xdr:row>
      <xdr:rowOff>83600</xdr:rowOff>
    </xdr:to>
    <xdr:cxnSp macro="">
      <xdr:nvCxnSpPr>
        <xdr:cNvPr id="1643" name="SCHEMA_T03_COND_0223">
          <a:extLst>
            <a:ext uri="{FF2B5EF4-FFF2-40B4-BE49-F238E27FC236}">
              <a16:creationId xmlns:a16="http://schemas.microsoft.com/office/drawing/2014/main" id="{1BFD8939-4AB0-A703-B724-25635BE2DD4F}"/>
            </a:ext>
          </a:extLst>
        </xdr:cNvPr>
        <xdr:cNvCxnSpPr/>
      </xdr:nvCxnSpPr>
      <xdr:spPr>
        <a:xfrm>
          <a:off x="11007725" y="5276600"/>
          <a:ext cx="222250" cy="8657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199118</xdr:colOff>
      <xdr:row>18</xdr:row>
      <xdr:rowOff>83600</xdr:rowOff>
    </xdr:from>
    <xdr:to>
      <xdr:col>30</xdr:col>
      <xdr:colOff>85725</xdr:colOff>
      <xdr:row>18</xdr:row>
      <xdr:rowOff>85503</xdr:rowOff>
    </xdr:to>
    <xdr:cxnSp macro="">
      <xdr:nvCxnSpPr>
        <xdr:cNvPr id="1644" name="SCHEMA_T03_COND_0224">
          <a:extLst>
            <a:ext uri="{FF2B5EF4-FFF2-40B4-BE49-F238E27FC236}">
              <a16:creationId xmlns:a16="http://schemas.microsoft.com/office/drawing/2014/main" id="{1645A748-5529-5683-F5FB-3E28BC4CCAE9}"/>
            </a:ext>
          </a:extLst>
        </xdr:cNvPr>
        <xdr:cNvCxnSpPr/>
      </xdr:nvCxnSpPr>
      <xdr:spPr>
        <a:xfrm>
          <a:off x="11229975" y="5363171"/>
          <a:ext cx="222250" cy="190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85725</xdr:colOff>
      <xdr:row>18</xdr:row>
      <xdr:rowOff>2740</xdr:rowOff>
    </xdr:from>
    <xdr:to>
      <xdr:col>30</xdr:col>
      <xdr:colOff>307975</xdr:colOff>
      <xdr:row>18</xdr:row>
      <xdr:rowOff>85503</xdr:rowOff>
    </xdr:to>
    <xdr:cxnSp macro="">
      <xdr:nvCxnSpPr>
        <xdr:cNvPr id="1645" name="SCHEMA_T03_COND_0225">
          <a:extLst>
            <a:ext uri="{FF2B5EF4-FFF2-40B4-BE49-F238E27FC236}">
              <a16:creationId xmlns:a16="http://schemas.microsoft.com/office/drawing/2014/main" id="{ED4D73BB-A59B-F954-E6BC-615322EA1AE9}"/>
            </a:ext>
          </a:extLst>
        </xdr:cNvPr>
        <xdr:cNvCxnSpPr/>
      </xdr:nvCxnSpPr>
      <xdr:spPr>
        <a:xfrm flipV="1">
          <a:off x="11452225" y="5282311"/>
          <a:ext cx="222250" cy="8276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272143</xdr:colOff>
      <xdr:row>25</xdr:row>
      <xdr:rowOff>41729</xdr:rowOff>
    </xdr:from>
    <xdr:to>
      <xdr:col>30</xdr:col>
      <xdr:colOff>12700</xdr:colOff>
      <xdr:row>25</xdr:row>
      <xdr:rowOff>117929</xdr:rowOff>
    </xdr:to>
    <xdr:sp macro="" textlink="">
      <xdr:nvSpPr>
        <xdr:cNvPr id="1646" name="SCHEMA_T03_ATTRAV_15">
          <a:extLst>
            <a:ext uri="{FF2B5EF4-FFF2-40B4-BE49-F238E27FC236}">
              <a16:creationId xmlns:a16="http://schemas.microsoft.com/office/drawing/2014/main" id="{CE3BB822-F7B5-443E-E9C5-B959D82C94E2}"/>
            </a:ext>
          </a:extLst>
        </xdr:cNvPr>
        <xdr:cNvSpPr/>
      </xdr:nvSpPr>
      <xdr:spPr>
        <a:xfrm>
          <a:off x="11303000" y="7035800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30</xdr:col>
      <xdr:colOff>307975</xdr:colOff>
      <xdr:row>15</xdr:row>
      <xdr:rowOff>164436</xdr:rowOff>
    </xdr:from>
    <xdr:to>
      <xdr:col>31</xdr:col>
      <xdr:colOff>194582</xdr:colOff>
      <xdr:row>15</xdr:row>
      <xdr:rowOff>216825</xdr:rowOff>
    </xdr:to>
    <xdr:cxnSp macro="">
      <xdr:nvCxnSpPr>
        <xdr:cNvPr id="1647" name="SCHEMA_T03_COND_0226">
          <a:extLst>
            <a:ext uri="{FF2B5EF4-FFF2-40B4-BE49-F238E27FC236}">
              <a16:creationId xmlns:a16="http://schemas.microsoft.com/office/drawing/2014/main" id="{1BEDAE51-BFCF-AC3E-56CC-3D7B1B2CFB8C}"/>
            </a:ext>
          </a:extLst>
        </xdr:cNvPr>
        <xdr:cNvCxnSpPr/>
      </xdr:nvCxnSpPr>
      <xdr:spPr>
        <a:xfrm flipV="1">
          <a:off x="11674475" y="4709222"/>
          <a:ext cx="222250" cy="52389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194582</xdr:colOff>
      <xdr:row>15</xdr:row>
      <xdr:rowOff>27381</xdr:rowOff>
    </xdr:from>
    <xdr:to>
      <xdr:col>32</xdr:col>
      <xdr:colOff>81189</xdr:colOff>
      <xdr:row>15</xdr:row>
      <xdr:rowOff>164436</xdr:rowOff>
    </xdr:to>
    <xdr:cxnSp macro="">
      <xdr:nvCxnSpPr>
        <xdr:cNvPr id="1648" name="SCHEMA_T03_COND_0227">
          <a:extLst>
            <a:ext uri="{FF2B5EF4-FFF2-40B4-BE49-F238E27FC236}">
              <a16:creationId xmlns:a16="http://schemas.microsoft.com/office/drawing/2014/main" id="{7AC3FBA3-A38B-008C-518F-01F24513F5C7}"/>
            </a:ext>
          </a:extLst>
        </xdr:cNvPr>
        <xdr:cNvCxnSpPr/>
      </xdr:nvCxnSpPr>
      <xdr:spPr>
        <a:xfrm flipV="1">
          <a:off x="11896725" y="4572167"/>
          <a:ext cx="222250" cy="137055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81189</xdr:colOff>
      <xdr:row>14</xdr:row>
      <xdr:rowOff>50588</xdr:rowOff>
    </xdr:from>
    <xdr:to>
      <xdr:col>32</xdr:col>
      <xdr:colOff>303439</xdr:colOff>
      <xdr:row>15</xdr:row>
      <xdr:rowOff>27381</xdr:rowOff>
    </xdr:to>
    <xdr:cxnSp macro="">
      <xdr:nvCxnSpPr>
        <xdr:cNvPr id="1649" name="SCHEMA_T03_COND_0228">
          <a:extLst>
            <a:ext uri="{FF2B5EF4-FFF2-40B4-BE49-F238E27FC236}">
              <a16:creationId xmlns:a16="http://schemas.microsoft.com/office/drawing/2014/main" id="{FBFA1A6F-01F3-067E-7D76-96B6C80B399D}"/>
            </a:ext>
          </a:extLst>
        </xdr:cNvPr>
        <xdr:cNvCxnSpPr/>
      </xdr:nvCxnSpPr>
      <xdr:spPr>
        <a:xfrm flipV="1">
          <a:off x="12118975" y="4350445"/>
          <a:ext cx="222250" cy="221722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307975</xdr:colOff>
      <xdr:row>16</xdr:row>
      <xdr:rowOff>84608</xdr:rowOff>
    </xdr:from>
    <xdr:to>
      <xdr:col>31</xdr:col>
      <xdr:colOff>194582</xdr:colOff>
      <xdr:row>16</xdr:row>
      <xdr:rowOff>136997</xdr:rowOff>
    </xdr:to>
    <xdr:cxnSp macro="">
      <xdr:nvCxnSpPr>
        <xdr:cNvPr id="1650" name="SCHEMA_T03_COND_0229">
          <a:extLst>
            <a:ext uri="{FF2B5EF4-FFF2-40B4-BE49-F238E27FC236}">
              <a16:creationId xmlns:a16="http://schemas.microsoft.com/office/drawing/2014/main" id="{665F5191-ECE9-FED0-EA90-C77B2D29C162}"/>
            </a:ext>
          </a:extLst>
        </xdr:cNvPr>
        <xdr:cNvCxnSpPr/>
      </xdr:nvCxnSpPr>
      <xdr:spPr>
        <a:xfrm flipV="1">
          <a:off x="11674475" y="4874322"/>
          <a:ext cx="222250" cy="5238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194582</xdr:colOff>
      <xdr:row>15</xdr:row>
      <xdr:rowOff>192481</xdr:rowOff>
    </xdr:from>
    <xdr:to>
      <xdr:col>32</xdr:col>
      <xdr:colOff>81189</xdr:colOff>
      <xdr:row>16</xdr:row>
      <xdr:rowOff>84608</xdr:rowOff>
    </xdr:to>
    <xdr:cxnSp macro="">
      <xdr:nvCxnSpPr>
        <xdr:cNvPr id="1651" name="SCHEMA_T03_COND_0230">
          <a:extLst>
            <a:ext uri="{FF2B5EF4-FFF2-40B4-BE49-F238E27FC236}">
              <a16:creationId xmlns:a16="http://schemas.microsoft.com/office/drawing/2014/main" id="{C138A586-EE00-E926-6905-72237A6A54DE}"/>
            </a:ext>
          </a:extLst>
        </xdr:cNvPr>
        <xdr:cNvCxnSpPr/>
      </xdr:nvCxnSpPr>
      <xdr:spPr>
        <a:xfrm flipV="1">
          <a:off x="11896725" y="4737267"/>
          <a:ext cx="222250" cy="13705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81189</xdr:colOff>
      <xdr:row>14</xdr:row>
      <xdr:rowOff>215688</xdr:rowOff>
    </xdr:from>
    <xdr:to>
      <xdr:col>32</xdr:col>
      <xdr:colOff>303439</xdr:colOff>
      <xdr:row>15</xdr:row>
      <xdr:rowOff>192481</xdr:rowOff>
    </xdr:to>
    <xdr:cxnSp macro="">
      <xdr:nvCxnSpPr>
        <xdr:cNvPr id="1652" name="SCHEMA_T03_COND_0231">
          <a:extLst>
            <a:ext uri="{FF2B5EF4-FFF2-40B4-BE49-F238E27FC236}">
              <a16:creationId xmlns:a16="http://schemas.microsoft.com/office/drawing/2014/main" id="{D5D00E27-2274-3E5E-B0E3-E9C628597F63}"/>
            </a:ext>
          </a:extLst>
        </xdr:cNvPr>
        <xdr:cNvCxnSpPr/>
      </xdr:nvCxnSpPr>
      <xdr:spPr>
        <a:xfrm flipV="1">
          <a:off x="12118975" y="4515545"/>
          <a:ext cx="222250" cy="22172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307975</xdr:colOff>
      <xdr:row>16</xdr:row>
      <xdr:rowOff>186208</xdr:rowOff>
    </xdr:from>
    <xdr:to>
      <xdr:col>31</xdr:col>
      <xdr:colOff>194582</xdr:colOff>
      <xdr:row>16</xdr:row>
      <xdr:rowOff>238597</xdr:rowOff>
    </xdr:to>
    <xdr:cxnSp macro="">
      <xdr:nvCxnSpPr>
        <xdr:cNvPr id="1653" name="SCHEMA_T03_COND_0232">
          <a:extLst>
            <a:ext uri="{FF2B5EF4-FFF2-40B4-BE49-F238E27FC236}">
              <a16:creationId xmlns:a16="http://schemas.microsoft.com/office/drawing/2014/main" id="{7CC2BAD3-8A53-DF86-EAC2-7BA9ADE3F221}"/>
            </a:ext>
          </a:extLst>
        </xdr:cNvPr>
        <xdr:cNvCxnSpPr/>
      </xdr:nvCxnSpPr>
      <xdr:spPr>
        <a:xfrm flipV="1">
          <a:off x="11674475" y="4975922"/>
          <a:ext cx="222250" cy="5238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194582</xdr:colOff>
      <xdr:row>16</xdr:row>
      <xdr:rowOff>49153</xdr:rowOff>
    </xdr:from>
    <xdr:to>
      <xdr:col>32</xdr:col>
      <xdr:colOff>81189</xdr:colOff>
      <xdr:row>16</xdr:row>
      <xdr:rowOff>186208</xdr:rowOff>
    </xdr:to>
    <xdr:cxnSp macro="">
      <xdr:nvCxnSpPr>
        <xdr:cNvPr id="1654" name="SCHEMA_T03_COND_0233">
          <a:extLst>
            <a:ext uri="{FF2B5EF4-FFF2-40B4-BE49-F238E27FC236}">
              <a16:creationId xmlns:a16="http://schemas.microsoft.com/office/drawing/2014/main" id="{31B21466-5C26-97FE-EF67-2F43E7FC885A}"/>
            </a:ext>
          </a:extLst>
        </xdr:cNvPr>
        <xdr:cNvCxnSpPr/>
      </xdr:nvCxnSpPr>
      <xdr:spPr>
        <a:xfrm flipV="1">
          <a:off x="11896725" y="4838867"/>
          <a:ext cx="222250" cy="13705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81189</xdr:colOff>
      <xdr:row>15</xdr:row>
      <xdr:rowOff>72359</xdr:rowOff>
    </xdr:from>
    <xdr:to>
      <xdr:col>32</xdr:col>
      <xdr:colOff>303439</xdr:colOff>
      <xdr:row>16</xdr:row>
      <xdr:rowOff>49153</xdr:rowOff>
    </xdr:to>
    <xdr:cxnSp macro="">
      <xdr:nvCxnSpPr>
        <xdr:cNvPr id="1655" name="SCHEMA_T03_COND_0234">
          <a:extLst>
            <a:ext uri="{FF2B5EF4-FFF2-40B4-BE49-F238E27FC236}">
              <a16:creationId xmlns:a16="http://schemas.microsoft.com/office/drawing/2014/main" id="{0CA8C7D3-305B-12E0-9C7F-85B2B523BDF6}"/>
            </a:ext>
          </a:extLst>
        </xdr:cNvPr>
        <xdr:cNvCxnSpPr/>
      </xdr:nvCxnSpPr>
      <xdr:spPr>
        <a:xfrm flipV="1">
          <a:off x="12118975" y="4617145"/>
          <a:ext cx="222250" cy="22172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307975</xdr:colOff>
      <xdr:row>17</xdr:row>
      <xdr:rowOff>93679</xdr:rowOff>
    </xdr:from>
    <xdr:to>
      <xdr:col>31</xdr:col>
      <xdr:colOff>194582</xdr:colOff>
      <xdr:row>17</xdr:row>
      <xdr:rowOff>146068</xdr:rowOff>
    </xdr:to>
    <xdr:cxnSp macro="">
      <xdr:nvCxnSpPr>
        <xdr:cNvPr id="1656" name="SCHEMA_T03_COND_0235">
          <a:extLst>
            <a:ext uri="{FF2B5EF4-FFF2-40B4-BE49-F238E27FC236}">
              <a16:creationId xmlns:a16="http://schemas.microsoft.com/office/drawing/2014/main" id="{17559915-CDB4-38AC-4E38-5054EB03B997}"/>
            </a:ext>
          </a:extLst>
        </xdr:cNvPr>
        <xdr:cNvCxnSpPr/>
      </xdr:nvCxnSpPr>
      <xdr:spPr>
        <a:xfrm flipV="1">
          <a:off x="11674475" y="5128322"/>
          <a:ext cx="222250" cy="5238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194582</xdr:colOff>
      <xdr:row>16</xdr:row>
      <xdr:rowOff>201553</xdr:rowOff>
    </xdr:from>
    <xdr:to>
      <xdr:col>32</xdr:col>
      <xdr:colOff>81189</xdr:colOff>
      <xdr:row>17</xdr:row>
      <xdr:rowOff>93679</xdr:rowOff>
    </xdr:to>
    <xdr:cxnSp macro="">
      <xdr:nvCxnSpPr>
        <xdr:cNvPr id="1657" name="SCHEMA_T03_COND_0236">
          <a:extLst>
            <a:ext uri="{FF2B5EF4-FFF2-40B4-BE49-F238E27FC236}">
              <a16:creationId xmlns:a16="http://schemas.microsoft.com/office/drawing/2014/main" id="{1D3A480C-E308-DF14-7C2B-43AA317970D1}"/>
            </a:ext>
          </a:extLst>
        </xdr:cNvPr>
        <xdr:cNvCxnSpPr/>
      </xdr:nvCxnSpPr>
      <xdr:spPr>
        <a:xfrm flipV="1">
          <a:off x="11896725" y="4991267"/>
          <a:ext cx="222250" cy="13705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81189</xdr:colOff>
      <xdr:row>15</xdr:row>
      <xdr:rowOff>224759</xdr:rowOff>
    </xdr:from>
    <xdr:to>
      <xdr:col>32</xdr:col>
      <xdr:colOff>303439</xdr:colOff>
      <xdr:row>16</xdr:row>
      <xdr:rowOff>201553</xdr:rowOff>
    </xdr:to>
    <xdr:cxnSp macro="">
      <xdr:nvCxnSpPr>
        <xdr:cNvPr id="1658" name="SCHEMA_T03_COND_0237">
          <a:extLst>
            <a:ext uri="{FF2B5EF4-FFF2-40B4-BE49-F238E27FC236}">
              <a16:creationId xmlns:a16="http://schemas.microsoft.com/office/drawing/2014/main" id="{C14191B9-6898-FD68-81D3-076CF87DA2FB}"/>
            </a:ext>
          </a:extLst>
        </xdr:cNvPr>
        <xdr:cNvCxnSpPr/>
      </xdr:nvCxnSpPr>
      <xdr:spPr>
        <a:xfrm flipV="1">
          <a:off x="12118975" y="4769545"/>
          <a:ext cx="222250" cy="22172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307975</xdr:colOff>
      <xdr:row>17</xdr:row>
      <xdr:rowOff>195279</xdr:rowOff>
    </xdr:from>
    <xdr:to>
      <xdr:col>31</xdr:col>
      <xdr:colOff>194582</xdr:colOff>
      <xdr:row>18</xdr:row>
      <xdr:rowOff>2740</xdr:rowOff>
    </xdr:to>
    <xdr:cxnSp macro="">
      <xdr:nvCxnSpPr>
        <xdr:cNvPr id="1659" name="SCHEMA_T03_COND_0238">
          <a:extLst>
            <a:ext uri="{FF2B5EF4-FFF2-40B4-BE49-F238E27FC236}">
              <a16:creationId xmlns:a16="http://schemas.microsoft.com/office/drawing/2014/main" id="{C1EBDF70-636E-53AE-CC8D-C4384563730F}"/>
            </a:ext>
          </a:extLst>
        </xdr:cNvPr>
        <xdr:cNvCxnSpPr/>
      </xdr:nvCxnSpPr>
      <xdr:spPr>
        <a:xfrm flipV="1">
          <a:off x="11674475" y="5229922"/>
          <a:ext cx="222250" cy="5238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194582</xdr:colOff>
      <xdr:row>17</xdr:row>
      <xdr:rowOff>58224</xdr:rowOff>
    </xdr:from>
    <xdr:to>
      <xdr:col>32</xdr:col>
      <xdr:colOff>81189</xdr:colOff>
      <xdr:row>17</xdr:row>
      <xdr:rowOff>195279</xdr:rowOff>
    </xdr:to>
    <xdr:cxnSp macro="">
      <xdr:nvCxnSpPr>
        <xdr:cNvPr id="1660" name="SCHEMA_T03_COND_0239">
          <a:extLst>
            <a:ext uri="{FF2B5EF4-FFF2-40B4-BE49-F238E27FC236}">
              <a16:creationId xmlns:a16="http://schemas.microsoft.com/office/drawing/2014/main" id="{5C222115-CD7A-370F-FC4E-10A03B1F4CAC}"/>
            </a:ext>
          </a:extLst>
        </xdr:cNvPr>
        <xdr:cNvCxnSpPr/>
      </xdr:nvCxnSpPr>
      <xdr:spPr>
        <a:xfrm flipV="1">
          <a:off x="11896725" y="5092867"/>
          <a:ext cx="222250" cy="13705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81189</xdr:colOff>
      <xdr:row>16</xdr:row>
      <xdr:rowOff>81431</xdr:rowOff>
    </xdr:from>
    <xdr:to>
      <xdr:col>32</xdr:col>
      <xdr:colOff>303439</xdr:colOff>
      <xdr:row>17</xdr:row>
      <xdr:rowOff>58224</xdr:rowOff>
    </xdr:to>
    <xdr:cxnSp macro="">
      <xdr:nvCxnSpPr>
        <xdr:cNvPr id="1661" name="SCHEMA_T03_COND_0240">
          <a:extLst>
            <a:ext uri="{FF2B5EF4-FFF2-40B4-BE49-F238E27FC236}">
              <a16:creationId xmlns:a16="http://schemas.microsoft.com/office/drawing/2014/main" id="{528E3A43-BC92-6D79-6339-B1AC52816C02}"/>
            </a:ext>
          </a:extLst>
        </xdr:cNvPr>
        <xdr:cNvCxnSpPr/>
      </xdr:nvCxnSpPr>
      <xdr:spPr>
        <a:xfrm flipV="1">
          <a:off x="12118975" y="4871145"/>
          <a:ext cx="222250" cy="22172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267607</xdr:colOff>
      <xdr:row>25</xdr:row>
      <xdr:rowOff>41729</xdr:rowOff>
    </xdr:from>
    <xdr:to>
      <xdr:col>32</xdr:col>
      <xdr:colOff>8164</xdr:colOff>
      <xdr:row>25</xdr:row>
      <xdr:rowOff>117929</xdr:rowOff>
    </xdr:to>
    <xdr:sp macro="" textlink="">
      <xdr:nvSpPr>
        <xdr:cNvPr id="1662" name="SCHEMA_T03_ATTRAV_16">
          <a:extLst>
            <a:ext uri="{FF2B5EF4-FFF2-40B4-BE49-F238E27FC236}">
              <a16:creationId xmlns:a16="http://schemas.microsoft.com/office/drawing/2014/main" id="{2DF73723-972E-17E6-9E7B-4188BCAEAD63}"/>
            </a:ext>
          </a:extLst>
        </xdr:cNvPr>
        <xdr:cNvSpPr/>
      </xdr:nvSpPr>
      <xdr:spPr>
        <a:xfrm>
          <a:off x="11969750" y="7035800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32</xdr:col>
      <xdr:colOff>303439</xdr:colOff>
      <xdr:row>14</xdr:row>
      <xdr:rowOff>50588</xdr:rowOff>
    </xdr:from>
    <xdr:to>
      <xdr:col>33</xdr:col>
      <xdr:colOff>190046</xdr:colOff>
      <xdr:row>14</xdr:row>
      <xdr:rowOff>205686</xdr:rowOff>
    </xdr:to>
    <xdr:cxnSp macro="">
      <xdr:nvCxnSpPr>
        <xdr:cNvPr id="1663" name="SCHEMA_T03_COND_0241">
          <a:extLst>
            <a:ext uri="{FF2B5EF4-FFF2-40B4-BE49-F238E27FC236}">
              <a16:creationId xmlns:a16="http://schemas.microsoft.com/office/drawing/2014/main" id="{425E7C2E-641F-504A-26DC-632B1CA7434B}"/>
            </a:ext>
          </a:extLst>
        </xdr:cNvPr>
        <xdr:cNvCxnSpPr/>
      </xdr:nvCxnSpPr>
      <xdr:spPr>
        <a:xfrm>
          <a:off x="12341225" y="4350445"/>
          <a:ext cx="222250" cy="155098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190046</xdr:colOff>
      <xdr:row>14</xdr:row>
      <xdr:rowOff>205686</xdr:rowOff>
    </xdr:from>
    <xdr:to>
      <xdr:col>34</xdr:col>
      <xdr:colOff>76654</xdr:colOff>
      <xdr:row>15</xdr:row>
      <xdr:rowOff>31188</xdr:rowOff>
    </xdr:to>
    <xdr:cxnSp macro="">
      <xdr:nvCxnSpPr>
        <xdr:cNvPr id="1664" name="SCHEMA_T03_COND_0242">
          <a:extLst>
            <a:ext uri="{FF2B5EF4-FFF2-40B4-BE49-F238E27FC236}">
              <a16:creationId xmlns:a16="http://schemas.microsoft.com/office/drawing/2014/main" id="{D308318B-4A16-52F9-C1A4-1E4372B2AA46}"/>
            </a:ext>
          </a:extLst>
        </xdr:cNvPr>
        <xdr:cNvCxnSpPr/>
      </xdr:nvCxnSpPr>
      <xdr:spPr>
        <a:xfrm>
          <a:off x="12563475" y="4505543"/>
          <a:ext cx="222250" cy="70431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76654</xdr:colOff>
      <xdr:row>15</xdr:row>
      <xdr:rowOff>16953</xdr:rowOff>
    </xdr:from>
    <xdr:to>
      <xdr:col>34</xdr:col>
      <xdr:colOff>298904</xdr:colOff>
      <xdr:row>15</xdr:row>
      <xdr:rowOff>31188</xdr:rowOff>
    </xdr:to>
    <xdr:cxnSp macro="">
      <xdr:nvCxnSpPr>
        <xdr:cNvPr id="1665" name="SCHEMA_T03_COND_0243">
          <a:extLst>
            <a:ext uri="{FF2B5EF4-FFF2-40B4-BE49-F238E27FC236}">
              <a16:creationId xmlns:a16="http://schemas.microsoft.com/office/drawing/2014/main" id="{61D0DFAE-9CC5-6D98-9153-98B5EDB2125C}"/>
            </a:ext>
          </a:extLst>
        </xdr:cNvPr>
        <xdr:cNvCxnSpPr/>
      </xdr:nvCxnSpPr>
      <xdr:spPr>
        <a:xfrm flipV="1">
          <a:off x="12785725" y="4561739"/>
          <a:ext cx="222250" cy="14235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303439</xdr:colOff>
      <xdr:row>14</xdr:row>
      <xdr:rowOff>215688</xdr:rowOff>
    </xdr:from>
    <xdr:to>
      <xdr:col>33</xdr:col>
      <xdr:colOff>190046</xdr:colOff>
      <xdr:row>15</xdr:row>
      <xdr:rowOff>125857</xdr:rowOff>
    </xdr:to>
    <xdr:cxnSp macro="">
      <xdr:nvCxnSpPr>
        <xdr:cNvPr id="1666" name="SCHEMA_T03_COND_0244">
          <a:extLst>
            <a:ext uri="{FF2B5EF4-FFF2-40B4-BE49-F238E27FC236}">
              <a16:creationId xmlns:a16="http://schemas.microsoft.com/office/drawing/2014/main" id="{9BC432A5-A588-0DDC-7944-A0AF7B813C70}"/>
            </a:ext>
          </a:extLst>
        </xdr:cNvPr>
        <xdr:cNvCxnSpPr/>
      </xdr:nvCxnSpPr>
      <xdr:spPr>
        <a:xfrm>
          <a:off x="12341225" y="4515545"/>
          <a:ext cx="222250" cy="15509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190046</xdr:colOff>
      <xdr:row>15</xdr:row>
      <xdr:rowOff>125857</xdr:rowOff>
    </xdr:from>
    <xdr:to>
      <xdr:col>34</xdr:col>
      <xdr:colOff>76654</xdr:colOff>
      <xdr:row>15</xdr:row>
      <xdr:rowOff>196288</xdr:rowOff>
    </xdr:to>
    <xdr:cxnSp macro="">
      <xdr:nvCxnSpPr>
        <xdr:cNvPr id="1667" name="SCHEMA_T03_COND_0245">
          <a:extLst>
            <a:ext uri="{FF2B5EF4-FFF2-40B4-BE49-F238E27FC236}">
              <a16:creationId xmlns:a16="http://schemas.microsoft.com/office/drawing/2014/main" id="{E2AFA953-05A1-9373-A6CA-F46EDD82C8E1}"/>
            </a:ext>
          </a:extLst>
        </xdr:cNvPr>
        <xdr:cNvCxnSpPr/>
      </xdr:nvCxnSpPr>
      <xdr:spPr>
        <a:xfrm>
          <a:off x="12563475" y="4670643"/>
          <a:ext cx="222250" cy="7043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76654</xdr:colOff>
      <xdr:row>15</xdr:row>
      <xdr:rowOff>182053</xdr:rowOff>
    </xdr:from>
    <xdr:to>
      <xdr:col>34</xdr:col>
      <xdr:colOff>298904</xdr:colOff>
      <xdr:row>15</xdr:row>
      <xdr:rowOff>196288</xdr:rowOff>
    </xdr:to>
    <xdr:cxnSp macro="">
      <xdr:nvCxnSpPr>
        <xdr:cNvPr id="1668" name="SCHEMA_T03_COND_0246">
          <a:extLst>
            <a:ext uri="{FF2B5EF4-FFF2-40B4-BE49-F238E27FC236}">
              <a16:creationId xmlns:a16="http://schemas.microsoft.com/office/drawing/2014/main" id="{803BBB4D-088B-BA9D-8893-55AD5F8E3B3B}"/>
            </a:ext>
          </a:extLst>
        </xdr:cNvPr>
        <xdr:cNvCxnSpPr/>
      </xdr:nvCxnSpPr>
      <xdr:spPr>
        <a:xfrm flipV="1">
          <a:off x="12785725" y="4726839"/>
          <a:ext cx="222250" cy="1423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303439</xdr:colOff>
      <xdr:row>15</xdr:row>
      <xdr:rowOff>72359</xdr:rowOff>
    </xdr:from>
    <xdr:to>
      <xdr:col>33</xdr:col>
      <xdr:colOff>190046</xdr:colOff>
      <xdr:row>15</xdr:row>
      <xdr:rowOff>227457</xdr:rowOff>
    </xdr:to>
    <xdr:cxnSp macro="">
      <xdr:nvCxnSpPr>
        <xdr:cNvPr id="1669" name="SCHEMA_T03_COND_0247">
          <a:extLst>
            <a:ext uri="{FF2B5EF4-FFF2-40B4-BE49-F238E27FC236}">
              <a16:creationId xmlns:a16="http://schemas.microsoft.com/office/drawing/2014/main" id="{8213246E-24FC-3104-7D8E-AC00CFA948EE}"/>
            </a:ext>
          </a:extLst>
        </xdr:cNvPr>
        <xdr:cNvCxnSpPr/>
      </xdr:nvCxnSpPr>
      <xdr:spPr>
        <a:xfrm>
          <a:off x="12341225" y="4617145"/>
          <a:ext cx="222250" cy="15509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190046</xdr:colOff>
      <xdr:row>15</xdr:row>
      <xdr:rowOff>227457</xdr:rowOff>
    </xdr:from>
    <xdr:to>
      <xdr:col>34</xdr:col>
      <xdr:colOff>76654</xdr:colOff>
      <xdr:row>16</xdr:row>
      <xdr:rowOff>52960</xdr:rowOff>
    </xdr:to>
    <xdr:cxnSp macro="">
      <xdr:nvCxnSpPr>
        <xdr:cNvPr id="1670" name="SCHEMA_T03_COND_0248">
          <a:extLst>
            <a:ext uri="{FF2B5EF4-FFF2-40B4-BE49-F238E27FC236}">
              <a16:creationId xmlns:a16="http://schemas.microsoft.com/office/drawing/2014/main" id="{692589D7-A809-4330-9095-B63959D5E4F0}"/>
            </a:ext>
          </a:extLst>
        </xdr:cNvPr>
        <xdr:cNvCxnSpPr/>
      </xdr:nvCxnSpPr>
      <xdr:spPr>
        <a:xfrm>
          <a:off x="12563475" y="4772243"/>
          <a:ext cx="222250" cy="7043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76654</xdr:colOff>
      <xdr:row>16</xdr:row>
      <xdr:rowOff>38725</xdr:rowOff>
    </xdr:from>
    <xdr:to>
      <xdr:col>34</xdr:col>
      <xdr:colOff>298904</xdr:colOff>
      <xdr:row>16</xdr:row>
      <xdr:rowOff>52960</xdr:rowOff>
    </xdr:to>
    <xdr:cxnSp macro="">
      <xdr:nvCxnSpPr>
        <xdr:cNvPr id="1671" name="SCHEMA_T03_COND_0249">
          <a:extLst>
            <a:ext uri="{FF2B5EF4-FFF2-40B4-BE49-F238E27FC236}">
              <a16:creationId xmlns:a16="http://schemas.microsoft.com/office/drawing/2014/main" id="{5DD55036-385B-8310-ED9D-292FF4F66323}"/>
            </a:ext>
          </a:extLst>
        </xdr:cNvPr>
        <xdr:cNvCxnSpPr/>
      </xdr:nvCxnSpPr>
      <xdr:spPr>
        <a:xfrm flipV="1">
          <a:off x="12785725" y="4828439"/>
          <a:ext cx="222250" cy="1423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303439</xdr:colOff>
      <xdr:row>15</xdr:row>
      <xdr:rowOff>224759</xdr:rowOff>
    </xdr:from>
    <xdr:to>
      <xdr:col>33</xdr:col>
      <xdr:colOff>190046</xdr:colOff>
      <xdr:row>16</xdr:row>
      <xdr:rowOff>134929</xdr:rowOff>
    </xdr:to>
    <xdr:cxnSp macro="">
      <xdr:nvCxnSpPr>
        <xdr:cNvPr id="1672" name="SCHEMA_T03_COND_0250">
          <a:extLst>
            <a:ext uri="{FF2B5EF4-FFF2-40B4-BE49-F238E27FC236}">
              <a16:creationId xmlns:a16="http://schemas.microsoft.com/office/drawing/2014/main" id="{4434A252-CBF8-339A-FDA6-17F33774A393}"/>
            </a:ext>
          </a:extLst>
        </xdr:cNvPr>
        <xdr:cNvCxnSpPr/>
      </xdr:nvCxnSpPr>
      <xdr:spPr>
        <a:xfrm>
          <a:off x="12341225" y="4769545"/>
          <a:ext cx="222250" cy="15509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190046</xdr:colOff>
      <xdr:row>16</xdr:row>
      <xdr:rowOff>134929</xdr:rowOff>
    </xdr:from>
    <xdr:to>
      <xdr:col>34</xdr:col>
      <xdr:colOff>76654</xdr:colOff>
      <xdr:row>16</xdr:row>
      <xdr:rowOff>205360</xdr:rowOff>
    </xdr:to>
    <xdr:cxnSp macro="">
      <xdr:nvCxnSpPr>
        <xdr:cNvPr id="1673" name="SCHEMA_T03_COND_0251">
          <a:extLst>
            <a:ext uri="{FF2B5EF4-FFF2-40B4-BE49-F238E27FC236}">
              <a16:creationId xmlns:a16="http://schemas.microsoft.com/office/drawing/2014/main" id="{1BE3AEB9-D88C-E81A-C238-848827C81984}"/>
            </a:ext>
          </a:extLst>
        </xdr:cNvPr>
        <xdr:cNvCxnSpPr/>
      </xdr:nvCxnSpPr>
      <xdr:spPr>
        <a:xfrm>
          <a:off x="12563475" y="4924643"/>
          <a:ext cx="222250" cy="7043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76654</xdr:colOff>
      <xdr:row>16</xdr:row>
      <xdr:rowOff>191125</xdr:rowOff>
    </xdr:from>
    <xdr:to>
      <xdr:col>34</xdr:col>
      <xdr:colOff>298904</xdr:colOff>
      <xdr:row>16</xdr:row>
      <xdr:rowOff>205360</xdr:rowOff>
    </xdr:to>
    <xdr:cxnSp macro="">
      <xdr:nvCxnSpPr>
        <xdr:cNvPr id="1674" name="SCHEMA_T03_COND_0252">
          <a:extLst>
            <a:ext uri="{FF2B5EF4-FFF2-40B4-BE49-F238E27FC236}">
              <a16:creationId xmlns:a16="http://schemas.microsoft.com/office/drawing/2014/main" id="{75F2943B-B24D-79B5-D156-34AD3AF68D10}"/>
            </a:ext>
          </a:extLst>
        </xdr:cNvPr>
        <xdr:cNvCxnSpPr/>
      </xdr:nvCxnSpPr>
      <xdr:spPr>
        <a:xfrm flipV="1">
          <a:off x="12785725" y="4980839"/>
          <a:ext cx="222250" cy="1423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303439</xdr:colOff>
      <xdr:row>16</xdr:row>
      <xdr:rowOff>81431</xdr:rowOff>
    </xdr:from>
    <xdr:to>
      <xdr:col>33</xdr:col>
      <xdr:colOff>190046</xdr:colOff>
      <xdr:row>16</xdr:row>
      <xdr:rowOff>236529</xdr:rowOff>
    </xdr:to>
    <xdr:cxnSp macro="">
      <xdr:nvCxnSpPr>
        <xdr:cNvPr id="1675" name="SCHEMA_T03_COND_0253">
          <a:extLst>
            <a:ext uri="{FF2B5EF4-FFF2-40B4-BE49-F238E27FC236}">
              <a16:creationId xmlns:a16="http://schemas.microsoft.com/office/drawing/2014/main" id="{A470C6EA-A5CC-E3E0-3B3C-ED49637569F2}"/>
            </a:ext>
          </a:extLst>
        </xdr:cNvPr>
        <xdr:cNvCxnSpPr/>
      </xdr:nvCxnSpPr>
      <xdr:spPr>
        <a:xfrm>
          <a:off x="12341225" y="4871145"/>
          <a:ext cx="222250" cy="15509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190046</xdr:colOff>
      <xdr:row>16</xdr:row>
      <xdr:rowOff>236529</xdr:rowOff>
    </xdr:from>
    <xdr:to>
      <xdr:col>34</xdr:col>
      <xdr:colOff>76654</xdr:colOff>
      <xdr:row>17</xdr:row>
      <xdr:rowOff>62031</xdr:rowOff>
    </xdr:to>
    <xdr:cxnSp macro="">
      <xdr:nvCxnSpPr>
        <xdr:cNvPr id="1676" name="SCHEMA_T03_COND_0254">
          <a:extLst>
            <a:ext uri="{FF2B5EF4-FFF2-40B4-BE49-F238E27FC236}">
              <a16:creationId xmlns:a16="http://schemas.microsoft.com/office/drawing/2014/main" id="{069B7AB2-02A7-6AA2-3F22-0FDCB5CADF8B}"/>
            </a:ext>
          </a:extLst>
        </xdr:cNvPr>
        <xdr:cNvCxnSpPr/>
      </xdr:nvCxnSpPr>
      <xdr:spPr>
        <a:xfrm>
          <a:off x="12563475" y="5026243"/>
          <a:ext cx="222250" cy="7043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76654</xdr:colOff>
      <xdr:row>17</xdr:row>
      <xdr:rowOff>47796</xdr:rowOff>
    </xdr:from>
    <xdr:to>
      <xdr:col>34</xdr:col>
      <xdr:colOff>298904</xdr:colOff>
      <xdr:row>17</xdr:row>
      <xdr:rowOff>62031</xdr:rowOff>
    </xdr:to>
    <xdr:cxnSp macro="">
      <xdr:nvCxnSpPr>
        <xdr:cNvPr id="1677" name="SCHEMA_T03_COND_0255">
          <a:extLst>
            <a:ext uri="{FF2B5EF4-FFF2-40B4-BE49-F238E27FC236}">
              <a16:creationId xmlns:a16="http://schemas.microsoft.com/office/drawing/2014/main" id="{7FC1377A-97FF-3890-5C8B-24148A02905D}"/>
            </a:ext>
          </a:extLst>
        </xdr:cNvPr>
        <xdr:cNvCxnSpPr/>
      </xdr:nvCxnSpPr>
      <xdr:spPr>
        <a:xfrm flipV="1">
          <a:off x="12785725" y="5082439"/>
          <a:ext cx="222250" cy="1423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263071</xdr:colOff>
      <xdr:row>25</xdr:row>
      <xdr:rowOff>41729</xdr:rowOff>
    </xdr:from>
    <xdr:to>
      <xdr:col>34</xdr:col>
      <xdr:colOff>3629</xdr:colOff>
      <xdr:row>25</xdr:row>
      <xdr:rowOff>117929</xdr:rowOff>
    </xdr:to>
    <xdr:sp macro="" textlink="">
      <xdr:nvSpPr>
        <xdr:cNvPr id="1678" name="SCHEMA_T03_ATTRAV_17">
          <a:extLst>
            <a:ext uri="{FF2B5EF4-FFF2-40B4-BE49-F238E27FC236}">
              <a16:creationId xmlns:a16="http://schemas.microsoft.com/office/drawing/2014/main" id="{44CF6DF6-3BC2-E93A-EFE4-BCE1F14D4FC1}"/>
            </a:ext>
          </a:extLst>
        </xdr:cNvPr>
        <xdr:cNvSpPr/>
      </xdr:nvSpPr>
      <xdr:spPr>
        <a:xfrm>
          <a:off x="12636500" y="7035800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34</xdr:col>
      <xdr:colOff>298904</xdr:colOff>
      <xdr:row>15</xdr:row>
      <xdr:rowOff>16953</xdr:rowOff>
    </xdr:from>
    <xdr:to>
      <xdr:col>35</xdr:col>
      <xdr:colOff>185511</xdr:colOff>
      <xdr:row>15</xdr:row>
      <xdr:rowOff>147304</xdr:rowOff>
    </xdr:to>
    <xdr:cxnSp macro="">
      <xdr:nvCxnSpPr>
        <xdr:cNvPr id="1679" name="SCHEMA_T03_COND_0256">
          <a:extLst>
            <a:ext uri="{FF2B5EF4-FFF2-40B4-BE49-F238E27FC236}">
              <a16:creationId xmlns:a16="http://schemas.microsoft.com/office/drawing/2014/main" id="{7B053DF1-1BF6-1E59-4764-9A7BE56E4739}"/>
            </a:ext>
          </a:extLst>
        </xdr:cNvPr>
        <xdr:cNvCxnSpPr/>
      </xdr:nvCxnSpPr>
      <xdr:spPr>
        <a:xfrm>
          <a:off x="13007975" y="4561739"/>
          <a:ext cx="222250" cy="130351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185511</xdr:colOff>
      <xdr:row>15</xdr:row>
      <xdr:rowOff>147304</xdr:rowOff>
    </xdr:from>
    <xdr:to>
      <xdr:col>36</xdr:col>
      <xdr:colOff>72118</xdr:colOff>
      <xdr:row>15</xdr:row>
      <xdr:rowOff>192990</xdr:rowOff>
    </xdr:to>
    <xdr:cxnSp macro="">
      <xdr:nvCxnSpPr>
        <xdr:cNvPr id="1680" name="SCHEMA_T03_COND_0257">
          <a:extLst>
            <a:ext uri="{FF2B5EF4-FFF2-40B4-BE49-F238E27FC236}">
              <a16:creationId xmlns:a16="http://schemas.microsoft.com/office/drawing/2014/main" id="{5782A3E9-3EEF-7B92-22A6-5ED52B66F90D}"/>
            </a:ext>
          </a:extLst>
        </xdr:cNvPr>
        <xdr:cNvCxnSpPr/>
      </xdr:nvCxnSpPr>
      <xdr:spPr>
        <a:xfrm>
          <a:off x="13230225" y="4692090"/>
          <a:ext cx="222250" cy="45686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72118</xdr:colOff>
      <xdr:row>15</xdr:row>
      <xdr:rowOff>154008</xdr:rowOff>
    </xdr:from>
    <xdr:to>
      <xdr:col>36</xdr:col>
      <xdr:colOff>294368</xdr:colOff>
      <xdr:row>15</xdr:row>
      <xdr:rowOff>192990</xdr:rowOff>
    </xdr:to>
    <xdr:cxnSp macro="">
      <xdr:nvCxnSpPr>
        <xdr:cNvPr id="1681" name="SCHEMA_T03_COND_0258">
          <a:extLst>
            <a:ext uri="{FF2B5EF4-FFF2-40B4-BE49-F238E27FC236}">
              <a16:creationId xmlns:a16="http://schemas.microsoft.com/office/drawing/2014/main" id="{254A84BF-95A9-AAA9-AA3D-892CB6AEAF2D}"/>
            </a:ext>
          </a:extLst>
        </xdr:cNvPr>
        <xdr:cNvCxnSpPr/>
      </xdr:nvCxnSpPr>
      <xdr:spPr>
        <a:xfrm flipV="1">
          <a:off x="13452475" y="4698794"/>
          <a:ext cx="222250" cy="38982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298904</xdr:colOff>
      <xdr:row>15</xdr:row>
      <xdr:rowOff>182053</xdr:rowOff>
    </xdr:from>
    <xdr:to>
      <xdr:col>35</xdr:col>
      <xdr:colOff>185511</xdr:colOff>
      <xdr:row>16</xdr:row>
      <xdr:rowOff>67476</xdr:rowOff>
    </xdr:to>
    <xdr:cxnSp macro="">
      <xdr:nvCxnSpPr>
        <xdr:cNvPr id="1682" name="SCHEMA_T03_COND_0259">
          <a:extLst>
            <a:ext uri="{FF2B5EF4-FFF2-40B4-BE49-F238E27FC236}">
              <a16:creationId xmlns:a16="http://schemas.microsoft.com/office/drawing/2014/main" id="{294782A7-A587-63C2-5635-C5734FE21A77}"/>
            </a:ext>
          </a:extLst>
        </xdr:cNvPr>
        <xdr:cNvCxnSpPr/>
      </xdr:nvCxnSpPr>
      <xdr:spPr>
        <a:xfrm>
          <a:off x="13007975" y="4726839"/>
          <a:ext cx="222250" cy="13035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185511</xdr:colOff>
      <xdr:row>16</xdr:row>
      <xdr:rowOff>67476</xdr:rowOff>
    </xdr:from>
    <xdr:to>
      <xdr:col>36</xdr:col>
      <xdr:colOff>72118</xdr:colOff>
      <xdr:row>16</xdr:row>
      <xdr:rowOff>113162</xdr:rowOff>
    </xdr:to>
    <xdr:cxnSp macro="">
      <xdr:nvCxnSpPr>
        <xdr:cNvPr id="1683" name="SCHEMA_T03_COND_0260">
          <a:extLst>
            <a:ext uri="{FF2B5EF4-FFF2-40B4-BE49-F238E27FC236}">
              <a16:creationId xmlns:a16="http://schemas.microsoft.com/office/drawing/2014/main" id="{3E1552C4-17AE-5751-1B5A-DAD2A7DA9623}"/>
            </a:ext>
          </a:extLst>
        </xdr:cNvPr>
        <xdr:cNvCxnSpPr/>
      </xdr:nvCxnSpPr>
      <xdr:spPr>
        <a:xfrm>
          <a:off x="13230225" y="4857190"/>
          <a:ext cx="222250" cy="4568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72118</xdr:colOff>
      <xdr:row>16</xdr:row>
      <xdr:rowOff>74180</xdr:rowOff>
    </xdr:from>
    <xdr:to>
      <xdr:col>36</xdr:col>
      <xdr:colOff>294368</xdr:colOff>
      <xdr:row>16</xdr:row>
      <xdr:rowOff>113162</xdr:rowOff>
    </xdr:to>
    <xdr:cxnSp macro="">
      <xdr:nvCxnSpPr>
        <xdr:cNvPr id="1684" name="SCHEMA_T03_COND_0261">
          <a:extLst>
            <a:ext uri="{FF2B5EF4-FFF2-40B4-BE49-F238E27FC236}">
              <a16:creationId xmlns:a16="http://schemas.microsoft.com/office/drawing/2014/main" id="{3ACA4323-3281-6045-31F8-64BDB7403D97}"/>
            </a:ext>
          </a:extLst>
        </xdr:cNvPr>
        <xdr:cNvCxnSpPr/>
      </xdr:nvCxnSpPr>
      <xdr:spPr>
        <a:xfrm flipV="1">
          <a:off x="13452475" y="4863894"/>
          <a:ext cx="222250" cy="3898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298904</xdr:colOff>
      <xdr:row>16</xdr:row>
      <xdr:rowOff>38725</xdr:rowOff>
    </xdr:from>
    <xdr:to>
      <xdr:col>35</xdr:col>
      <xdr:colOff>185511</xdr:colOff>
      <xdr:row>16</xdr:row>
      <xdr:rowOff>169076</xdr:rowOff>
    </xdr:to>
    <xdr:cxnSp macro="">
      <xdr:nvCxnSpPr>
        <xdr:cNvPr id="1685" name="SCHEMA_T03_COND_0262">
          <a:extLst>
            <a:ext uri="{FF2B5EF4-FFF2-40B4-BE49-F238E27FC236}">
              <a16:creationId xmlns:a16="http://schemas.microsoft.com/office/drawing/2014/main" id="{AE0E929C-840A-695A-17F4-8D20FF43E97A}"/>
            </a:ext>
          </a:extLst>
        </xdr:cNvPr>
        <xdr:cNvCxnSpPr/>
      </xdr:nvCxnSpPr>
      <xdr:spPr>
        <a:xfrm>
          <a:off x="13007975" y="4828439"/>
          <a:ext cx="222250" cy="13035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185511</xdr:colOff>
      <xdr:row>16</xdr:row>
      <xdr:rowOff>169076</xdr:rowOff>
    </xdr:from>
    <xdr:to>
      <xdr:col>36</xdr:col>
      <xdr:colOff>72118</xdr:colOff>
      <xdr:row>16</xdr:row>
      <xdr:rowOff>214762</xdr:rowOff>
    </xdr:to>
    <xdr:cxnSp macro="">
      <xdr:nvCxnSpPr>
        <xdr:cNvPr id="1686" name="SCHEMA_T03_COND_0263">
          <a:extLst>
            <a:ext uri="{FF2B5EF4-FFF2-40B4-BE49-F238E27FC236}">
              <a16:creationId xmlns:a16="http://schemas.microsoft.com/office/drawing/2014/main" id="{E06D8355-7B1D-365F-826B-C969BD365ACE}"/>
            </a:ext>
          </a:extLst>
        </xdr:cNvPr>
        <xdr:cNvCxnSpPr/>
      </xdr:nvCxnSpPr>
      <xdr:spPr>
        <a:xfrm>
          <a:off x="13230225" y="4958790"/>
          <a:ext cx="222250" cy="4568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72118</xdr:colOff>
      <xdr:row>16</xdr:row>
      <xdr:rowOff>175780</xdr:rowOff>
    </xdr:from>
    <xdr:to>
      <xdr:col>36</xdr:col>
      <xdr:colOff>294368</xdr:colOff>
      <xdr:row>16</xdr:row>
      <xdr:rowOff>214762</xdr:rowOff>
    </xdr:to>
    <xdr:cxnSp macro="">
      <xdr:nvCxnSpPr>
        <xdr:cNvPr id="1687" name="SCHEMA_T03_COND_0264">
          <a:extLst>
            <a:ext uri="{FF2B5EF4-FFF2-40B4-BE49-F238E27FC236}">
              <a16:creationId xmlns:a16="http://schemas.microsoft.com/office/drawing/2014/main" id="{819C0FE8-990D-9ABA-FB3E-DD4F874F24E6}"/>
            </a:ext>
          </a:extLst>
        </xdr:cNvPr>
        <xdr:cNvCxnSpPr/>
      </xdr:nvCxnSpPr>
      <xdr:spPr>
        <a:xfrm flipV="1">
          <a:off x="13452475" y="4965494"/>
          <a:ext cx="222250" cy="3898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298904</xdr:colOff>
      <xdr:row>16</xdr:row>
      <xdr:rowOff>191125</xdr:rowOff>
    </xdr:from>
    <xdr:to>
      <xdr:col>35</xdr:col>
      <xdr:colOff>185511</xdr:colOff>
      <xdr:row>17</xdr:row>
      <xdr:rowOff>76547</xdr:rowOff>
    </xdr:to>
    <xdr:cxnSp macro="">
      <xdr:nvCxnSpPr>
        <xdr:cNvPr id="1688" name="SCHEMA_T03_COND_0265">
          <a:extLst>
            <a:ext uri="{FF2B5EF4-FFF2-40B4-BE49-F238E27FC236}">
              <a16:creationId xmlns:a16="http://schemas.microsoft.com/office/drawing/2014/main" id="{4C7A46C2-3476-B714-8789-C5FC785C70EC}"/>
            </a:ext>
          </a:extLst>
        </xdr:cNvPr>
        <xdr:cNvCxnSpPr/>
      </xdr:nvCxnSpPr>
      <xdr:spPr>
        <a:xfrm>
          <a:off x="13007975" y="4980839"/>
          <a:ext cx="222250" cy="13035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185511</xdr:colOff>
      <xdr:row>17</xdr:row>
      <xdr:rowOff>76547</xdr:rowOff>
    </xdr:from>
    <xdr:to>
      <xdr:col>36</xdr:col>
      <xdr:colOff>72118</xdr:colOff>
      <xdr:row>17</xdr:row>
      <xdr:rowOff>122233</xdr:rowOff>
    </xdr:to>
    <xdr:cxnSp macro="">
      <xdr:nvCxnSpPr>
        <xdr:cNvPr id="1689" name="SCHEMA_T03_COND_0266">
          <a:extLst>
            <a:ext uri="{FF2B5EF4-FFF2-40B4-BE49-F238E27FC236}">
              <a16:creationId xmlns:a16="http://schemas.microsoft.com/office/drawing/2014/main" id="{88D5AEE9-9B47-CACF-17C5-01D676CE2728}"/>
            </a:ext>
          </a:extLst>
        </xdr:cNvPr>
        <xdr:cNvCxnSpPr/>
      </xdr:nvCxnSpPr>
      <xdr:spPr>
        <a:xfrm>
          <a:off x="13230225" y="5111190"/>
          <a:ext cx="222250" cy="4568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72118</xdr:colOff>
      <xdr:row>17</xdr:row>
      <xdr:rowOff>83251</xdr:rowOff>
    </xdr:from>
    <xdr:to>
      <xdr:col>36</xdr:col>
      <xdr:colOff>294368</xdr:colOff>
      <xdr:row>17</xdr:row>
      <xdr:rowOff>122233</xdr:rowOff>
    </xdr:to>
    <xdr:cxnSp macro="">
      <xdr:nvCxnSpPr>
        <xdr:cNvPr id="1690" name="SCHEMA_T03_COND_0267">
          <a:extLst>
            <a:ext uri="{FF2B5EF4-FFF2-40B4-BE49-F238E27FC236}">
              <a16:creationId xmlns:a16="http://schemas.microsoft.com/office/drawing/2014/main" id="{BCD1C978-C7E2-14F6-8B4C-1BD9C2872F7C}"/>
            </a:ext>
          </a:extLst>
        </xdr:cNvPr>
        <xdr:cNvCxnSpPr/>
      </xdr:nvCxnSpPr>
      <xdr:spPr>
        <a:xfrm flipV="1">
          <a:off x="13452475" y="5117894"/>
          <a:ext cx="222250" cy="3898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298904</xdr:colOff>
      <xdr:row>17</xdr:row>
      <xdr:rowOff>47796</xdr:rowOff>
    </xdr:from>
    <xdr:to>
      <xdr:col>35</xdr:col>
      <xdr:colOff>185511</xdr:colOff>
      <xdr:row>17</xdr:row>
      <xdr:rowOff>178147</xdr:rowOff>
    </xdr:to>
    <xdr:cxnSp macro="">
      <xdr:nvCxnSpPr>
        <xdr:cNvPr id="1691" name="SCHEMA_T03_COND_0268">
          <a:extLst>
            <a:ext uri="{FF2B5EF4-FFF2-40B4-BE49-F238E27FC236}">
              <a16:creationId xmlns:a16="http://schemas.microsoft.com/office/drawing/2014/main" id="{4D32DCE7-0172-5F64-8A9E-5FA75ED0410F}"/>
            </a:ext>
          </a:extLst>
        </xdr:cNvPr>
        <xdr:cNvCxnSpPr/>
      </xdr:nvCxnSpPr>
      <xdr:spPr>
        <a:xfrm>
          <a:off x="13007975" y="5082439"/>
          <a:ext cx="222250" cy="13035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185511</xdr:colOff>
      <xdr:row>17</xdr:row>
      <xdr:rowOff>178147</xdr:rowOff>
    </xdr:from>
    <xdr:to>
      <xdr:col>36</xdr:col>
      <xdr:colOff>72118</xdr:colOff>
      <xdr:row>17</xdr:row>
      <xdr:rowOff>223833</xdr:rowOff>
    </xdr:to>
    <xdr:cxnSp macro="">
      <xdr:nvCxnSpPr>
        <xdr:cNvPr id="1692" name="SCHEMA_T03_COND_0269">
          <a:extLst>
            <a:ext uri="{FF2B5EF4-FFF2-40B4-BE49-F238E27FC236}">
              <a16:creationId xmlns:a16="http://schemas.microsoft.com/office/drawing/2014/main" id="{25BDDDA3-0392-BA1C-D96F-5F01FA5D3330}"/>
            </a:ext>
          </a:extLst>
        </xdr:cNvPr>
        <xdr:cNvCxnSpPr/>
      </xdr:nvCxnSpPr>
      <xdr:spPr>
        <a:xfrm>
          <a:off x="13230225" y="5212790"/>
          <a:ext cx="222250" cy="4568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72118</xdr:colOff>
      <xdr:row>17</xdr:row>
      <xdr:rowOff>184851</xdr:rowOff>
    </xdr:from>
    <xdr:to>
      <xdr:col>36</xdr:col>
      <xdr:colOff>294368</xdr:colOff>
      <xdr:row>17</xdr:row>
      <xdr:rowOff>223833</xdr:rowOff>
    </xdr:to>
    <xdr:cxnSp macro="">
      <xdr:nvCxnSpPr>
        <xdr:cNvPr id="1693" name="SCHEMA_T03_COND_0270">
          <a:extLst>
            <a:ext uri="{FF2B5EF4-FFF2-40B4-BE49-F238E27FC236}">
              <a16:creationId xmlns:a16="http://schemas.microsoft.com/office/drawing/2014/main" id="{CA0E1DFB-E5E9-911D-5564-E3F2B4D06A37}"/>
            </a:ext>
          </a:extLst>
        </xdr:cNvPr>
        <xdr:cNvCxnSpPr/>
      </xdr:nvCxnSpPr>
      <xdr:spPr>
        <a:xfrm flipV="1">
          <a:off x="13452475" y="5219494"/>
          <a:ext cx="222250" cy="3898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258536</xdr:colOff>
      <xdr:row>25</xdr:row>
      <xdr:rowOff>41729</xdr:rowOff>
    </xdr:from>
    <xdr:to>
      <xdr:col>35</xdr:col>
      <xdr:colOff>334736</xdr:colOff>
      <xdr:row>25</xdr:row>
      <xdr:rowOff>117929</xdr:rowOff>
    </xdr:to>
    <xdr:sp macro="" textlink="">
      <xdr:nvSpPr>
        <xdr:cNvPr id="1694" name="SCHEMA_T03_ATTRAV_18">
          <a:extLst>
            <a:ext uri="{FF2B5EF4-FFF2-40B4-BE49-F238E27FC236}">
              <a16:creationId xmlns:a16="http://schemas.microsoft.com/office/drawing/2014/main" id="{03B37613-6A21-0FD2-51A8-98976F0DE172}"/>
            </a:ext>
          </a:extLst>
        </xdr:cNvPr>
        <xdr:cNvSpPr/>
      </xdr:nvSpPr>
      <xdr:spPr>
        <a:xfrm>
          <a:off x="13303250" y="7035800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1266825</xdr:colOff>
      <xdr:row>24</xdr:row>
      <xdr:rowOff>146957</xdr:rowOff>
    </xdr:from>
    <xdr:to>
      <xdr:col>0</xdr:col>
      <xdr:colOff>1520825</xdr:colOff>
      <xdr:row>25</xdr:row>
      <xdr:rowOff>29029</xdr:rowOff>
    </xdr:to>
    <xdr:sp macro="" textlink="">
      <xdr:nvSpPr>
        <xdr:cNvPr id="1695" name="SCHEMA_T03_FRENO_CORPO">
          <a:extLst>
            <a:ext uri="{FF2B5EF4-FFF2-40B4-BE49-F238E27FC236}">
              <a16:creationId xmlns:a16="http://schemas.microsoft.com/office/drawing/2014/main" id="{7ABE469B-4EBB-737E-A182-A2CB5D34106B}"/>
            </a:ext>
          </a:extLst>
        </xdr:cNvPr>
        <xdr:cNvSpPr/>
      </xdr:nvSpPr>
      <xdr:spPr>
        <a:xfrm>
          <a:off x="1266825" y="6896100"/>
          <a:ext cx="254000" cy="127000"/>
        </a:xfrm>
        <a:prstGeom prst="rect">
          <a:avLst/>
        </a:prstGeom>
        <a:solidFill>
          <a:srgbClr val="003F87">
            <a:alpha val="90000"/>
          </a:srgbClr>
        </a:solidFill>
        <a:ln w="17780">
          <a:solidFill>
            <a:srgbClr val="003F8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1279525</xdr:colOff>
      <xdr:row>25</xdr:row>
      <xdr:rowOff>3629</xdr:rowOff>
    </xdr:from>
    <xdr:to>
      <xdr:col>0</xdr:col>
      <xdr:colOff>1355725</xdr:colOff>
      <xdr:row>25</xdr:row>
      <xdr:rowOff>79829</xdr:rowOff>
    </xdr:to>
    <xdr:sp macro="" textlink="">
      <xdr:nvSpPr>
        <xdr:cNvPr id="1696" name="SCHEMA_T03_FRENO_RUOTA_1">
          <a:extLst>
            <a:ext uri="{FF2B5EF4-FFF2-40B4-BE49-F238E27FC236}">
              <a16:creationId xmlns:a16="http://schemas.microsoft.com/office/drawing/2014/main" id="{51CC872E-A552-9A99-2408-AABC014A2483}"/>
            </a:ext>
          </a:extLst>
        </xdr:cNvPr>
        <xdr:cNvSpPr/>
      </xdr:nvSpPr>
      <xdr:spPr>
        <a:xfrm>
          <a:off x="1279525" y="6997700"/>
          <a:ext cx="76200" cy="76200"/>
        </a:xfrm>
        <a:prstGeom prst="ellipse">
          <a:avLst/>
        </a:prstGeom>
        <a:solidFill>
          <a:srgbClr val="FFFFFF"/>
        </a:solidFill>
        <a:ln w="15240">
          <a:solidFill>
            <a:srgbClr val="003F8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1431925</xdr:colOff>
      <xdr:row>25</xdr:row>
      <xdr:rowOff>3629</xdr:rowOff>
    </xdr:from>
    <xdr:to>
      <xdr:col>0</xdr:col>
      <xdr:colOff>1508125</xdr:colOff>
      <xdr:row>25</xdr:row>
      <xdr:rowOff>79829</xdr:rowOff>
    </xdr:to>
    <xdr:sp macro="" textlink="">
      <xdr:nvSpPr>
        <xdr:cNvPr id="1697" name="SCHEMA_T03_FRENO_RUOTA_2">
          <a:extLst>
            <a:ext uri="{FF2B5EF4-FFF2-40B4-BE49-F238E27FC236}">
              <a16:creationId xmlns:a16="http://schemas.microsoft.com/office/drawing/2014/main" id="{81642A9F-9DAA-20EB-B55D-5B63A261D038}"/>
            </a:ext>
          </a:extLst>
        </xdr:cNvPr>
        <xdr:cNvSpPr/>
      </xdr:nvSpPr>
      <xdr:spPr>
        <a:xfrm>
          <a:off x="1431925" y="6997700"/>
          <a:ext cx="76200" cy="76200"/>
        </a:xfrm>
        <a:prstGeom prst="ellipse">
          <a:avLst/>
        </a:prstGeom>
        <a:solidFill>
          <a:srgbClr val="FFFFFF"/>
        </a:solidFill>
        <a:ln w="15240">
          <a:solidFill>
            <a:srgbClr val="003F8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1520825</xdr:colOff>
      <xdr:row>24</xdr:row>
      <xdr:rowOff>210457</xdr:rowOff>
    </xdr:from>
    <xdr:to>
      <xdr:col>1</xdr:col>
      <xdr:colOff>40368</xdr:colOff>
      <xdr:row>25</xdr:row>
      <xdr:rowOff>67129</xdr:rowOff>
    </xdr:to>
    <xdr:cxnSp macro="">
      <xdr:nvCxnSpPr>
        <xdr:cNvPr id="1698" name="SCHEMA_T03_FRENO_COLLEGAMENTO">
          <a:extLst>
            <a:ext uri="{FF2B5EF4-FFF2-40B4-BE49-F238E27FC236}">
              <a16:creationId xmlns:a16="http://schemas.microsoft.com/office/drawing/2014/main" id="{136EF0AB-A148-A88C-134F-CC983180E491}"/>
            </a:ext>
          </a:extLst>
        </xdr:cNvPr>
        <xdr:cNvCxnSpPr/>
      </xdr:nvCxnSpPr>
      <xdr:spPr>
        <a:xfrm flipH="1" flipV="1">
          <a:off x="1520825" y="6959600"/>
          <a:ext cx="152400" cy="101600"/>
        </a:xfrm>
        <a:prstGeom prst="line">
          <a:avLst/>
        </a:prstGeom>
        <a:ln w="15240">
          <a:solidFill>
            <a:srgbClr val="003F87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1076325</xdr:colOff>
      <xdr:row>23</xdr:row>
      <xdr:rowOff>226786</xdr:rowOff>
    </xdr:from>
    <xdr:to>
      <xdr:col>1</xdr:col>
      <xdr:colOff>78468</xdr:colOff>
      <xdr:row>24</xdr:row>
      <xdr:rowOff>121557</xdr:rowOff>
    </xdr:to>
    <xdr:sp macro="" textlink="">
      <xdr:nvSpPr>
        <xdr:cNvPr id="1699" name="SCHEMA_T03_FRENO_LBL">
          <a:extLst>
            <a:ext uri="{FF2B5EF4-FFF2-40B4-BE49-F238E27FC236}">
              <a16:creationId xmlns:a16="http://schemas.microsoft.com/office/drawing/2014/main" id="{E39E5E19-7980-723E-882D-0F4265614D7D}"/>
            </a:ext>
          </a:extLst>
        </xdr:cNvPr>
        <xdr:cNvSpPr txBox="1"/>
      </xdr:nvSpPr>
      <xdr:spPr>
        <a:xfrm>
          <a:off x="1076325" y="6731000"/>
          <a:ext cx="635000" cy="139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s-ES" sz="650" b="1">
              <a:solidFill>
                <a:srgbClr val="003F87"/>
              </a:solidFill>
            </a:rPr>
            <a:t>FRENO</a:t>
          </a:r>
        </a:p>
      </xdr:txBody>
    </xdr:sp>
    <xdr:clientData/>
  </xdr:twoCellAnchor>
  <xdr:twoCellAnchor>
    <xdr:from>
      <xdr:col>37</xdr:col>
      <xdr:colOff>111125</xdr:colOff>
      <xdr:row>24</xdr:row>
      <xdr:rowOff>146957</xdr:rowOff>
    </xdr:from>
    <xdr:to>
      <xdr:col>38</xdr:col>
      <xdr:colOff>29482</xdr:colOff>
      <xdr:row>25</xdr:row>
      <xdr:rowOff>29029</xdr:rowOff>
    </xdr:to>
    <xdr:sp macro="" textlink="">
      <xdr:nvSpPr>
        <xdr:cNvPr id="1700" name="SCHEMA_T03_ARGANO_CORPO">
          <a:extLst>
            <a:ext uri="{FF2B5EF4-FFF2-40B4-BE49-F238E27FC236}">
              <a16:creationId xmlns:a16="http://schemas.microsoft.com/office/drawing/2014/main" id="{8337C1A8-D642-D67F-A00B-F7FBABBB469B}"/>
            </a:ext>
          </a:extLst>
        </xdr:cNvPr>
        <xdr:cNvSpPr/>
      </xdr:nvSpPr>
      <xdr:spPr>
        <a:xfrm>
          <a:off x="13827125" y="6896100"/>
          <a:ext cx="254000" cy="127000"/>
        </a:xfrm>
        <a:prstGeom prst="rect">
          <a:avLst/>
        </a:prstGeom>
        <a:solidFill>
          <a:srgbClr val="F47C00">
            <a:alpha val="90000"/>
          </a:srgbClr>
        </a:solidFill>
        <a:ln w="17780"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37</xdr:col>
      <xdr:colOff>123825</xdr:colOff>
      <xdr:row>25</xdr:row>
      <xdr:rowOff>3629</xdr:rowOff>
    </xdr:from>
    <xdr:to>
      <xdr:col>37</xdr:col>
      <xdr:colOff>200025</xdr:colOff>
      <xdr:row>25</xdr:row>
      <xdr:rowOff>79829</xdr:rowOff>
    </xdr:to>
    <xdr:sp macro="" textlink="">
      <xdr:nvSpPr>
        <xdr:cNvPr id="1701" name="SCHEMA_T03_ARGANO_RUOTA_1">
          <a:extLst>
            <a:ext uri="{FF2B5EF4-FFF2-40B4-BE49-F238E27FC236}">
              <a16:creationId xmlns:a16="http://schemas.microsoft.com/office/drawing/2014/main" id="{68CD52D0-3788-A323-588E-B323829641E3}"/>
            </a:ext>
          </a:extLst>
        </xdr:cNvPr>
        <xdr:cNvSpPr/>
      </xdr:nvSpPr>
      <xdr:spPr>
        <a:xfrm>
          <a:off x="13839825" y="6997700"/>
          <a:ext cx="76200" cy="76200"/>
        </a:xfrm>
        <a:prstGeom prst="ellipse">
          <a:avLst/>
        </a:prstGeom>
        <a:solidFill>
          <a:srgbClr val="FFFFFF"/>
        </a:solidFill>
        <a:ln w="15240"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37</xdr:col>
      <xdr:colOff>276225</xdr:colOff>
      <xdr:row>25</xdr:row>
      <xdr:rowOff>3629</xdr:rowOff>
    </xdr:from>
    <xdr:to>
      <xdr:col>38</xdr:col>
      <xdr:colOff>16782</xdr:colOff>
      <xdr:row>25</xdr:row>
      <xdr:rowOff>79829</xdr:rowOff>
    </xdr:to>
    <xdr:sp macro="" textlink="">
      <xdr:nvSpPr>
        <xdr:cNvPr id="1702" name="SCHEMA_T03_ARGANO_RUOTA_2">
          <a:extLst>
            <a:ext uri="{FF2B5EF4-FFF2-40B4-BE49-F238E27FC236}">
              <a16:creationId xmlns:a16="http://schemas.microsoft.com/office/drawing/2014/main" id="{67957F84-158F-43DD-7230-01ACFC1BADAC}"/>
            </a:ext>
          </a:extLst>
        </xdr:cNvPr>
        <xdr:cNvSpPr/>
      </xdr:nvSpPr>
      <xdr:spPr>
        <a:xfrm>
          <a:off x="13992225" y="6997700"/>
          <a:ext cx="76200" cy="76200"/>
        </a:xfrm>
        <a:prstGeom prst="ellipse">
          <a:avLst/>
        </a:prstGeom>
        <a:solidFill>
          <a:srgbClr val="FFFFFF"/>
        </a:solidFill>
        <a:ln w="15240"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36</xdr:col>
      <xdr:colOff>294368</xdr:colOff>
      <xdr:row>24</xdr:row>
      <xdr:rowOff>210457</xdr:rowOff>
    </xdr:from>
    <xdr:to>
      <xdr:col>37</xdr:col>
      <xdr:colOff>111125</xdr:colOff>
      <xdr:row>25</xdr:row>
      <xdr:rowOff>67129</xdr:rowOff>
    </xdr:to>
    <xdr:cxnSp macro="">
      <xdr:nvCxnSpPr>
        <xdr:cNvPr id="1703" name="SCHEMA_T03_ARGANO_COLLEGAMENTO">
          <a:extLst>
            <a:ext uri="{FF2B5EF4-FFF2-40B4-BE49-F238E27FC236}">
              <a16:creationId xmlns:a16="http://schemas.microsoft.com/office/drawing/2014/main" id="{62CCFE35-4C09-B624-369E-3F7793B05E05}"/>
            </a:ext>
          </a:extLst>
        </xdr:cNvPr>
        <xdr:cNvCxnSpPr/>
      </xdr:nvCxnSpPr>
      <xdr:spPr>
        <a:xfrm flipV="1">
          <a:off x="13674725" y="6959600"/>
          <a:ext cx="152400" cy="101600"/>
        </a:xfrm>
        <a:prstGeom prst="line">
          <a:avLst/>
        </a:prstGeom>
        <a:ln w="15240">
          <a:solidFill>
            <a:srgbClr val="F47C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256268</xdr:colOff>
      <xdr:row>23</xdr:row>
      <xdr:rowOff>226786</xdr:rowOff>
    </xdr:from>
    <xdr:to>
      <xdr:col>38</xdr:col>
      <xdr:colOff>219982</xdr:colOff>
      <xdr:row>24</xdr:row>
      <xdr:rowOff>121557</xdr:rowOff>
    </xdr:to>
    <xdr:sp macro="" textlink="">
      <xdr:nvSpPr>
        <xdr:cNvPr id="1704" name="SCHEMA_T03_ARGANO_LBL">
          <a:extLst>
            <a:ext uri="{FF2B5EF4-FFF2-40B4-BE49-F238E27FC236}">
              <a16:creationId xmlns:a16="http://schemas.microsoft.com/office/drawing/2014/main" id="{A5606545-2ECA-93EB-B7A8-9146F434C451}"/>
            </a:ext>
          </a:extLst>
        </xdr:cNvPr>
        <xdr:cNvSpPr txBox="1"/>
      </xdr:nvSpPr>
      <xdr:spPr>
        <a:xfrm>
          <a:off x="13636625" y="6731000"/>
          <a:ext cx="635000" cy="139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s-ES" sz="650" b="1">
              <a:solidFill>
                <a:srgbClr val="F47C00"/>
              </a:solidFill>
            </a:rPr>
            <a:t>ARGANO</a:t>
          </a:r>
        </a:p>
      </xdr:txBody>
    </xdr:sp>
    <xdr:clientData/>
  </xdr:twoCellAnchor>
  <xdr:twoCellAnchor>
    <xdr:from>
      <xdr:col>1</xdr:col>
      <xdr:colOff>40368</xdr:colOff>
      <xdr:row>25</xdr:row>
      <xdr:rowOff>117929</xdr:rowOff>
    </xdr:from>
    <xdr:to>
      <xdr:col>1</xdr:col>
      <xdr:colOff>40368</xdr:colOff>
      <xdr:row>25</xdr:row>
      <xdr:rowOff>194129</xdr:rowOff>
    </xdr:to>
    <xdr:cxnSp macro="">
      <xdr:nvCxnSpPr>
        <xdr:cNvPr id="1705" name="SCHEMA_T03_TERRA_01_V">
          <a:extLst>
            <a:ext uri="{FF2B5EF4-FFF2-40B4-BE49-F238E27FC236}">
              <a16:creationId xmlns:a16="http://schemas.microsoft.com/office/drawing/2014/main" id="{51BB2F6C-D153-DEDB-5F78-A27EC6C21FA1}"/>
            </a:ext>
          </a:extLst>
        </xdr:cNvPr>
        <xdr:cNvCxnSpPr/>
      </xdr:nvCxnSpPr>
      <xdr:spPr>
        <a:xfrm>
          <a:off x="1673225" y="7112000"/>
          <a:ext cx="0" cy="7620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1609725</xdr:colOff>
      <xdr:row>25</xdr:row>
      <xdr:rowOff>194129</xdr:rowOff>
    </xdr:from>
    <xdr:to>
      <xdr:col>1</xdr:col>
      <xdr:colOff>103868</xdr:colOff>
      <xdr:row>25</xdr:row>
      <xdr:rowOff>194129</xdr:rowOff>
    </xdr:to>
    <xdr:cxnSp macro="">
      <xdr:nvCxnSpPr>
        <xdr:cNvPr id="1706" name="SCHEMA_T03_TERRA_01_1">
          <a:extLst>
            <a:ext uri="{FF2B5EF4-FFF2-40B4-BE49-F238E27FC236}">
              <a16:creationId xmlns:a16="http://schemas.microsoft.com/office/drawing/2014/main" id="{B8FC197E-24A6-94CB-64B8-275E55C1C6AC}"/>
            </a:ext>
          </a:extLst>
        </xdr:cNvPr>
        <xdr:cNvCxnSpPr/>
      </xdr:nvCxnSpPr>
      <xdr:spPr>
        <a:xfrm>
          <a:off x="1609725" y="7188200"/>
          <a:ext cx="1270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1628775</xdr:colOff>
      <xdr:row>25</xdr:row>
      <xdr:rowOff>222069</xdr:rowOff>
    </xdr:from>
    <xdr:to>
      <xdr:col>1</xdr:col>
      <xdr:colOff>84818</xdr:colOff>
      <xdr:row>25</xdr:row>
      <xdr:rowOff>222069</xdr:rowOff>
    </xdr:to>
    <xdr:cxnSp macro="">
      <xdr:nvCxnSpPr>
        <xdr:cNvPr id="1707" name="SCHEMA_T03_TERRA_01_2">
          <a:extLst>
            <a:ext uri="{FF2B5EF4-FFF2-40B4-BE49-F238E27FC236}">
              <a16:creationId xmlns:a16="http://schemas.microsoft.com/office/drawing/2014/main" id="{B9AB4EBD-6FDB-F9D0-EB93-799F77E8136F}"/>
            </a:ext>
          </a:extLst>
        </xdr:cNvPr>
        <xdr:cNvCxnSpPr/>
      </xdr:nvCxnSpPr>
      <xdr:spPr>
        <a:xfrm>
          <a:off x="1628775" y="7216140"/>
          <a:ext cx="889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14968</xdr:colOff>
      <xdr:row>26</xdr:row>
      <xdr:rowOff>5080</xdr:rowOff>
    </xdr:from>
    <xdr:to>
      <xdr:col>1</xdr:col>
      <xdr:colOff>65768</xdr:colOff>
      <xdr:row>26</xdr:row>
      <xdr:rowOff>5080</xdr:rowOff>
    </xdr:to>
    <xdr:cxnSp macro="">
      <xdr:nvCxnSpPr>
        <xdr:cNvPr id="1708" name="SCHEMA_T03_TERRA_01_3">
          <a:extLst>
            <a:ext uri="{FF2B5EF4-FFF2-40B4-BE49-F238E27FC236}">
              <a16:creationId xmlns:a16="http://schemas.microsoft.com/office/drawing/2014/main" id="{B3D834E6-C775-F876-94FF-05F988143408}"/>
            </a:ext>
          </a:extLst>
        </xdr:cNvPr>
        <xdr:cNvCxnSpPr/>
      </xdr:nvCxnSpPr>
      <xdr:spPr>
        <a:xfrm>
          <a:off x="1647825" y="7244080"/>
          <a:ext cx="508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22225</xdr:colOff>
      <xdr:row>25</xdr:row>
      <xdr:rowOff>117929</xdr:rowOff>
    </xdr:from>
    <xdr:to>
      <xdr:col>9</xdr:col>
      <xdr:colOff>22225</xdr:colOff>
      <xdr:row>25</xdr:row>
      <xdr:rowOff>194129</xdr:rowOff>
    </xdr:to>
    <xdr:cxnSp macro="">
      <xdr:nvCxnSpPr>
        <xdr:cNvPr id="1709" name="SCHEMA_T03_TERRA_05_V">
          <a:extLst>
            <a:ext uri="{FF2B5EF4-FFF2-40B4-BE49-F238E27FC236}">
              <a16:creationId xmlns:a16="http://schemas.microsoft.com/office/drawing/2014/main" id="{AC926758-8661-EB92-C532-C9762DF45D96}"/>
            </a:ext>
          </a:extLst>
        </xdr:cNvPr>
        <xdr:cNvCxnSpPr/>
      </xdr:nvCxnSpPr>
      <xdr:spPr>
        <a:xfrm>
          <a:off x="4340225" y="7112000"/>
          <a:ext cx="0" cy="7620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294368</xdr:colOff>
      <xdr:row>25</xdr:row>
      <xdr:rowOff>194129</xdr:rowOff>
    </xdr:from>
    <xdr:to>
      <xdr:col>9</xdr:col>
      <xdr:colOff>85725</xdr:colOff>
      <xdr:row>25</xdr:row>
      <xdr:rowOff>194129</xdr:rowOff>
    </xdr:to>
    <xdr:cxnSp macro="">
      <xdr:nvCxnSpPr>
        <xdr:cNvPr id="1710" name="SCHEMA_T03_TERRA_05_1">
          <a:extLst>
            <a:ext uri="{FF2B5EF4-FFF2-40B4-BE49-F238E27FC236}">
              <a16:creationId xmlns:a16="http://schemas.microsoft.com/office/drawing/2014/main" id="{B580DBA5-BAD8-95BB-28E1-DCB8A421FAD8}"/>
            </a:ext>
          </a:extLst>
        </xdr:cNvPr>
        <xdr:cNvCxnSpPr/>
      </xdr:nvCxnSpPr>
      <xdr:spPr>
        <a:xfrm>
          <a:off x="4276725" y="7188200"/>
          <a:ext cx="1270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313418</xdr:colOff>
      <xdr:row>25</xdr:row>
      <xdr:rowOff>222069</xdr:rowOff>
    </xdr:from>
    <xdr:to>
      <xdr:col>9</xdr:col>
      <xdr:colOff>66675</xdr:colOff>
      <xdr:row>25</xdr:row>
      <xdr:rowOff>222069</xdr:rowOff>
    </xdr:to>
    <xdr:cxnSp macro="">
      <xdr:nvCxnSpPr>
        <xdr:cNvPr id="1711" name="SCHEMA_T03_TERRA_05_2">
          <a:extLst>
            <a:ext uri="{FF2B5EF4-FFF2-40B4-BE49-F238E27FC236}">
              <a16:creationId xmlns:a16="http://schemas.microsoft.com/office/drawing/2014/main" id="{2DFB57AA-C65B-5CA4-666D-F1447E3F364F}"/>
            </a:ext>
          </a:extLst>
        </xdr:cNvPr>
        <xdr:cNvCxnSpPr/>
      </xdr:nvCxnSpPr>
      <xdr:spPr>
        <a:xfrm>
          <a:off x="4295775" y="7216140"/>
          <a:ext cx="889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332468</xdr:colOff>
      <xdr:row>26</xdr:row>
      <xdr:rowOff>5080</xdr:rowOff>
    </xdr:from>
    <xdr:to>
      <xdr:col>9</xdr:col>
      <xdr:colOff>47625</xdr:colOff>
      <xdr:row>26</xdr:row>
      <xdr:rowOff>5080</xdr:rowOff>
    </xdr:to>
    <xdr:cxnSp macro="">
      <xdr:nvCxnSpPr>
        <xdr:cNvPr id="1712" name="SCHEMA_T03_TERRA_05_3">
          <a:extLst>
            <a:ext uri="{FF2B5EF4-FFF2-40B4-BE49-F238E27FC236}">
              <a16:creationId xmlns:a16="http://schemas.microsoft.com/office/drawing/2014/main" id="{88228937-EA55-81E8-3798-0FBDF9AAABBD}"/>
            </a:ext>
          </a:extLst>
        </xdr:cNvPr>
        <xdr:cNvCxnSpPr/>
      </xdr:nvCxnSpPr>
      <xdr:spPr>
        <a:xfrm>
          <a:off x="4314825" y="7244080"/>
          <a:ext cx="508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4082</xdr:colOff>
      <xdr:row>25</xdr:row>
      <xdr:rowOff>117929</xdr:rowOff>
    </xdr:from>
    <xdr:to>
      <xdr:col>17</xdr:col>
      <xdr:colOff>4082</xdr:colOff>
      <xdr:row>25</xdr:row>
      <xdr:rowOff>194129</xdr:rowOff>
    </xdr:to>
    <xdr:cxnSp macro="">
      <xdr:nvCxnSpPr>
        <xdr:cNvPr id="1713" name="SCHEMA_T03_TERRA_09_V">
          <a:extLst>
            <a:ext uri="{FF2B5EF4-FFF2-40B4-BE49-F238E27FC236}">
              <a16:creationId xmlns:a16="http://schemas.microsoft.com/office/drawing/2014/main" id="{6589E922-C846-192B-4F98-052C37250750}"/>
            </a:ext>
          </a:extLst>
        </xdr:cNvPr>
        <xdr:cNvCxnSpPr/>
      </xdr:nvCxnSpPr>
      <xdr:spPr>
        <a:xfrm>
          <a:off x="7007225" y="7112000"/>
          <a:ext cx="0" cy="7620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276225</xdr:colOff>
      <xdr:row>25</xdr:row>
      <xdr:rowOff>194129</xdr:rowOff>
    </xdr:from>
    <xdr:to>
      <xdr:col>17</xdr:col>
      <xdr:colOff>67582</xdr:colOff>
      <xdr:row>25</xdr:row>
      <xdr:rowOff>194129</xdr:rowOff>
    </xdr:to>
    <xdr:cxnSp macro="">
      <xdr:nvCxnSpPr>
        <xdr:cNvPr id="1714" name="SCHEMA_T03_TERRA_09_1">
          <a:extLst>
            <a:ext uri="{FF2B5EF4-FFF2-40B4-BE49-F238E27FC236}">
              <a16:creationId xmlns:a16="http://schemas.microsoft.com/office/drawing/2014/main" id="{E3E8E948-2A6D-4065-1585-8E0BA59121F7}"/>
            </a:ext>
          </a:extLst>
        </xdr:cNvPr>
        <xdr:cNvCxnSpPr/>
      </xdr:nvCxnSpPr>
      <xdr:spPr>
        <a:xfrm>
          <a:off x="6943725" y="7188200"/>
          <a:ext cx="1270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295275</xdr:colOff>
      <xdr:row>25</xdr:row>
      <xdr:rowOff>222069</xdr:rowOff>
    </xdr:from>
    <xdr:to>
      <xdr:col>17</xdr:col>
      <xdr:colOff>48532</xdr:colOff>
      <xdr:row>25</xdr:row>
      <xdr:rowOff>222069</xdr:rowOff>
    </xdr:to>
    <xdr:cxnSp macro="">
      <xdr:nvCxnSpPr>
        <xdr:cNvPr id="1715" name="SCHEMA_T03_TERRA_09_2">
          <a:extLst>
            <a:ext uri="{FF2B5EF4-FFF2-40B4-BE49-F238E27FC236}">
              <a16:creationId xmlns:a16="http://schemas.microsoft.com/office/drawing/2014/main" id="{95500CD6-2D93-59AB-A596-F1F40BBE76A5}"/>
            </a:ext>
          </a:extLst>
        </xdr:cNvPr>
        <xdr:cNvCxnSpPr/>
      </xdr:nvCxnSpPr>
      <xdr:spPr>
        <a:xfrm>
          <a:off x="6962775" y="7216140"/>
          <a:ext cx="889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314325</xdr:colOff>
      <xdr:row>26</xdr:row>
      <xdr:rowOff>5080</xdr:rowOff>
    </xdr:from>
    <xdr:to>
      <xdr:col>17</xdr:col>
      <xdr:colOff>29482</xdr:colOff>
      <xdr:row>26</xdr:row>
      <xdr:rowOff>5080</xdr:rowOff>
    </xdr:to>
    <xdr:cxnSp macro="">
      <xdr:nvCxnSpPr>
        <xdr:cNvPr id="1716" name="SCHEMA_T03_TERRA_09_3">
          <a:extLst>
            <a:ext uri="{FF2B5EF4-FFF2-40B4-BE49-F238E27FC236}">
              <a16:creationId xmlns:a16="http://schemas.microsoft.com/office/drawing/2014/main" id="{AE9D713B-6B1A-D25D-5488-8A4932FC3A2C}"/>
            </a:ext>
          </a:extLst>
        </xdr:cNvPr>
        <xdr:cNvCxnSpPr/>
      </xdr:nvCxnSpPr>
      <xdr:spPr>
        <a:xfrm>
          <a:off x="6981825" y="7244080"/>
          <a:ext cx="508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321582</xdr:colOff>
      <xdr:row>25</xdr:row>
      <xdr:rowOff>117929</xdr:rowOff>
    </xdr:from>
    <xdr:to>
      <xdr:col>24</xdr:col>
      <xdr:colOff>321582</xdr:colOff>
      <xdr:row>25</xdr:row>
      <xdr:rowOff>194129</xdr:rowOff>
    </xdr:to>
    <xdr:cxnSp macro="">
      <xdr:nvCxnSpPr>
        <xdr:cNvPr id="1717" name="SCHEMA_T03_TERRA_13_V">
          <a:extLst>
            <a:ext uri="{FF2B5EF4-FFF2-40B4-BE49-F238E27FC236}">
              <a16:creationId xmlns:a16="http://schemas.microsoft.com/office/drawing/2014/main" id="{F9DCB902-87EF-27ED-ABDF-1E1D481DADEC}"/>
            </a:ext>
          </a:extLst>
        </xdr:cNvPr>
        <xdr:cNvCxnSpPr/>
      </xdr:nvCxnSpPr>
      <xdr:spPr>
        <a:xfrm>
          <a:off x="9674225" y="7112000"/>
          <a:ext cx="0" cy="7620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258082</xdr:colOff>
      <xdr:row>25</xdr:row>
      <xdr:rowOff>194129</xdr:rowOff>
    </xdr:from>
    <xdr:to>
      <xdr:col>25</xdr:col>
      <xdr:colOff>49439</xdr:colOff>
      <xdr:row>25</xdr:row>
      <xdr:rowOff>194129</xdr:rowOff>
    </xdr:to>
    <xdr:cxnSp macro="">
      <xdr:nvCxnSpPr>
        <xdr:cNvPr id="1718" name="SCHEMA_T03_TERRA_13_1">
          <a:extLst>
            <a:ext uri="{FF2B5EF4-FFF2-40B4-BE49-F238E27FC236}">
              <a16:creationId xmlns:a16="http://schemas.microsoft.com/office/drawing/2014/main" id="{2E9AA8C7-FEFD-7DF6-74BA-3A3429AB3050}"/>
            </a:ext>
          </a:extLst>
        </xdr:cNvPr>
        <xdr:cNvCxnSpPr/>
      </xdr:nvCxnSpPr>
      <xdr:spPr>
        <a:xfrm>
          <a:off x="9610725" y="7188200"/>
          <a:ext cx="1270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277132</xdr:colOff>
      <xdr:row>25</xdr:row>
      <xdr:rowOff>222069</xdr:rowOff>
    </xdr:from>
    <xdr:to>
      <xdr:col>25</xdr:col>
      <xdr:colOff>30389</xdr:colOff>
      <xdr:row>25</xdr:row>
      <xdr:rowOff>222069</xdr:rowOff>
    </xdr:to>
    <xdr:cxnSp macro="">
      <xdr:nvCxnSpPr>
        <xdr:cNvPr id="1719" name="SCHEMA_T03_TERRA_13_2">
          <a:extLst>
            <a:ext uri="{FF2B5EF4-FFF2-40B4-BE49-F238E27FC236}">
              <a16:creationId xmlns:a16="http://schemas.microsoft.com/office/drawing/2014/main" id="{19F981F0-2B6E-0DD8-BD11-FEDE17000F17}"/>
            </a:ext>
          </a:extLst>
        </xdr:cNvPr>
        <xdr:cNvCxnSpPr/>
      </xdr:nvCxnSpPr>
      <xdr:spPr>
        <a:xfrm>
          <a:off x="9629775" y="7216140"/>
          <a:ext cx="889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296182</xdr:colOff>
      <xdr:row>26</xdr:row>
      <xdr:rowOff>5080</xdr:rowOff>
    </xdr:from>
    <xdr:to>
      <xdr:col>25</xdr:col>
      <xdr:colOff>11339</xdr:colOff>
      <xdr:row>26</xdr:row>
      <xdr:rowOff>5080</xdr:rowOff>
    </xdr:to>
    <xdr:cxnSp macro="">
      <xdr:nvCxnSpPr>
        <xdr:cNvPr id="1720" name="SCHEMA_T03_TERRA_13_3">
          <a:extLst>
            <a:ext uri="{FF2B5EF4-FFF2-40B4-BE49-F238E27FC236}">
              <a16:creationId xmlns:a16="http://schemas.microsoft.com/office/drawing/2014/main" id="{E7DB8944-530E-9E6B-B236-CD265996650E}"/>
            </a:ext>
          </a:extLst>
        </xdr:cNvPr>
        <xdr:cNvCxnSpPr/>
      </xdr:nvCxnSpPr>
      <xdr:spPr>
        <a:xfrm>
          <a:off x="9648825" y="7244080"/>
          <a:ext cx="508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303439</xdr:colOff>
      <xdr:row>25</xdr:row>
      <xdr:rowOff>117929</xdr:rowOff>
    </xdr:from>
    <xdr:to>
      <xdr:col>32</xdr:col>
      <xdr:colOff>303439</xdr:colOff>
      <xdr:row>25</xdr:row>
      <xdr:rowOff>194129</xdr:rowOff>
    </xdr:to>
    <xdr:cxnSp macro="">
      <xdr:nvCxnSpPr>
        <xdr:cNvPr id="1721" name="SCHEMA_T03_TERRA_17_V">
          <a:extLst>
            <a:ext uri="{FF2B5EF4-FFF2-40B4-BE49-F238E27FC236}">
              <a16:creationId xmlns:a16="http://schemas.microsoft.com/office/drawing/2014/main" id="{6DE02F9F-4CBB-B420-5303-A0F206FD909B}"/>
            </a:ext>
          </a:extLst>
        </xdr:cNvPr>
        <xdr:cNvCxnSpPr/>
      </xdr:nvCxnSpPr>
      <xdr:spPr>
        <a:xfrm>
          <a:off x="12341225" y="7112000"/>
          <a:ext cx="0" cy="7620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239939</xdr:colOff>
      <xdr:row>25</xdr:row>
      <xdr:rowOff>194129</xdr:rowOff>
    </xdr:from>
    <xdr:to>
      <xdr:col>33</xdr:col>
      <xdr:colOff>31296</xdr:colOff>
      <xdr:row>25</xdr:row>
      <xdr:rowOff>194129</xdr:rowOff>
    </xdr:to>
    <xdr:cxnSp macro="">
      <xdr:nvCxnSpPr>
        <xdr:cNvPr id="1722" name="SCHEMA_T03_TERRA_17_1">
          <a:extLst>
            <a:ext uri="{FF2B5EF4-FFF2-40B4-BE49-F238E27FC236}">
              <a16:creationId xmlns:a16="http://schemas.microsoft.com/office/drawing/2014/main" id="{501793C4-C7A8-6175-A053-A4BA26FC4131}"/>
            </a:ext>
          </a:extLst>
        </xdr:cNvPr>
        <xdr:cNvCxnSpPr/>
      </xdr:nvCxnSpPr>
      <xdr:spPr>
        <a:xfrm>
          <a:off x="12277725" y="7188200"/>
          <a:ext cx="1270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258989</xdr:colOff>
      <xdr:row>25</xdr:row>
      <xdr:rowOff>222069</xdr:rowOff>
    </xdr:from>
    <xdr:to>
      <xdr:col>33</xdr:col>
      <xdr:colOff>12246</xdr:colOff>
      <xdr:row>25</xdr:row>
      <xdr:rowOff>222069</xdr:rowOff>
    </xdr:to>
    <xdr:cxnSp macro="">
      <xdr:nvCxnSpPr>
        <xdr:cNvPr id="1723" name="SCHEMA_T03_TERRA_17_2">
          <a:extLst>
            <a:ext uri="{FF2B5EF4-FFF2-40B4-BE49-F238E27FC236}">
              <a16:creationId xmlns:a16="http://schemas.microsoft.com/office/drawing/2014/main" id="{90E6CFD0-153D-0A8F-958F-BAE638208884}"/>
            </a:ext>
          </a:extLst>
        </xdr:cNvPr>
        <xdr:cNvCxnSpPr/>
      </xdr:nvCxnSpPr>
      <xdr:spPr>
        <a:xfrm>
          <a:off x="12296775" y="7216140"/>
          <a:ext cx="889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278039</xdr:colOff>
      <xdr:row>26</xdr:row>
      <xdr:rowOff>5080</xdr:rowOff>
    </xdr:from>
    <xdr:to>
      <xdr:col>32</xdr:col>
      <xdr:colOff>328839</xdr:colOff>
      <xdr:row>26</xdr:row>
      <xdr:rowOff>5080</xdr:rowOff>
    </xdr:to>
    <xdr:cxnSp macro="">
      <xdr:nvCxnSpPr>
        <xdr:cNvPr id="1724" name="SCHEMA_T03_TERRA_17_3">
          <a:extLst>
            <a:ext uri="{FF2B5EF4-FFF2-40B4-BE49-F238E27FC236}">
              <a16:creationId xmlns:a16="http://schemas.microsoft.com/office/drawing/2014/main" id="{2FB71F12-ADB4-EF6B-9788-6439C63D9138}"/>
            </a:ext>
          </a:extLst>
        </xdr:cNvPr>
        <xdr:cNvCxnSpPr/>
      </xdr:nvCxnSpPr>
      <xdr:spPr>
        <a:xfrm>
          <a:off x="12315825" y="7244080"/>
          <a:ext cx="508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294368</xdr:colOff>
      <xdr:row>25</xdr:row>
      <xdr:rowOff>117929</xdr:rowOff>
    </xdr:from>
    <xdr:to>
      <xdr:col>36</xdr:col>
      <xdr:colOff>294368</xdr:colOff>
      <xdr:row>25</xdr:row>
      <xdr:rowOff>194129</xdr:rowOff>
    </xdr:to>
    <xdr:cxnSp macro="">
      <xdr:nvCxnSpPr>
        <xdr:cNvPr id="1725" name="SCHEMA_T03_TERRA_19_V">
          <a:extLst>
            <a:ext uri="{FF2B5EF4-FFF2-40B4-BE49-F238E27FC236}">
              <a16:creationId xmlns:a16="http://schemas.microsoft.com/office/drawing/2014/main" id="{C0951FB6-790D-1D99-738A-84CEFF3C9180}"/>
            </a:ext>
          </a:extLst>
        </xdr:cNvPr>
        <xdr:cNvCxnSpPr/>
      </xdr:nvCxnSpPr>
      <xdr:spPr>
        <a:xfrm>
          <a:off x="13674725" y="7112000"/>
          <a:ext cx="0" cy="7620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230868</xdr:colOff>
      <xdr:row>25</xdr:row>
      <xdr:rowOff>194129</xdr:rowOff>
    </xdr:from>
    <xdr:to>
      <xdr:col>37</xdr:col>
      <xdr:colOff>22225</xdr:colOff>
      <xdr:row>25</xdr:row>
      <xdr:rowOff>194129</xdr:rowOff>
    </xdr:to>
    <xdr:cxnSp macro="">
      <xdr:nvCxnSpPr>
        <xdr:cNvPr id="1726" name="SCHEMA_T03_TERRA_19_1">
          <a:extLst>
            <a:ext uri="{FF2B5EF4-FFF2-40B4-BE49-F238E27FC236}">
              <a16:creationId xmlns:a16="http://schemas.microsoft.com/office/drawing/2014/main" id="{38B225E9-9E16-9CAB-6275-CFC83B941BB3}"/>
            </a:ext>
          </a:extLst>
        </xdr:cNvPr>
        <xdr:cNvCxnSpPr/>
      </xdr:nvCxnSpPr>
      <xdr:spPr>
        <a:xfrm>
          <a:off x="13611225" y="7188200"/>
          <a:ext cx="1270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249918</xdr:colOff>
      <xdr:row>25</xdr:row>
      <xdr:rowOff>222069</xdr:rowOff>
    </xdr:from>
    <xdr:to>
      <xdr:col>37</xdr:col>
      <xdr:colOff>3175</xdr:colOff>
      <xdr:row>25</xdr:row>
      <xdr:rowOff>222069</xdr:rowOff>
    </xdr:to>
    <xdr:cxnSp macro="">
      <xdr:nvCxnSpPr>
        <xdr:cNvPr id="1727" name="SCHEMA_T03_TERRA_19_2">
          <a:extLst>
            <a:ext uri="{FF2B5EF4-FFF2-40B4-BE49-F238E27FC236}">
              <a16:creationId xmlns:a16="http://schemas.microsoft.com/office/drawing/2014/main" id="{20F8AF6A-1526-3733-0165-3DBF958455BD}"/>
            </a:ext>
          </a:extLst>
        </xdr:cNvPr>
        <xdr:cNvCxnSpPr/>
      </xdr:nvCxnSpPr>
      <xdr:spPr>
        <a:xfrm>
          <a:off x="13630275" y="7216140"/>
          <a:ext cx="889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268968</xdr:colOff>
      <xdr:row>26</xdr:row>
      <xdr:rowOff>5080</xdr:rowOff>
    </xdr:from>
    <xdr:to>
      <xdr:col>36</xdr:col>
      <xdr:colOff>319768</xdr:colOff>
      <xdr:row>26</xdr:row>
      <xdr:rowOff>5080</xdr:rowOff>
    </xdr:to>
    <xdr:cxnSp macro="">
      <xdr:nvCxnSpPr>
        <xdr:cNvPr id="1728" name="SCHEMA_T03_TERRA_19_3">
          <a:extLst>
            <a:ext uri="{FF2B5EF4-FFF2-40B4-BE49-F238E27FC236}">
              <a16:creationId xmlns:a16="http://schemas.microsoft.com/office/drawing/2014/main" id="{774942E0-3366-BF98-D270-AB6A7E9A9D8E}"/>
            </a:ext>
          </a:extLst>
        </xdr:cNvPr>
        <xdr:cNvCxnSpPr/>
      </xdr:nvCxnSpPr>
      <xdr:spPr>
        <a:xfrm>
          <a:off x="13649325" y="7244080"/>
          <a:ext cx="508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97518</xdr:colOff>
      <xdr:row>10</xdr:row>
      <xdr:rowOff>86632</xdr:rowOff>
    </xdr:from>
    <xdr:to>
      <xdr:col>3</xdr:col>
      <xdr:colOff>124732</xdr:colOff>
      <xdr:row>10</xdr:row>
      <xdr:rowOff>239032</xdr:rowOff>
    </xdr:to>
    <xdr:sp macro="" textlink="">
      <xdr:nvSpPr>
        <xdr:cNvPr id="1729" name="SCHEMA_T03_LEG_OPGW">
          <a:extLst>
            <a:ext uri="{FF2B5EF4-FFF2-40B4-BE49-F238E27FC236}">
              <a16:creationId xmlns:a16="http://schemas.microsoft.com/office/drawing/2014/main" id="{3315FABE-BA92-D618-2B2D-981E4AC0EA17}"/>
            </a:ext>
          </a:extLst>
        </xdr:cNvPr>
        <xdr:cNvSpPr txBox="1"/>
      </xdr:nvSpPr>
      <xdr:spPr>
        <a:xfrm>
          <a:off x="1730375" y="3406775"/>
          <a:ext cx="6985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s-ES" sz="650" b="1">
              <a:solidFill>
                <a:srgbClr val="00A651"/>
              </a:solidFill>
            </a:rPr>
            <a:t>OPGW</a:t>
          </a:r>
        </a:p>
      </xdr:txBody>
    </xdr:sp>
    <xdr:clientData/>
  </xdr:twoCellAnchor>
  <xdr:twoCellAnchor>
    <xdr:from>
      <xdr:col>1</xdr:col>
      <xdr:colOff>97518</xdr:colOff>
      <xdr:row>10</xdr:row>
      <xdr:rowOff>239032</xdr:rowOff>
    </xdr:from>
    <xdr:to>
      <xdr:col>3</xdr:col>
      <xdr:colOff>124732</xdr:colOff>
      <xdr:row>11</xdr:row>
      <xdr:rowOff>146504</xdr:rowOff>
    </xdr:to>
    <xdr:sp macro="" textlink="">
      <xdr:nvSpPr>
        <xdr:cNvPr id="1730" name="SCHEMA_T03_LEG_C1">
          <a:extLst>
            <a:ext uri="{FF2B5EF4-FFF2-40B4-BE49-F238E27FC236}">
              <a16:creationId xmlns:a16="http://schemas.microsoft.com/office/drawing/2014/main" id="{94557582-2D4E-501B-B6B0-D0F491BA1E7A}"/>
            </a:ext>
          </a:extLst>
        </xdr:cNvPr>
        <xdr:cNvSpPr txBox="1"/>
      </xdr:nvSpPr>
      <xdr:spPr>
        <a:xfrm>
          <a:off x="1730375" y="3559175"/>
          <a:ext cx="6985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s-ES" sz="650" b="0">
              <a:solidFill>
                <a:srgbClr val="ED1C24"/>
              </a:solidFill>
            </a:rPr>
            <a:t>CIRCUITO 1</a:t>
          </a:r>
        </a:p>
      </xdr:txBody>
    </xdr:sp>
    <xdr:clientData/>
  </xdr:twoCellAnchor>
  <xdr:twoCellAnchor>
    <xdr:from>
      <xdr:col>1</xdr:col>
      <xdr:colOff>97518</xdr:colOff>
      <xdr:row>11</xdr:row>
      <xdr:rowOff>146504</xdr:rowOff>
    </xdr:from>
    <xdr:to>
      <xdr:col>3</xdr:col>
      <xdr:colOff>124732</xdr:colOff>
      <xdr:row>12</xdr:row>
      <xdr:rowOff>53975</xdr:rowOff>
    </xdr:to>
    <xdr:sp macro="" textlink="">
      <xdr:nvSpPr>
        <xdr:cNvPr id="1731" name="SCHEMA_T03_LEG_C2">
          <a:extLst>
            <a:ext uri="{FF2B5EF4-FFF2-40B4-BE49-F238E27FC236}">
              <a16:creationId xmlns:a16="http://schemas.microsoft.com/office/drawing/2014/main" id="{0D8018DE-EB83-0ECB-A253-04DD39C8A948}"/>
            </a:ext>
          </a:extLst>
        </xdr:cNvPr>
        <xdr:cNvSpPr txBox="1"/>
      </xdr:nvSpPr>
      <xdr:spPr>
        <a:xfrm>
          <a:off x="1730375" y="3711575"/>
          <a:ext cx="6985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s-ES" sz="650" b="0">
              <a:solidFill>
                <a:srgbClr val="315A9B"/>
              </a:solidFill>
            </a:rPr>
            <a:t>CIRCUITO 2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428750" cy="47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absoluteAnchor>
    <xdr:pos x="851647" y="6424706"/>
    <xdr:ext cx="929386" cy="660400"/>
    <xdr:pic>
      <xdr:nvPicPr>
        <xdr:cNvPr id="3" name="MACCHINA_FRENO_T04">
          <a:extLst>
            <a:ext uri="{FF2B5EF4-FFF2-40B4-BE49-F238E27FC236}">
              <a16:creationId xmlns:a16="http://schemas.microsoft.com/office/drawing/2014/main" id="{2BBF0628-D810-6CDE-3F0B-41608B973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647" y="6424706"/>
          <a:ext cx="929386" cy="660400"/>
        </a:xfrm>
        <a:prstGeom prst="rect">
          <a:avLst/>
        </a:prstGeom>
      </xdr:spPr>
    </xdr:pic>
    <xdr:clientData/>
  </xdr:absoluteAnchor>
  <xdr:absoluteAnchor>
    <xdr:pos x="14448118" y="6491268"/>
    <xdr:ext cx="929386" cy="660400"/>
    <xdr:pic>
      <xdr:nvPicPr>
        <xdr:cNvPr id="353" name="MACCHINA_ARGANO_T04">
          <a:extLst>
            <a:ext uri="{FF2B5EF4-FFF2-40B4-BE49-F238E27FC236}">
              <a16:creationId xmlns:a16="http://schemas.microsoft.com/office/drawing/2014/main" id="{DB703FB5-64A4-25BA-0662-1F203BB56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48118" y="6491268"/>
          <a:ext cx="929386" cy="660400"/>
        </a:xfrm>
        <a:prstGeom prst="rect">
          <a:avLst/>
        </a:prstGeom>
      </xdr:spPr>
    </xdr:pic>
    <xdr:clientData/>
  </xdr:absoluteAnchor>
  <xdr:absoluteAnchor>
    <xdr:pos x="1425314" y="4264585"/>
    <xdr:ext cx="415290" cy="511175"/>
    <xdr:pic>
      <xdr:nvPicPr>
        <xdr:cNvPr id="354" name="PAT_T04_1">
          <a:extLst>
            <a:ext uri="{FF2B5EF4-FFF2-40B4-BE49-F238E27FC236}">
              <a16:creationId xmlns:a16="http://schemas.microsoft.com/office/drawing/2014/main" id="{66F2541B-8A81-59B1-1E9E-0FFBA69F4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5314" y="4264585"/>
          <a:ext cx="415290" cy="511175"/>
        </a:xfrm>
        <a:prstGeom prst="rect">
          <a:avLst/>
        </a:prstGeom>
      </xdr:spPr>
    </xdr:pic>
    <xdr:clientData/>
  </xdr:absoluteAnchor>
  <xdr:absoluteAnchor>
    <xdr:pos x="4137137" y="4006850"/>
    <xdr:ext cx="415290" cy="511175"/>
    <xdr:pic>
      <xdr:nvPicPr>
        <xdr:cNvPr id="355" name="PAT_T04_4">
          <a:extLst>
            <a:ext uri="{FF2B5EF4-FFF2-40B4-BE49-F238E27FC236}">
              <a16:creationId xmlns:a16="http://schemas.microsoft.com/office/drawing/2014/main" id="{171E1081-15CB-818C-15A5-06EC3AFFB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37137" y="4006850"/>
          <a:ext cx="415290" cy="511175"/>
        </a:xfrm>
        <a:prstGeom prst="rect">
          <a:avLst/>
        </a:prstGeom>
      </xdr:spPr>
    </xdr:pic>
    <xdr:clientData/>
  </xdr:absoluteAnchor>
  <xdr:absoluteAnchor>
    <xdr:pos x="6781727" y="3760320"/>
    <xdr:ext cx="415290" cy="511175"/>
    <xdr:pic>
      <xdr:nvPicPr>
        <xdr:cNvPr id="356" name="PAT_T04_7">
          <a:extLst>
            <a:ext uri="{FF2B5EF4-FFF2-40B4-BE49-F238E27FC236}">
              <a16:creationId xmlns:a16="http://schemas.microsoft.com/office/drawing/2014/main" id="{B8D3B934-1C25-6D5C-E7C8-18DD30528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81727" y="3760320"/>
          <a:ext cx="415290" cy="511175"/>
        </a:xfrm>
        <a:prstGeom prst="rect">
          <a:avLst/>
        </a:prstGeom>
      </xdr:spPr>
    </xdr:pic>
    <xdr:clientData/>
  </xdr:absoluteAnchor>
  <xdr:absoluteAnchor>
    <xdr:pos x="9403903" y="4029262"/>
    <xdr:ext cx="415290" cy="511175"/>
    <xdr:pic>
      <xdr:nvPicPr>
        <xdr:cNvPr id="357" name="PAT_T04_10">
          <a:extLst>
            <a:ext uri="{FF2B5EF4-FFF2-40B4-BE49-F238E27FC236}">
              <a16:creationId xmlns:a16="http://schemas.microsoft.com/office/drawing/2014/main" id="{52A38588-0B3B-5E85-CFFA-E7247546E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403903" y="4029262"/>
          <a:ext cx="415290" cy="511175"/>
        </a:xfrm>
        <a:prstGeom prst="rect">
          <a:avLst/>
        </a:prstGeom>
      </xdr:spPr>
    </xdr:pic>
    <xdr:clientData/>
  </xdr:absoluteAnchor>
  <xdr:absoluteAnchor>
    <xdr:pos x="12093314" y="4399056"/>
    <xdr:ext cx="415290" cy="511175"/>
    <xdr:pic>
      <xdr:nvPicPr>
        <xdr:cNvPr id="358" name="PAT_T04_13">
          <a:extLst>
            <a:ext uri="{FF2B5EF4-FFF2-40B4-BE49-F238E27FC236}">
              <a16:creationId xmlns:a16="http://schemas.microsoft.com/office/drawing/2014/main" id="{89652077-D08B-C865-75FB-CC5639CD3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093314" y="4399056"/>
          <a:ext cx="415290" cy="511175"/>
        </a:xfrm>
        <a:prstGeom prst="rect">
          <a:avLst/>
        </a:prstGeom>
      </xdr:spPr>
    </xdr:pic>
    <xdr:clientData/>
  </xdr:absoluteAnchor>
  <xdr:absoluteAnchor>
    <xdr:pos x="14110373" y="4376645"/>
    <xdr:ext cx="415290" cy="511175"/>
    <xdr:pic>
      <xdr:nvPicPr>
        <xdr:cNvPr id="359" name="PAT_T04_16">
          <a:extLst>
            <a:ext uri="{FF2B5EF4-FFF2-40B4-BE49-F238E27FC236}">
              <a16:creationId xmlns:a16="http://schemas.microsoft.com/office/drawing/2014/main" id="{7C96A57A-9504-8985-D353-AB0C84CB5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110373" y="4376645"/>
          <a:ext cx="415290" cy="511175"/>
        </a:xfrm>
        <a:prstGeom prst="rect">
          <a:avLst/>
        </a:prstGeom>
      </xdr:spPr>
    </xdr:pic>
    <xdr:clientData/>
  </xdr:absoluteAnchor>
  <xdr:twoCellAnchor>
    <xdr:from>
      <xdr:col>1</xdr:col>
      <xdr:colOff>187</xdr:colOff>
      <xdr:row>25</xdr:row>
      <xdr:rowOff>94876</xdr:rowOff>
    </xdr:from>
    <xdr:to>
      <xdr:col>40</xdr:col>
      <xdr:colOff>224304</xdr:colOff>
      <xdr:row>25</xdr:row>
      <xdr:rowOff>94876</xdr:rowOff>
    </xdr:to>
    <xdr:cxnSp macro="">
      <xdr:nvCxnSpPr>
        <xdr:cNvPr id="4" name="SCHEMA_T04_TERRENO">
          <a:extLst>
            <a:ext uri="{FF2B5EF4-FFF2-40B4-BE49-F238E27FC236}">
              <a16:creationId xmlns:a16="http://schemas.microsoft.com/office/drawing/2014/main" id="{5B369723-02A7-5813-EE67-E565CDF7BAFD}"/>
            </a:ext>
          </a:extLst>
        </xdr:cNvPr>
        <xdr:cNvCxnSpPr/>
      </xdr:nvCxnSpPr>
      <xdr:spPr>
        <a:xfrm>
          <a:off x="1628775" y="7124700"/>
          <a:ext cx="13335000" cy="0"/>
        </a:xfrm>
        <a:prstGeom prst="line">
          <a:avLst/>
        </a:prstGeom>
        <a:ln w="15240">
          <a:solidFill>
            <a:srgbClr val="80808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187</xdr:colOff>
      <xdr:row>15</xdr:row>
      <xdr:rowOff>68339</xdr:rowOff>
    </xdr:from>
    <xdr:to>
      <xdr:col>1</xdr:col>
      <xdr:colOff>44637</xdr:colOff>
      <xdr:row>25</xdr:row>
      <xdr:rowOff>94876</xdr:rowOff>
    </xdr:to>
    <xdr:cxnSp macro="">
      <xdr:nvCxnSpPr>
        <xdr:cNvPr id="5" name="SCHEMA_T04_SOSTEGNO_01_SX">
          <a:extLst>
            <a:ext uri="{FF2B5EF4-FFF2-40B4-BE49-F238E27FC236}">
              <a16:creationId xmlns:a16="http://schemas.microsoft.com/office/drawing/2014/main" id="{3D50B59D-C053-0568-F40E-C5D5DB59DE67}"/>
            </a:ext>
          </a:extLst>
        </xdr:cNvPr>
        <xdr:cNvCxnSpPr/>
      </xdr:nvCxnSpPr>
      <xdr:spPr>
        <a:xfrm flipV="1">
          <a:off x="1628775" y="4632868"/>
          <a:ext cx="44450" cy="2491832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44637</xdr:colOff>
      <xdr:row>15</xdr:row>
      <xdr:rowOff>68339</xdr:rowOff>
    </xdr:from>
    <xdr:to>
      <xdr:col>1</xdr:col>
      <xdr:colOff>89087</xdr:colOff>
      <xdr:row>25</xdr:row>
      <xdr:rowOff>94876</xdr:rowOff>
    </xdr:to>
    <xdr:cxnSp macro="">
      <xdr:nvCxnSpPr>
        <xdr:cNvPr id="6" name="SCHEMA_T04_SOSTEGNO_01_DX">
          <a:extLst>
            <a:ext uri="{FF2B5EF4-FFF2-40B4-BE49-F238E27FC236}">
              <a16:creationId xmlns:a16="http://schemas.microsoft.com/office/drawing/2014/main" id="{A22DF074-2ED3-303D-B04A-47A66EF90AC6}"/>
            </a:ext>
          </a:extLst>
        </xdr:cNvPr>
        <xdr:cNvCxnSpPr/>
      </xdr:nvCxnSpPr>
      <xdr:spPr>
        <a:xfrm flipH="1" flipV="1">
          <a:off x="1673225" y="4632868"/>
          <a:ext cx="44450" cy="2491832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187</xdr:colOff>
      <xdr:row>17</xdr:row>
      <xdr:rowOff>23810</xdr:rowOff>
    </xdr:from>
    <xdr:to>
      <xdr:col>1</xdr:col>
      <xdr:colOff>89087</xdr:colOff>
      <xdr:row>17</xdr:row>
      <xdr:rowOff>23810</xdr:rowOff>
    </xdr:to>
    <xdr:cxnSp macro="">
      <xdr:nvCxnSpPr>
        <xdr:cNvPr id="7" name="SCHEMA_T04_SOSTEGNO_01_TR1">
          <a:extLst>
            <a:ext uri="{FF2B5EF4-FFF2-40B4-BE49-F238E27FC236}">
              <a16:creationId xmlns:a16="http://schemas.microsoft.com/office/drawing/2014/main" id="{489E72A2-A3FB-B64F-32BD-24AB244D9695}"/>
            </a:ext>
          </a:extLst>
        </xdr:cNvPr>
        <xdr:cNvCxnSpPr/>
      </xdr:nvCxnSpPr>
      <xdr:spPr>
        <a:xfrm>
          <a:off x="1628775" y="5081398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187</xdr:colOff>
      <xdr:row>18</xdr:row>
      <xdr:rowOff>76300</xdr:rowOff>
    </xdr:from>
    <xdr:to>
      <xdr:col>1</xdr:col>
      <xdr:colOff>89087</xdr:colOff>
      <xdr:row>18</xdr:row>
      <xdr:rowOff>76300</xdr:rowOff>
    </xdr:to>
    <xdr:cxnSp macro="">
      <xdr:nvCxnSpPr>
        <xdr:cNvPr id="8" name="SCHEMA_T04_SOSTEGNO_01_TR2">
          <a:extLst>
            <a:ext uri="{FF2B5EF4-FFF2-40B4-BE49-F238E27FC236}">
              <a16:creationId xmlns:a16="http://schemas.microsoft.com/office/drawing/2014/main" id="{CB7872C6-83FF-1691-96CD-B06B2B34DD54}"/>
            </a:ext>
          </a:extLst>
        </xdr:cNvPr>
        <xdr:cNvCxnSpPr/>
      </xdr:nvCxnSpPr>
      <xdr:spPr>
        <a:xfrm>
          <a:off x="1628775" y="5380418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187</xdr:colOff>
      <xdr:row>19</xdr:row>
      <xdr:rowOff>128791</xdr:rowOff>
    </xdr:from>
    <xdr:to>
      <xdr:col>1</xdr:col>
      <xdr:colOff>89087</xdr:colOff>
      <xdr:row>19</xdr:row>
      <xdr:rowOff>128791</xdr:rowOff>
    </xdr:to>
    <xdr:cxnSp macro="">
      <xdr:nvCxnSpPr>
        <xdr:cNvPr id="9" name="SCHEMA_T04_SOSTEGNO_01_TR3">
          <a:extLst>
            <a:ext uri="{FF2B5EF4-FFF2-40B4-BE49-F238E27FC236}">
              <a16:creationId xmlns:a16="http://schemas.microsoft.com/office/drawing/2014/main" id="{B9A77C75-8819-CF21-990B-9A90B755D6CC}"/>
            </a:ext>
          </a:extLst>
        </xdr:cNvPr>
        <xdr:cNvCxnSpPr/>
      </xdr:nvCxnSpPr>
      <xdr:spPr>
        <a:xfrm>
          <a:off x="1628775" y="5679438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330760</xdr:colOff>
      <xdr:row>13</xdr:row>
      <xdr:rowOff>222262</xdr:rowOff>
    </xdr:from>
    <xdr:to>
      <xdr:col>3</xdr:col>
      <xdr:colOff>39034</xdr:colOff>
      <xdr:row>25</xdr:row>
      <xdr:rowOff>94876</xdr:rowOff>
    </xdr:to>
    <xdr:cxnSp macro="">
      <xdr:nvCxnSpPr>
        <xdr:cNvPr id="10" name="SCHEMA_T04_SOSTEGNO_02_SX">
          <a:extLst>
            <a:ext uri="{FF2B5EF4-FFF2-40B4-BE49-F238E27FC236}">
              <a16:creationId xmlns:a16="http://schemas.microsoft.com/office/drawing/2014/main" id="{444BCB1C-0E1E-8FE4-2563-7012EA914713}"/>
            </a:ext>
          </a:extLst>
        </xdr:cNvPr>
        <xdr:cNvCxnSpPr/>
      </xdr:nvCxnSpPr>
      <xdr:spPr>
        <a:xfrm flipV="1">
          <a:off x="2295525" y="4293733"/>
          <a:ext cx="44450" cy="2830967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39034</xdr:colOff>
      <xdr:row>13</xdr:row>
      <xdr:rowOff>222262</xdr:rowOff>
    </xdr:from>
    <xdr:to>
      <xdr:col>3</xdr:col>
      <xdr:colOff>83484</xdr:colOff>
      <xdr:row>25</xdr:row>
      <xdr:rowOff>94876</xdr:rowOff>
    </xdr:to>
    <xdr:cxnSp macro="">
      <xdr:nvCxnSpPr>
        <xdr:cNvPr id="11" name="SCHEMA_T04_SOSTEGNO_02_DX">
          <a:extLst>
            <a:ext uri="{FF2B5EF4-FFF2-40B4-BE49-F238E27FC236}">
              <a16:creationId xmlns:a16="http://schemas.microsoft.com/office/drawing/2014/main" id="{E3601B7E-24D6-D112-497D-45B3AA5691A2}"/>
            </a:ext>
          </a:extLst>
        </xdr:cNvPr>
        <xdr:cNvCxnSpPr/>
      </xdr:nvCxnSpPr>
      <xdr:spPr>
        <a:xfrm flipH="1" flipV="1">
          <a:off x="2339975" y="4293733"/>
          <a:ext cx="44450" cy="2830967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330760</xdr:colOff>
      <xdr:row>15</xdr:row>
      <xdr:rowOff>238778</xdr:rowOff>
    </xdr:from>
    <xdr:to>
      <xdr:col>3</xdr:col>
      <xdr:colOff>83484</xdr:colOff>
      <xdr:row>15</xdr:row>
      <xdr:rowOff>238778</xdr:rowOff>
    </xdr:to>
    <xdr:cxnSp macro="">
      <xdr:nvCxnSpPr>
        <xdr:cNvPr id="12" name="SCHEMA_T04_SOSTEGNO_02_TR1">
          <a:extLst>
            <a:ext uri="{FF2B5EF4-FFF2-40B4-BE49-F238E27FC236}">
              <a16:creationId xmlns:a16="http://schemas.microsoft.com/office/drawing/2014/main" id="{8CEA9CD2-0A53-1B56-283D-1DAB8CFB8890}"/>
            </a:ext>
          </a:extLst>
        </xdr:cNvPr>
        <xdr:cNvCxnSpPr/>
      </xdr:nvCxnSpPr>
      <xdr:spPr>
        <a:xfrm>
          <a:off x="2295525" y="4803307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330760</xdr:colOff>
      <xdr:row>17</xdr:row>
      <xdr:rowOff>85435</xdr:rowOff>
    </xdr:from>
    <xdr:to>
      <xdr:col>3</xdr:col>
      <xdr:colOff>83484</xdr:colOff>
      <xdr:row>17</xdr:row>
      <xdr:rowOff>85435</xdr:rowOff>
    </xdr:to>
    <xdr:cxnSp macro="">
      <xdr:nvCxnSpPr>
        <xdr:cNvPr id="13" name="SCHEMA_T04_SOSTEGNO_02_TR2">
          <a:extLst>
            <a:ext uri="{FF2B5EF4-FFF2-40B4-BE49-F238E27FC236}">
              <a16:creationId xmlns:a16="http://schemas.microsoft.com/office/drawing/2014/main" id="{F17CA632-876C-5493-18F0-2F37962F816D}"/>
            </a:ext>
          </a:extLst>
        </xdr:cNvPr>
        <xdr:cNvCxnSpPr/>
      </xdr:nvCxnSpPr>
      <xdr:spPr>
        <a:xfrm>
          <a:off x="2295525" y="5143023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330760</xdr:colOff>
      <xdr:row>18</xdr:row>
      <xdr:rowOff>178621</xdr:rowOff>
    </xdr:from>
    <xdr:to>
      <xdr:col>3</xdr:col>
      <xdr:colOff>83484</xdr:colOff>
      <xdr:row>18</xdr:row>
      <xdr:rowOff>178621</xdr:rowOff>
    </xdr:to>
    <xdr:cxnSp macro="">
      <xdr:nvCxnSpPr>
        <xdr:cNvPr id="14" name="SCHEMA_T04_SOSTEGNO_02_TR3">
          <a:extLst>
            <a:ext uri="{FF2B5EF4-FFF2-40B4-BE49-F238E27FC236}">
              <a16:creationId xmlns:a16="http://schemas.microsoft.com/office/drawing/2014/main" id="{B00A89C5-4CA7-1B8A-C33E-4C69487DF9CC}"/>
            </a:ext>
          </a:extLst>
        </xdr:cNvPr>
        <xdr:cNvCxnSpPr/>
      </xdr:nvCxnSpPr>
      <xdr:spPr>
        <a:xfrm>
          <a:off x="2295525" y="5482739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325157</xdr:colOff>
      <xdr:row>13</xdr:row>
      <xdr:rowOff>192338</xdr:rowOff>
    </xdr:from>
    <xdr:to>
      <xdr:col>5</xdr:col>
      <xdr:colOff>33431</xdr:colOff>
      <xdr:row>25</xdr:row>
      <xdr:rowOff>94876</xdr:rowOff>
    </xdr:to>
    <xdr:cxnSp macro="">
      <xdr:nvCxnSpPr>
        <xdr:cNvPr id="15" name="SCHEMA_T04_SOSTEGNO_03_SX">
          <a:extLst>
            <a:ext uri="{FF2B5EF4-FFF2-40B4-BE49-F238E27FC236}">
              <a16:creationId xmlns:a16="http://schemas.microsoft.com/office/drawing/2014/main" id="{EDCAAB31-0E0D-2CAA-0DEA-66BD211C3C70}"/>
            </a:ext>
          </a:extLst>
        </xdr:cNvPr>
        <xdr:cNvCxnSpPr/>
      </xdr:nvCxnSpPr>
      <xdr:spPr>
        <a:xfrm flipV="1">
          <a:off x="2962275" y="4263809"/>
          <a:ext cx="44450" cy="2860891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33431</xdr:colOff>
      <xdr:row>13</xdr:row>
      <xdr:rowOff>192338</xdr:rowOff>
    </xdr:from>
    <xdr:to>
      <xdr:col>5</xdr:col>
      <xdr:colOff>77881</xdr:colOff>
      <xdr:row>25</xdr:row>
      <xdr:rowOff>94876</xdr:rowOff>
    </xdr:to>
    <xdr:cxnSp macro="">
      <xdr:nvCxnSpPr>
        <xdr:cNvPr id="16" name="SCHEMA_T04_SOSTEGNO_03_DX">
          <a:extLst>
            <a:ext uri="{FF2B5EF4-FFF2-40B4-BE49-F238E27FC236}">
              <a16:creationId xmlns:a16="http://schemas.microsoft.com/office/drawing/2014/main" id="{9DEF7599-9872-9961-C66F-1B001B7671AD}"/>
            </a:ext>
          </a:extLst>
        </xdr:cNvPr>
        <xdr:cNvCxnSpPr/>
      </xdr:nvCxnSpPr>
      <xdr:spPr>
        <a:xfrm flipH="1" flipV="1">
          <a:off x="3006725" y="4263809"/>
          <a:ext cx="44450" cy="2860891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325157</xdr:colOff>
      <xdr:row>15</xdr:row>
      <xdr:rowOff>214241</xdr:rowOff>
    </xdr:from>
    <xdr:to>
      <xdr:col>5</xdr:col>
      <xdr:colOff>77881</xdr:colOff>
      <xdr:row>15</xdr:row>
      <xdr:rowOff>214241</xdr:rowOff>
    </xdr:to>
    <xdr:cxnSp macro="">
      <xdr:nvCxnSpPr>
        <xdr:cNvPr id="17" name="SCHEMA_T04_SOSTEGNO_03_TR1">
          <a:extLst>
            <a:ext uri="{FF2B5EF4-FFF2-40B4-BE49-F238E27FC236}">
              <a16:creationId xmlns:a16="http://schemas.microsoft.com/office/drawing/2014/main" id="{33DE3D3F-55A7-37E7-AAF4-553F6CC5CB3A}"/>
            </a:ext>
          </a:extLst>
        </xdr:cNvPr>
        <xdr:cNvCxnSpPr/>
      </xdr:nvCxnSpPr>
      <xdr:spPr>
        <a:xfrm>
          <a:off x="2962275" y="4778770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325157</xdr:colOff>
      <xdr:row>17</xdr:row>
      <xdr:rowOff>64489</xdr:rowOff>
    </xdr:from>
    <xdr:to>
      <xdr:col>5</xdr:col>
      <xdr:colOff>77881</xdr:colOff>
      <xdr:row>17</xdr:row>
      <xdr:rowOff>64489</xdr:rowOff>
    </xdr:to>
    <xdr:cxnSp macro="">
      <xdr:nvCxnSpPr>
        <xdr:cNvPr id="18" name="SCHEMA_T04_SOSTEGNO_03_TR2">
          <a:extLst>
            <a:ext uri="{FF2B5EF4-FFF2-40B4-BE49-F238E27FC236}">
              <a16:creationId xmlns:a16="http://schemas.microsoft.com/office/drawing/2014/main" id="{7725C94B-75B9-F4B5-50BC-88EBB08B2C18}"/>
            </a:ext>
          </a:extLst>
        </xdr:cNvPr>
        <xdr:cNvCxnSpPr/>
      </xdr:nvCxnSpPr>
      <xdr:spPr>
        <a:xfrm>
          <a:off x="2962275" y="5122077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325157</xdr:colOff>
      <xdr:row>18</xdr:row>
      <xdr:rowOff>161265</xdr:rowOff>
    </xdr:from>
    <xdr:to>
      <xdr:col>5</xdr:col>
      <xdr:colOff>77881</xdr:colOff>
      <xdr:row>18</xdr:row>
      <xdr:rowOff>161265</xdr:rowOff>
    </xdr:to>
    <xdr:cxnSp macro="">
      <xdr:nvCxnSpPr>
        <xdr:cNvPr id="19" name="SCHEMA_T04_SOSTEGNO_03_TR3">
          <a:extLst>
            <a:ext uri="{FF2B5EF4-FFF2-40B4-BE49-F238E27FC236}">
              <a16:creationId xmlns:a16="http://schemas.microsoft.com/office/drawing/2014/main" id="{A40963F4-CF4F-7C72-14AA-3DA57B9C6608}"/>
            </a:ext>
          </a:extLst>
        </xdr:cNvPr>
        <xdr:cNvCxnSpPr/>
      </xdr:nvCxnSpPr>
      <xdr:spPr>
        <a:xfrm>
          <a:off x="2962275" y="5465383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319554</xdr:colOff>
      <xdr:row>15</xdr:row>
      <xdr:rowOff>78314</xdr:rowOff>
    </xdr:from>
    <xdr:to>
      <xdr:col>7</xdr:col>
      <xdr:colOff>27828</xdr:colOff>
      <xdr:row>25</xdr:row>
      <xdr:rowOff>94876</xdr:rowOff>
    </xdr:to>
    <xdr:cxnSp macro="">
      <xdr:nvCxnSpPr>
        <xdr:cNvPr id="20" name="SCHEMA_T04_SOSTEGNO_04_SX">
          <a:extLst>
            <a:ext uri="{FF2B5EF4-FFF2-40B4-BE49-F238E27FC236}">
              <a16:creationId xmlns:a16="http://schemas.microsoft.com/office/drawing/2014/main" id="{1293414A-65A4-2B64-966A-EF80ADCB8065}"/>
            </a:ext>
          </a:extLst>
        </xdr:cNvPr>
        <xdr:cNvCxnSpPr/>
      </xdr:nvCxnSpPr>
      <xdr:spPr>
        <a:xfrm flipV="1">
          <a:off x="3629025" y="4642843"/>
          <a:ext cx="44450" cy="2481857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27828</xdr:colOff>
      <xdr:row>15</xdr:row>
      <xdr:rowOff>78314</xdr:rowOff>
    </xdr:from>
    <xdr:to>
      <xdr:col>7</xdr:col>
      <xdr:colOff>72278</xdr:colOff>
      <xdr:row>25</xdr:row>
      <xdr:rowOff>94876</xdr:rowOff>
    </xdr:to>
    <xdr:cxnSp macro="">
      <xdr:nvCxnSpPr>
        <xdr:cNvPr id="21" name="SCHEMA_T04_SOSTEGNO_04_DX">
          <a:extLst>
            <a:ext uri="{FF2B5EF4-FFF2-40B4-BE49-F238E27FC236}">
              <a16:creationId xmlns:a16="http://schemas.microsoft.com/office/drawing/2014/main" id="{4A5D3561-9482-E595-9EB0-E58ECC3C673C}"/>
            </a:ext>
          </a:extLst>
        </xdr:cNvPr>
        <xdr:cNvCxnSpPr/>
      </xdr:nvCxnSpPr>
      <xdr:spPr>
        <a:xfrm flipH="1" flipV="1">
          <a:off x="3673475" y="4642843"/>
          <a:ext cx="44450" cy="2481857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319554</xdr:colOff>
      <xdr:row>17</xdr:row>
      <xdr:rowOff>31989</xdr:rowOff>
    </xdr:from>
    <xdr:to>
      <xdr:col>7</xdr:col>
      <xdr:colOff>72278</xdr:colOff>
      <xdr:row>17</xdr:row>
      <xdr:rowOff>31989</xdr:rowOff>
    </xdr:to>
    <xdr:cxnSp macro="">
      <xdr:nvCxnSpPr>
        <xdr:cNvPr id="22" name="SCHEMA_T04_SOSTEGNO_04_TR1">
          <a:extLst>
            <a:ext uri="{FF2B5EF4-FFF2-40B4-BE49-F238E27FC236}">
              <a16:creationId xmlns:a16="http://schemas.microsoft.com/office/drawing/2014/main" id="{8F4B07C5-BAD1-14C1-ECB2-F12E0D0A2AF0}"/>
            </a:ext>
          </a:extLst>
        </xdr:cNvPr>
        <xdr:cNvCxnSpPr/>
      </xdr:nvCxnSpPr>
      <xdr:spPr>
        <a:xfrm>
          <a:off x="3629025" y="5089577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319554</xdr:colOff>
      <xdr:row>18</xdr:row>
      <xdr:rowOff>83282</xdr:rowOff>
    </xdr:from>
    <xdr:to>
      <xdr:col>7</xdr:col>
      <xdr:colOff>72278</xdr:colOff>
      <xdr:row>18</xdr:row>
      <xdr:rowOff>83282</xdr:rowOff>
    </xdr:to>
    <xdr:cxnSp macro="">
      <xdr:nvCxnSpPr>
        <xdr:cNvPr id="23" name="SCHEMA_T04_SOSTEGNO_04_TR2">
          <a:extLst>
            <a:ext uri="{FF2B5EF4-FFF2-40B4-BE49-F238E27FC236}">
              <a16:creationId xmlns:a16="http://schemas.microsoft.com/office/drawing/2014/main" id="{FB6CE36B-4BCE-84D0-7FD7-AFE4587267A8}"/>
            </a:ext>
          </a:extLst>
        </xdr:cNvPr>
        <xdr:cNvCxnSpPr/>
      </xdr:nvCxnSpPr>
      <xdr:spPr>
        <a:xfrm>
          <a:off x="3629025" y="5387400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319554</xdr:colOff>
      <xdr:row>19</xdr:row>
      <xdr:rowOff>134576</xdr:rowOff>
    </xdr:from>
    <xdr:to>
      <xdr:col>7</xdr:col>
      <xdr:colOff>72278</xdr:colOff>
      <xdr:row>19</xdr:row>
      <xdr:rowOff>134576</xdr:rowOff>
    </xdr:to>
    <xdr:cxnSp macro="">
      <xdr:nvCxnSpPr>
        <xdr:cNvPr id="24" name="SCHEMA_T04_SOSTEGNO_04_TR3">
          <a:extLst>
            <a:ext uri="{FF2B5EF4-FFF2-40B4-BE49-F238E27FC236}">
              <a16:creationId xmlns:a16="http://schemas.microsoft.com/office/drawing/2014/main" id="{8419FE38-AE66-B532-FD54-C7B8E8C2B6A8}"/>
            </a:ext>
          </a:extLst>
        </xdr:cNvPr>
        <xdr:cNvCxnSpPr/>
      </xdr:nvCxnSpPr>
      <xdr:spPr>
        <a:xfrm>
          <a:off x="3629025" y="5685223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313951</xdr:colOff>
      <xdr:row>13</xdr:row>
      <xdr:rowOff>222262</xdr:rowOff>
    </xdr:from>
    <xdr:to>
      <xdr:col>9</xdr:col>
      <xdr:colOff>22225</xdr:colOff>
      <xdr:row>25</xdr:row>
      <xdr:rowOff>94876</xdr:rowOff>
    </xdr:to>
    <xdr:cxnSp macro="">
      <xdr:nvCxnSpPr>
        <xdr:cNvPr id="25" name="SCHEMA_T04_SOSTEGNO_05_SX">
          <a:extLst>
            <a:ext uri="{FF2B5EF4-FFF2-40B4-BE49-F238E27FC236}">
              <a16:creationId xmlns:a16="http://schemas.microsoft.com/office/drawing/2014/main" id="{B54539BD-350E-5328-F437-095E28BCF843}"/>
            </a:ext>
          </a:extLst>
        </xdr:cNvPr>
        <xdr:cNvCxnSpPr/>
      </xdr:nvCxnSpPr>
      <xdr:spPr>
        <a:xfrm flipV="1">
          <a:off x="4295775" y="4293733"/>
          <a:ext cx="44450" cy="2830967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22225</xdr:colOff>
      <xdr:row>13</xdr:row>
      <xdr:rowOff>222262</xdr:rowOff>
    </xdr:from>
    <xdr:to>
      <xdr:col>9</xdr:col>
      <xdr:colOff>66675</xdr:colOff>
      <xdr:row>25</xdr:row>
      <xdr:rowOff>94876</xdr:rowOff>
    </xdr:to>
    <xdr:cxnSp macro="">
      <xdr:nvCxnSpPr>
        <xdr:cNvPr id="26" name="SCHEMA_T04_SOSTEGNO_05_DX">
          <a:extLst>
            <a:ext uri="{FF2B5EF4-FFF2-40B4-BE49-F238E27FC236}">
              <a16:creationId xmlns:a16="http://schemas.microsoft.com/office/drawing/2014/main" id="{A3988DEB-FFE3-6F71-966C-1F8DF66DF0A2}"/>
            </a:ext>
          </a:extLst>
        </xdr:cNvPr>
        <xdr:cNvCxnSpPr/>
      </xdr:nvCxnSpPr>
      <xdr:spPr>
        <a:xfrm flipH="1" flipV="1">
          <a:off x="4340225" y="4293733"/>
          <a:ext cx="44450" cy="2830967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313951</xdr:colOff>
      <xdr:row>15</xdr:row>
      <xdr:rowOff>238778</xdr:rowOff>
    </xdr:from>
    <xdr:to>
      <xdr:col>9</xdr:col>
      <xdr:colOff>66675</xdr:colOff>
      <xdr:row>15</xdr:row>
      <xdr:rowOff>238778</xdr:rowOff>
    </xdr:to>
    <xdr:cxnSp macro="">
      <xdr:nvCxnSpPr>
        <xdr:cNvPr id="27" name="SCHEMA_T04_SOSTEGNO_05_TR1">
          <a:extLst>
            <a:ext uri="{FF2B5EF4-FFF2-40B4-BE49-F238E27FC236}">
              <a16:creationId xmlns:a16="http://schemas.microsoft.com/office/drawing/2014/main" id="{9CCA3588-AB21-A82D-726C-77322E740C5F}"/>
            </a:ext>
          </a:extLst>
        </xdr:cNvPr>
        <xdr:cNvCxnSpPr/>
      </xdr:nvCxnSpPr>
      <xdr:spPr>
        <a:xfrm>
          <a:off x="4295775" y="4803307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313951</xdr:colOff>
      <xdr:row>17</xdr:row>
      <xdr:rowOff>85435</xdr:rowOff>
    </xdr:from>
    <xdr:to>
      <xdr:col>9</xdr:col>
      <xdr:colOff>66675</xdr:colOff>
      <xdr:row>17</xdr:row>
      <xdr:rowOff>85435</xdr:rowOff>
    </xdr:to>
    <xdr:cxnSp macro="">
      <xdr:nvCxnSpPr>
        <xdr:cNvPr id="28" name="SCHEMA_T04_SOSTEGNO_05_TR2">
          <a:extLst>
            <a:ext uri="{FF2B5EF4-FFF2-40B4-BE49-F238E27FC236}">
              <a16:creationId xmlns:a16="http://schemas.microsoft.com/office/drawing/2014/main" id="{C0938453-A324-11A5-D1A1-EE6D12D0598E}"/>
            </a:ext>
          </a:extLst>
        </xdr:cNvPr>
        <xdr:cNvCxnSpPr/>
      </xdr:nvCxnSpPr>
      <xdr:spPr>
        <a:xfrm>
          <a:off x="4295775" y="5143023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313951</xdr:colOff>
      <xdr:row>18</xdr:row>
      <xdr:rowOff>178621</xdr:rowOff>
    </xdr:from>
    <xdr:to>
      <xdr:col>9</xdr:col>
      <xdr:colOff>66675</xdr:colOff>
      <xdr:row>18</xdr:row>
      <xdr:rowOff>178621</xdr:rowOff>
    </xdr:to>
    <xdr:cxnSp macro="">
      <xdr:nvCxnSpPr>
        <xdr:cNvPr id="29" name="SCHEMA_T04_SOSTEGNO_05_TR3">
          <a:extLst>
            <a:ext uri="{FF2B5EF4-FFF2-40B4-BE49-F238E27FC236}">
              <a16:creationId xmlns:a16="http://schemas.microsoft.com/office/drawing/2014/main" id="{8F4DBB2E-EBC1-027B-8212-0F25EE2E7844}"/>
            </a:ext>
          </a:extLst>
        </xdr:cNvPr>
        <xdr:cNvCxnSpPr/>
      </xdr:nvCxnSpPr>
      <xdr:spPr>
        <a:xfrm>
          <a:off x="4295775" y="5482739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308349</xdr:colOff>
      <xdr:row>12</xdr:row>
      <xdr:rowOff>239376</xdr:rowOff>
    </xdr:from>
    <xdr:to>
      <xdr:col>11</xdr:col>
      <xdr:colOff>16622</xdr:colOff>
      <xdr:row>25</xdr:row>
      <xdr:rowOff>94876</xdr:rowOff>
    </xdr:to>
    <xdr:cxnSp macro="">
      <xdr:nvCxnSpPr>
        <xdr:cNvPr id="30" name="SCHEMA_T04_SOSTEGNO_06_SX">
          <a:extLst>
            <a:ext uri="{FF2B5EF4-FFF2-40B4-BE49-F238E27FC236}">
              <a16:creationId xmlns:a16="http://schemas.microsoft.com/office/drawing/2014/main" id="{4EBA8847-A636-C785-A409-8987E9C3AA8C}"/>
            </a:ext>
          </a:extLst>
        </xdr:cNvPr>
        <xdr:cNvCxnSpPr/>
      </xdr:nvCxnSpPr>
      <xdr:spPr>
        <a:xfrm flipV="1">
          <a:off x="4962525" y="4064317"/>
          <a:ext cx="44450" cy="3060383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16622</xdr:colOff>
      <xdr:row>12</xdr:row>
      <xdr:rowOff>239376</xdr:rowOff>
    </xdr:from>
    <xdr:to>
      <xdr:col>11</xdr:col>
      <xdr:colOff>61072</xdr:colOff>
      <xdr:row>25</xdr:row>
      <xdr:rowOff>94876</xdr:rowOff>
    </xdr:to>
    <xdr:cxnSp macro="">
      <xdr:nvCxnSpPr>
        <xdr:cNvPr id="31" name="SCHEMA_T04_SOSTEGNO_06_DX">
          <a:extLst>
            <a:ext uri="{FF2B5EF4-FFF2-40B4-BE49-F238E27FC236}">
              <a16:creationId xmlns:a16="http://schemas.microsoft.com/office/drawing/2014/main" id="{81CC9D5D-86DC-EC51-BFB3-DEE2A0C3B3DE}"/>
            </a:ext>
          </a:extLst>
        </xdr:cNvPr>
        <xdr:cNvCxnSpPr/>
      </xdr:nvCxnSpPr>
      <xdr:spPr>
        <a:xfrm flipH="1" flipV="1">
          <a:off x="5006975" y="4064317"/>
          <a:ext cx="44450" cy="3060383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308349</xdr:colOff>
      <xdr:row>15</xdr:row>
      <xdr:rowOff>50658</xdr:rowOff>
    </xdr:from>
    <xdr:to>
      <xdr:col>11</xdr:col>
      <xdr:colOff>61072</xdr:colOff>
      <xdr:row>15</xdr:row>
      <xdr:rowOff>50658</xdr:rowOff>
    </xdr:to>
    <xdr:cxnSp macro="">
      <xdr:nvCxnSpPr>
        <xdr:cNvPr id="32" name="SCHEMA_T04_SOSTEGNO_06_TR1">
          <a:extLst>
            <a:ext uri="{FF2B5EF4-FFF2-40B4-BE49-F238E27FC236}">
              <a16:creationId xmlns:a16="http://schemas.microsoft.com/office/drawing/2014/main" id="{F3DFFD95-663D-A4AC-54BA-A90B8898F606}"/>
            </a:ext>
          </a:extLst>
        </xdr:cNvPr>
        <xdr:cNvCxnSpPr/>
      </xdr:nvCxnSpPr>
      <xdr:spPr>
        <a:xfrm>
          <a:off x="4962525" y="4615187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308349</xdr:colOff>
      <xdr:row>16</xdr:row>
      <xdr:rowOff>171373</xdr:rowOff>
    </xdr:from>
    <xdr:to>
      <xdr:col>11</xdr:col>
      <xdr:colOff>61072</xdr:colOff>
      <xdr:row>16</xdr:row>
      <xdr:rowOff>171373</xdr:rowOff>
    </xdr:to>
    <xdr:cxnSp macro="">
      <xdr:nvCxnSpPr>
        <xdr:cNvPr id="33" name="SCHEMA_T04_SOSTEGNO_06_TR2">
          <a:extLst>
            <a:ext uri="{FF2B5EF4-FFF2-40B4-BE49-F238E27FC236}">
              <a16:creationId xmlns:a16="http://schemas.microsoft.com/office/drawing/2014/main" id="{655AC0C1-8A0C-253D-9940-BB35871977B5}"/>
            </a:ext>
          </a:extLst>
        </xdr:cNvPr>
        <xdr:cNvCxnSpPr/>
      </xdr:nvCxnSpPr>
      <xdr:spPr>
        <a:xfrm>
          <a:off x="4962525" y="4982432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308349</xdr:colOff>
      <xdr:row>18</xdr:row>
      <xdr:rowOff>45560</xdr:rowOff>
    </xdr:from>
    <xdr:to>
      <xdr:col>11</xdr:col>
      <xdr:colOff>61072</xdr:colOff>
      <xdr:row>18</xdr:row>
      <xdr:rowOff>45560</xdr:rowOff>
    </xdr:to>
    <xdr:cxnSp macro="">
      <xdr:nvCxnSpPr>
        <xdr:cNvPr id="34" name="SCHEMA_T04_SOSTEGNO_06_TR3">
          <a:extLst>
            <a:ext uri="{FF2B5EF4-FFF2-40B4-BE49-F238E27FC236}">
              <a16:creationId xmlns:a16="http://schemas.microsoft.com/office/drawing/2014/main" id="{E17673EA-3185-71F2-2DF4-B294722F6B10}"/>
            </a:ext>
          </a:extLst>
        </xdr:cNvPr>
        <xdr:cNvCxnSpPr/>
      </xdr:nvCxnSpPr>
      <xdr:spPr>
        <a:xfrm>
          <a:off x="4962525" y="5349678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302746</xdr:colOff>
      <xdr:row>15</xdr:row>
      <xdr:rowOff>188034</xdr:rowOff>
    </xdr:from>
    <xdr:to>
      <xdr:col>13</xdr:col>
      <xdr:colOff>11019</xdr:colOff>
      <xdr:row>25</xdr:row>
      <xdr:rowOff>94876</xdr:rowOff>
    </xdr:to>
    <xdr:cxnSp macro="">
      <xdr:nvCxnSpPr>
        <xdr:cNvPr id="35" name="SCHEMA_T04_SOSTEGNO_07_SX">
          <a:extLst>
            <a:ext uri="{FF2B5EF4-FFF2-40B4-BE49-F238E27FC236}">
              <a16:creationId xmlns:a16="http://schemas.microsoft.com/office/drawing/2014/main" id="{D8F8C243-4748-46E4-FF95-46C5A6BA7AED}"/>
            </a:ext>
          </a:extLst>
        </xdr:cNvPr>
        <xdr:cNvCxnSpPr/>
      </xdr:nvCxnSpPr>
      <xdr:spPr>
        <a:xfrm flipV="1">
          <a:off x="5629275" y="4752563"/>
          <a:ext cx="44450" cy="2372137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11019</xdr:colOff>
      <xdr:row>15</xdr:row>
      <xdr:rowOff>188034</xdr:rowOff>
    </xdr:from>
    <xdr:to>
      <xdr:col>13</xdr:col>
      <xdr:colOff>55469</xdr:colOff>
      <xdr:row>25</xdr:row>
      <xdr:rowOff>94876</xdr:rowOff>
    </xdr:to>
    <xdr:cxnSp macro="">
      <xdr:nvCxnSpPr>
        <xdr:cNvPr id="36" name="SCHEMA_T04_SOSTEGNO_07_DX">
          <a:extLst>
            <a:ext uri="{FF2B5EF4-FFF2-40B4-BE49-F238E27FC236}">
              <a16:creationId xmlns:a16="http://schemas.microsoft.com/office/drawing/2014/main" id="{BBB2C0E7-58A3-13F4-1286-58A491D1A80C}"/>
            </a:ext>
          </a:extLst>
        </xdr:cNvPr>
        <xdr:cNvCxnSpPr/>
      </xdr:nvCxnSpPr>
      <xdr:spPr>
        <a:xfrm flipH="1" flipV="1">
          <a:off x="5673725" y="4752563"/>
          <a:ext cx="44450" cy="2372137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302746</xdr:colOff>
      <xdr:row>17</xdr:row>
      <xdr:rowOff>121960</xdr:rowOff>
    </xdr:from>
    <xdr:to>
      <xdr:col>13</xdr:col>
      <xdr:colOff>55469</xdr:colOff>
      <xdr:row>17</xdr:row>
      <xdr:rowOff>121960</xdr:rowOff>
    </xdr:to>
    <xdr:cxnSp macro="">
      <xdr:nvCxnSpPr>
        <xdr:cNvPr id="37" name="SCHEMA_T04_SOSTEGNO_07_TR1">
          <a:extLst>
            <a:ext uri="{FF2B5EF4-FFF2-40B4-BE49-F238E27FC236}">
              <a16:creationId xmlns:a16="http://schemas.microsoft.com/office/drawing/2014/main" id="{0FA87864-8BCF-A78E-F9CC-265D6A7E7B41}"/>
            </a:ext>
          </a:extLst>
        </xdr:cNvPr>
        <xdr:cNvCxnSpPr/>
      </xdr:nvCxnSpPr>
      <xdr:spPr>
        <a:xfrm>
          <a:off x="5629275" y="5179548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302746</xdr:colOff>
      <xdr:row>18</xdr:row>
      <xdr:rowOff>160086</xdr:rowOff>
    </xdr:from>
    <xdr:to>
      <xdr:col>13</xdr:col>
      <xdr:colOff>55469</xdr:colOff>
      <xdr:row>18</xdr:row>
      <xdr:rowOff>160086</xdr:rowOff>
    </xdr:to>
    <xdr:cxnSp macro="">
      <xdr:nvCxnSpPr>
        <xdr:cNvPr id="38" name="SCHEMA_T04_SOSTEGNO_07_TR2">
          <a:extLst>
            <a:ext uri="{FF2B5EF4-FFF2-40B4-BE49-F238E27FC236}">
              <a16:creationId xmlns:a16="http://schemas.microsoft.com/office/drawing/2014/main" id="{9899963F-B6EA-4846-B388-1E3274E50C17}"/>
            </a:ext>
          </a:extLst>
        </xdr:cNvPr>
        <xdr:cNvCxnSpPr/>
      </xdr:nvCxnSpPr>
      <xdr:spPr>
        <a:xfrm>
          <a:off x="5629275" y="5464204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302746</xdr:colOff>
      <xdr:row>19</xdr:row>
      <xdr:rowOff>198214</xdr:rowOff>
    </xdr:from>
    <xdr:to>
      <xdr:col>13</xdr:col>
      <xdr:colOff>55469</xdr:colOff>
      <xdr:row>19</xdr:row>
      <xdr:rowOff>198214</xdr:rowOff>
    </xdr:to>
    <xdr:cxnSp macro="">
      <xdr:nvCxnSpPr>
        <xdr:cNvPr id="39" name="SCHEMA_T04_SOSTEGNO_07_TR3">
          <a:extLst>
            <a:ext uri="{FF2B5EF4-FFF2-40B4-BE49-F238E27FC236}">
              <a16:creationId xmlns:a16="http://schemas.microsoft.com/office/drawing/2014/main" id="{A79A0925-4A9A-3C9B-8523-6560B95CF608}"/>
            </a:ext>
          </a:extLst>
        </xdr:cNvPr>
        <xdr:cNvCxnSpPr/>
      </xdr:nvCxnSpPr>
      <xdr:spPr>
        <a:xfrm>
          <a:off x="5629275" y="5748861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297143</xdr:colOff>
      <xdr:row>15</xdr:row>
      <xdr:rowOff>188034</xdr:rowOff>
    </xdr:from>
    <xdr:to>
      <xdr:col>15</xdr:col>
      <xdr:colOff>5416</xdr:colOff>
      <xdr:row>25</xdr:row>
      <xdr:rowOff>94876</xdr:rowOff>
    </xdr:to>
    <xdr:cxnSp macro="">
      <xdr:nvCxnSpPr>
        <xdr:cNvPr id="40" name="SCHEMA_T04_SOSTEGNO_08_SX">
          <a:extLst>
            <a:ext uri="{FF2B5EF4-FFF2-40B4-BE49-F238E27FC236}">
              <a16:creationId xmlns:a16="http://schemas.microsoft.com/office/drawing/2014/main" id="{EE9B3C28-F9D0-AD36-63CD-5CB6ECB7ED9B}"/>
            </a:ext>
          </a:extLst>
        </xdr:cNvPr>
        <xdr:cNvCxnSpPr/>
      </xdr:nvCxnSpPr>
      <xdr:spPr>
        <a:xfrm flipV="1">
          <a:off x="6296025" y="4752563"/>
          <a:ext cx="44450" cy="2372137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5416</xdr:colOff>
      <xdr:row>15</xdr:row>
      <xdr:rowOff>188034</xdr:rowOff>
    </xdr:from>
    <xdr:to>
      <xdr:col>15</xdr:col>
      <xdr:colOff>49866</xdr:colOff>
      <xdr:row>25</xdr:row>
      <xdr:rowOff>94876</xdr:rowOff>
    </xdr:to>
    <xdr:cxnSp macro="">
      <xdr:nvCxnSpPr>
        <xdr:cNvPr id="41" name="SCHEMA_T04_SOSTEGNO_08_DX">
          <a:extLst>
            <a:ext uri="{FF2B5EF4-FFF2-40B4-BE49-F238E27FC236}">
              <a16:creationId xmlns:a16="http://schemas.microsoft.com/office/drawing/2014/main" id="{C9A0D701-4BD6-1063-8C95-7F0D07D6B0CB}"/>
            </a:ext>
          </a:extLst>
        </xdr:cNvPr>
        <xdr:cNvCxnSpPr/>
      </xdr:nvCxnSpPr>
      <xdr:spPr>
        <a:xfrm flipH="1" flipV="1">
          <a:off x="6340475" y="4752563"/>
          <a:ext cx="44450" cy="2372137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297143</xdr:colOff>
      <xdr:row>17</xdr:row>
      <xdr:rowOff>121960</xdr:rowOff>
    </xdr:from>
    <xdr:to>
      <xdr:col>15</xdr:col>
      <xdr:colOff>49866</xdr:colOff>
      <xdr:row>17</xdr:row>
      <xdr:rowOff>121960</xdr:rowOff>
    </xdr:to>
    <xdr:cxnSp macro="">
      <xdr:nvCxnSpPr>
        <xdr:cNvPr id="42" name="SCHEMA_T04_SOSTEGNO_08_TR1">
          <a:extLst>
            <a:ext uri="{FF2B5EF4-FFF2-40B4-BE49-F238E27FC236}">
              <a16:creationId xmlns:a16="http://schemas.microsoft.com/office/drawing/2014/main" id="{9219B9CF-D6C7-27B0-DF6E-798DB2C343D5}"/>
            </a:ext>
          </a:extLst>
        </xdr:cNvPr>
        <xdr:cNvCxnSpPr/>
      </xdr:nvCxnSpPr>
      <xdr:spPr>
        <a:xfrm>
          <a:off x="6296025" y="5179548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297143</xdr:colOff>
      <xdr:row>18</xdr:row>
      <xdr:rowOff>160086</xdr:rowOff>
    </xdr:from>
    <xdr:to>
      <xdr:col>15</xdr:col>
      <xdr:colOff>49866</xdr:colOff>
      <xdr:row>18</xdr:row>
      <xdr:rowOff>160086</xdr:rowOff>
    </xdr:to>
    <xdr:cxnSp macro="">
      <xdr:nvCxnSpPr>
        <xdr:cNvPr id="43" name="SCHEMA_T04_SOSTEGNO_08_TR2">
          <a:extLst>
            <a:ext uri="{FF2B5EF4-FFF2-40B4-BE49-F238E27FC236}">
              <a16:creationId xmlns:a16="http://schemas.microsoft.com/office/drawing/2014/main" id="{F5AB5095-61B7-F676-3679-DCC68AF0EF31}"/>
            </a:ext>
          </a:extLst>
        </xdr:cNvPr>
        <xdr:cNvCxnSpPr/>
      </xdr:nvCxnSpPr>
      <xdr:spPr>
        <a:xfrm>
          <a:off x="6296025" y="5464204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297143</xdr:colOff>
      <xdr:row>19</xdr:row>
      <xdr:rowOff>198214</xdr:rowOff>
    </xdr:from>
    <xdr:to>
      <xdr:col>15</xdr:col>
      <xdr:colOff>49866</xdr:colOff>
      <xdr:row>19</xdr:row>
      <xdr:rowOff>198214</xdr:rowOff>
    </xdr:to>
    <xdr:cxnSp macro="">
      <xdr:nvCxnSpPr>
        <xdr:cNvPr id="44" name="SCHEMA_T04_SOSTEGNO_08_TR3">
          <a:extLst>
            <a:ext uri="{FF2B5EF4-FFF2-40B4-BE49-F238E27FC236}">
              <a16:creationId xmlns:a16="http://schemas.microsoft.com/office/drawing/2014/main" id="{79879A01-8D20-870B-2C8D-8F5CAFA9F068}"/>
            </a:ext>
          </a:extLst>
        </xdr:cNvPr>
        <xdr:cNvCxnSpPr/>
      </xdr:nvCxnSpPr>
      <xdr:spPr>
        <a:xfrm>
          <a:off x="6296025" y="5748861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291540</xdr:colOff>
      <xdr:row>13</xdr:row>
      <xdr:rowOff>2821</xdr:rowOff>
    </xdr:from>
    <xdr:to>
      <xdr:col>16</xdr:col>
      <xdr:colOff>335990</xdr:colOff>
      <xdr:row>25</xdr:row>
      <xdr:rowOff>94876</xdr:rowOff>
    </xdr:to>
    <xdr:cxnSp macro="">
      <xdr:nvCxnSpPr>
        <xdr:cNvPr id="45" name="SCHEMA_T04_SOSTEGNO_09_SX">
          <a:extLst>
            <a:ext uri="{FF2B5EF4-FFF2-40B4-BE49-F238E27FC236}">
              <a16:creationId xmlns:a16="http://schemas.microsoft.com/office/drawing/2014/main" id="{479C37E3-58D3-2458-3062-2875552619B3}"/>
            </a:ext>
          </a:extLst>
        </xdr:cNvPr>
        <xdr:cNvCxnSpPr/>
      </xdr:nvCxnSpPr>
      <xdr:spPr>
        <a:xfrm flipV="1">
          <a:off x="6962775" y="4074292"/>
          <a:ext cx="44450" cy="3050408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335990</xdr:colOff>
      <xdr:row>13</xdr:row>
      <xdr:rowOff>2821</xdr:rowOff>
    </xdr:from>
    <xdr:to>
      <xdr:col>17</xdr:col>
      <xdr:colOff>44263</xdr:colOff>
      <xdr:row>25</xdr:row>
      <xdr:rowOff>94876</xdr:rowOff>
    </xdr:to>
    <xdr:cxnSp macro="">
      <xdr:nvCxnSpPr>
        <xdr:cNvPr id="46" name="SCHEMA_T04_SOSTEGNO_09_DX">
          <a:extLst>
            <a:ext uri="{FF2B5EF4-FFF2-40B4-BE49-F238E27FC236}">
              <a16:creationId xmlns:a16="http://schemas.microsoft.com/office/drawing/2014/main" id="{0106FAB9-9388-C1B5-4BC3-5ABAAD0B0B4E}"/>
            </a:ext>
          </a:extLst>
        </xdr:cNvPr>
        <xdr:cNvCxnSpPr/>
      </xdr:nvCxnSpPr>
      <xdr:spPr>
        <a:xfrm flipH="1" flipV="1">
          <a:off x="7007225" y="4074292"/>
          <a:ext cx="44450" cy="3050408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291540</xdr:colOff>
      <xdr:row>15</xdr:row>
      <xdr:rowOff>58836</xdr:rowOff>
    </xdr:from>
    <xdr:to>
      <xdr:col>17</xdr:col>
      <xdr:colOff>44263</xdr:colOff>
      <xdr:row>15</xdr:row>
      <xdr:rowOff>58836</xdr:rowOff>
    </xdr:to>
    <xdr:cxnSp macro="">
      <xdr:nvCxnSpPr>
        <xdr:cNvPr id="47" name="SCHEMA_T04_SOSTEGNO_09_TR1">
          <a:extLst>
            <a:ext uri="{FF2B5EF4-FFF2-40B4-BE49-F238E27FC236}">
              <a16:creationId xmlns:a16="http://schemas.microsoft.com/office/drawing/2014/main" id="{E224BAC9-BBF7-7A3E-A0EC-73A3BE4CEA73}"/>
            </a:ext>
          </a:extLst>
        </xdr:cNvPr>
        <xdr:cNvCxnSpPr/>
      </xdr:nvCxnSpPr>
      <xdr:spPr>
        <a:xfrm>
          <a:off x="6962775" y="4623365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291540</xdr:colOff>
      <xdr:row>16</xdr:row>
      <xdr:rowOff>178355</xdr:rowOff>
    </xdr:from>
    <xdr:to>
      <xdr:col>17</xdr:col>
      <xdr:colOff>44263</xdr:colOff>
      <xdr:row>16</xdr:row>
      <xdr:rowOff>178355</xdr:rowOff>
    </xdr:to>
    <xdr:cxnSp macro="">
      <xdr:nvCxnSpPr>
        <xdr:cNvPr id="48" name="SCHEMA_T04_SOSTEGNO_09_TR2">
          <a:extLst>
            <a:ext uri="{FF2B5EF4-FFF2-40B4-BE49-F238E27FC236}">
              <a16:creationId xmlns:a16="http://schemas.microsoft.com/office/drawing/2014/main" id="{ED077D17-E328-E390-1A56-C8ED7DE1A577}"/>
            </a:ext>
          </a:extLst>
        </xdr:cNvPr>
        <xdr:cNvCxnSpPr/>
      </xdr:nvCxnSpPr>
      <xdr:spPr>
        <a:xfrm>
          <a:off x="6962775" y="4989414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291540</xdr:colOff>
      <xdr:row>18</xdr:row>
      <xdr:rowOff>51345</xdr:rowOff>
    </xdr:from>
    <xdr:to>
      <xdr:col>17</xdr:col>
      <xdr:colOff>44263</xdr:colOff>
      <xdr:row>18</xdr:row>
      <xdr:rowOff>51345</xdr:rowOff>
    </xdr:to>
    <xdr:cxnSp macro="">
      <xdr:nvCxnSpPr>
        <xdr:cNvPr id="49" name="SCHEMA_T04_SOSTEGNO_09_TR3">
          <a:extLst>
            <a:ext uri="{FF2B5EF4-FFF2-40B4-BE49-F238E27FC236}">
              <a16:creationId xmlns:a16="http://schemas.microsoft.com/office/drawing/2014/main" id="{3971171D-31D6-49C3-CB03-A5637A71251B}"/>
            </a:ext>
          </a:extLst>
        </xdr:cNvPr>
        <xdr:cNvCxnSpPr/>
      </xdr:nvCxnSpPr>
      <xdr:spPr>
        <a:xfrm>
          <a:off x="6962775" y="5355463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285937</xdr:colOff>
      <xdr:row>13</xdr:row>
      <xdr:rowOff>2821</xdr:rowOff>
    </xdr:from>
    <xdr:to>
      <xdr:col>18</xdr:col>
      <xdr:colOff>330387</xdr:colOff>
      <xdr:row>25</xdr:row>
      <xdr:rowOff>94876</xdr:rowOff>
    </xdr:to>
    <xdr:cxnSp macro="">
      <xdr:nvCxnSpPr>
        <xdr:cNvPr id="50" name="SCHEMA_T04_SOSTEGNO_10_SX">
          <a:extLst>
            <a:ext uri="{FF2B5EF4-FFF2-40B4-BE49-F238E27FC236}">
              <a16:creationId xmlns:a16="http://schemas.microsoft.com/office/drawing/2014/main" id="{FD22D827-0D01-17D0-DE7C-258FF132369A}"/>
            </a:ext>
          </a:extLst>
        </xdr:cNvPr>
        <xdr:cNvCxnSpPr/>
      </xdr:nvCxnSpPr>
      <xdr:spPr>
        <a:xfrm flipV="1">
          <a:off x="7629525" y="4074292"/>
          <a:ext cx="44450" cy="3050408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330387</xdr:colOff>
      <xdr:row>13</xdr:row>
      <xdr:rowOff>2821</xdr:rowOff>
    </xdr:from>
    <xdr:to>
      <xdr:col>19</xdr:col>
      <xdr:colOff>38660</xdr:colOff>
      <xdr:row>25</xdr:row>
      <xdr:rowOff>94876</xdr:rowOff>
    </xdr:to>
    <xdr:cxnSp macro="">
      <xdr:nvCxnSpPr>
        <xdr:cNvPr id="51" name="SCHEMA_T04_SOSTEGNO_10_DX">
          <a:extLst>
            <a:ext uri="{FF2B5EF4-FFF2-40B4-BE49-F238E27FC236}">
              <a16:creationId xmlns:a16="http://schemas.microsoft.com/office/drawing/2014/main" id="{2C7EF1D7-E270-52B4-4415-59D4315F2E9A}"/>
            </a:ext>
          </a:extLst>
        </xdr:cNvPr>
        <xdr:cNvCxnSpPr/>
      </xdr:nvCxnSpPr>
      <xdr:spPr>
        <a:xfrm flipH="1" flipV="1">
          <a:off x="7673975" y="4074292"/>
          <a:ext cx="44450" cy="3050408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285937</xdr:colOff>
      <xdr:row>15</xdr:row>
      <xdr:rowOff>58836</xdr:rowOff>
    </xdr:from>
    <xdr:to>
      <xdr:col>19</xdr:col>
      <xdr:colOff>38660</xdr:colOff>
      <xdr:row>15</xdr:row>
      <xdr:rowOff>58836</xdr:rowOff>
    </xdr:to>
    <xdr:cxnSp macro="">
      <xdr:nvCxnSpPr>
        <xdr:cNvPr id="52" name="SCHEMA_T04_SOSTEGNO_10_TR1">
          <a:extLst>
            <a:ext uri="{FF2B5EF4-FFF2-40B4-BE49-F238E27FC236}">
              <a16:creationId xmlns:a16="http://schemas.microsoft.com/office/drawing/2014/main" id="{6BA6EF89-28FD-4901-C0D5-FDEB110DB37A}"/>
            </a:ext>
          </a:extLst>
        </xdr:cNvPr>
        <xdr:cNvCxnSpPr/>
      </xdr:nvCxnSpPr>
      <xdr:spPr>
        <a:xfrm>
          <a:off x="7629525" y="4623365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285937</xdr:colOff>
      <xdr:row>16</xdr:row>
      <xdr:rowOff>178355</xdr:rowOff>
    </xdr:from>
    <xdr:to>
      <xdr:col>19</xdr:col>
      <xdr:colOff>38660</xdr:colOff>
      <xdr:row>16</xdr:row>
      <xdr:rowOff>178355</xdr:rowOff>
    </xdr:to>
    <xdr:cxnSp macro="">
      <xdr:nvCxnSpPr>
        <xdr:cNvPr id="53" name="SCHEMA_T04_SOSTEGNO_10_TR2">
          <a:extLst>
            <a:ext uri="{FF2B5EF4-FFF2-40B4-BE49-F238E27FC236}">
              <a16:creationId xmlns:a16="http://schemas.microsoft.com/office/drawing/2014/main" id="{E59EDFC9-09DD-94BA-181F-EB045A32D2D1}"/>
            </a:ext>
          </a:extLst>
        </xdr:cNvPr>
        <xdr:cNvCxnSpPr/>
      </xdr:nvCxnSpPr>
      <xdr:spPr>
        <a:xfrm>
          <a:off x="7629525" y="4989414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285937</xdr:colOff>
      <xdr:row>18</xdr:row>
      <xdr:rowOff>51345</xdr:rowOff>
    </xdr:from>
    <xdr:to>
      <xdr:col>19</xdr:col>
      <xdr:colOff>38660</xdr:colOff>
      <xdr:row>18</xdr:row>
      <xdr:rowOff>51345</xdr:rowOff>
    </xdr:to>
    <xdr:cxnSp macro="">
      <xdr:nvCxnSpPr>
        <xdr:cNvPr id="54" name="SCHEMA_T04_SOSTEGNO_10_TR3">
          <a:extLst>
            <a:ext uri="{FF2B5EF4-FFF2-40B4-BE49-F238E27FC236}">
              <a16:creationId xmlns:a16="http://schemas.microsoft.com/office/drawing/2014/main" id="{823C07FE-E27B-6D32-AC80-28763A10AB88}"/>
            </a:ext>
          </a:extLst>
        </xdr:cNvPr>
        <xdr:cNvCxnSpPr/>
      </xdr:nvCxnSpPr>
      <xdr:spPr>
        <a:xfrm>
          <a:off x="7629525" y="5355463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280334</xdr:colOff>
      <xdr:row>13</xdr:row>
      <xdr:rowOff>12796</xdr:rowOff>
    </xdr:from>
    <xdr:to>
      <xdr:col>20</xdr:col>
      <xdr:colOff>324784</xdr:colOff>
      <xdr:row>25</xdr:row>
      <xdr:rowOff>94876</xdr:rowOff>
    </xdr:to>
    <xdr:cxnSp macro="">
      <xdr:nvCxnSpPr>
        <xdr:cNvPr id="55" name="SCHEMA_T04_SOSTEGNO_11_SX">
          <a:extLst>
            <a:ext uri="{FF2B5EF4-FFF2-40B4-BE49-F238E27FC236}">
              <a16:creationId xmlns:a16="http://schemas.microsoft.com/office/drawing/2014/main" id="{1C679126-066F-2B85-CF5D-10C67D0BBAFB}"/>
            </a:ext>
          </a:extLst>
        </xdr:cNvPr>
        <xdr:cNvCxnSpPr/>
      </xdr:nvCxnSpPr>
      <xdr:spPr>
        <a:xfrm flipV="1">
          <a:off x="8296275" y="4084267"/>
          <a:ext cx="44450" cy="3040433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324784</xdr:colOff>
      <xdr:row>13</xdr:row>
      <xdr:rowOff>12796</xdr:rowOff>
    </xdr:from>
    <xdr:to>
      <xdr:col>21</xdr:col>
      <xdr:colOff>33057</xdr:colOff>
      <xdr:row>25</xdr:row>
      <xdr:rowOff>94876</xdr:rowOff>
    </xdr:to>
    <xdr:cxnSp macro="">
      <xdr:nvCxnSpPr>
        <xdr:cNvPr id="56" name="SCHEMA_T04_SOSTEGNO_11_DX">
          <a:extLst>
            <a:ext uri="{FF2B5EF4-FFF2-40B4-BE49-F238E27FC236}">
              <a16:creationId xmlns:a16="http://schemas.microsoft.com/office/drawing/2014/main" id="{9ED528F4-E2DB-085C-EA41-F6F824577EE2}"/>
            </a:ext>
          </a:extLst>
        </xdr:cNvPr>
        <xdr:cNvCxnSpPr/>
      </xdr:nvCxnSpPr>
      <xdr:spPr>
        <a:xfrm flipH="1" flipV="1">
          <a:off x="8340725" y="4084267"/>
          <a:ext cx="44450" cy="3040433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280334</xdr:colOff>
      <xdr:row>15</xdr:row>
      <xdr:rowOff>67016</xdr:rowOff>
    </xdr:from>
    <xdr:to>
      <xdr:col>21</xdr:col>
      <xdr:colOff>33057</xdr:colOff>
      <xdr:row>15</xdr:row>
      <xdr:rowOff>67016</xdr:rowOff>
    </xdr:to>
    <xdr:cxnSp macro="">
      <xdr:nvCxnSpPr>
        <xdr:cNvPr id="57" name="SCHEMA_T04_SOSTEGNO_11_TR1">
          <a:extLst>
            <a:ext uri="{FF2B5EF4-FFF2-40B4-BE49-F238E27FC236}">
              <a16:creationId xmlns:a16="http://schemas.microsoft.com/office/drawing/2014/main" id="{66C818C5-2BB7-20C9-87AF-C50D51AAB341}"/>
            </a:ext>
          </a:extLst>
        </xdr:cNvPr>
        <xdr:cNvCxnSpPr/>
      </xdr:nvCxnSpPr>
      <xdr:spPr>
        <a:xfrm>
          <a:off x="8296275" y="4631545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280334</xdr:colOff>
      <xdr:row>16</xdr:row>
      <xdr:rowOff>185338</xdr:rowOff>
    </xdr:from>
    <xdr:to>
      <xdr:col>21</xdr:col>
      <xdr:colOff>33057</xdr:colOff>
      <xdr:row>16</xdr:row>
      <xdr:rowOff>185338</xdr:rowOff>
    </xdr:to>
    <xdr:cxnSp macro="">
      <xdr:nvCxnSpPr>
        <xdr:cNvPr id="58" name="SCHEMA_T04_SOSTEGNO_11_TR2">
          <a:extLst>
            <a:ext uri="{FF2B5EF4-FFF2-40B4-BE49-F238E27FC236}">
              <a16:creationId xmlns:a16="http://schemas.microsoft.com/office/drawing/2014/main" id="{FAB815CD-2776-CD98-CACD-90443206F32F}"/>
            </a:ext>
          </a:extLst>
        </xdr:cNvPr>
        <xdr:cNvCxnSpPr/>
      </xdr:nvCxnSpPr>
      <xdr:spPr>
        <a:xfrm>
          <a:off x="8296275" y="4996397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280334</xdr:colOff>
      <xdr:row>18</xdr:row>
      <xdr:rowOff>57131</xdr:rowOff>
    </xdr:from>
    <xdr:to>
      <xdr:col>21</xdr:col>
      <xdr:colOff>33057</xdr:colOff>
      <xdr:row>18</xdr:row>
      <xdr:rowOff>57131</xdr:rowOff>
    </xdr:to>
    <xdr:cxnSp macro="">
      <xdr:nvCxnSpPr>
        <xdr:cNvPr id="59" name="SCHEMA_T04_SOSTEGNO_11_TR3">
          <a:extLst>
            <a:ext uri="{FF2B5EF4-FFF2-40B4-BE49-F238E27FC236}">
              <a16:creationId xmlns:a16="http://schemas.microsoft.com/office/drawing/2014/main" id="{BDB91237-661B-2349-F416-EE2595A19C0A}"/>
            </a:ext>
          </a:extLst>
        </xdr:cNvPr>
        <xdr:cNvCxnSpPr/>
      </xdr:nvCxnSpPr>
      <xdr:spPr>
        <a:xfrm>
          <a:off x="8296275" y="5361249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274731</xdr:colOff>
      <xdr:row>15</xdr:row>
      <xdr:rowOff>68339</xdr:rowOff>
    </xdr:from>
    <xdr:to>
      <xdr:col>22</xdr:col>
      <xdr:colOff>319181</xdr:colOff>
      <xdr:row>25</xdr:row>
      <xdr:rowOff>94876</xdr:rowOff>
    </xdr:to>
    <xdr:cxnSp macro="">
      <xdr:nvCxnSpPr>
        <xdr:cNvPr id="60" name="SCHEMA_T04_SOSTEGNO_12_SX">
          <a:extLst>
            <a:ext uri="{FF2B5EF4-FFF2-40B4-BE49-F238E27FC236}">
              <a16:creationId xmlns:a16="http://schemas.microsoft.com/office/drawing/2014/main" id="{2F0CA005-DABA-3E39-2762-420494D54408}"/>
            </a:ext>
          </a:extLst>
        </xdr:cNvPr>
        <xdr:cNvCxnSpPr/>
      </xdr:nvCxnSpPr>
      <xdr:spPr>
        <a:xfrm flipV="1">
          <a:off x="8963025" y="4632868"/>
          <a:ext cx="44450" cy="2491832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319181</xdr:colOff>
      <xdr:row>15</xdr:row>
      <xdr:rowOff>68339</xdr:rowOff>
    </xdr:from>
    <xdr:to>
      <xdr:col>23</xdr:col>
      <xdr:colOff>27454</xdr:colOff>
      <xdr:row>25</xdr:row>
      <xdr:rowOff>94876</xdr:rowOff>
    </xdr:to>
    <xdr:cxnSp macro="">
      <xdr:nvCxnSpPr>
        <xdr:cNvPr id="61" name="SCHEMA_T04_SOSTEGNO_12_DX">
          <a:extLst>
            <a:ext uri="{FF2B5EF4-FFF2-40B4-BE49-F238E27FC236}">
              <a16:creationId xmlns:a16="http://schemas.microsoft.com/office/drawing/2014/main" id="{82607A24-6333-3557-28F8-4E323198214F}"/>
            </a:ext>
          </a:extLst>
        </xdr:cNvPr>
        <xdr:cNvCxnSpPr/>
      </xdr:nvCxnSpPr>
      <xdr:spPr>
        <a:xfrm flipH="1" flipV="1">
          <a:off x="9007475" y="4632868"/>
          <a:ext cx="44450" cy="2491832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274731</xdr:colOff>
      <xdr:row>17</xdr:row>
      <xdr:rowOff>23810</xdr:rowOff>
    </xdr:from>
    <xdr:to>
      <xdr:col>23</xdr:col>
      <xdr:colOff>27454</xdr:colOff>
      <xdr:row>17</xdr:row>
      <xdr:rowOff>23810</xdr:rowOff>
    </xdr:to>
    <xdr:cxnSp macro="">
      <xdr:nvCxnSpPr>
        <xdr:cNvPr id="62" name="SCHEMA_T04_SOSTEGNO_12_TR1">
          <a:extLst>
            <a:ext uri="{FF2B5EF4-FFF2-40B4-BE49-F238E27FC236}">
              <a16:creationId xmlns:a16="http://schemas.microsoft.com/office/drawing/2014/main" id="{AD93B3B0-358B-98A0-13EC-669D97D53505}"/>
            </a:ext>
          </a:extLst>
        </xdr:cNvPr>
        <xdr:cNvCxnSpPr/>
      </xdr:nvCxnSpPr>
      <xdr:spPr>
        <a:xfrm>
          <a:off x="8963025" y="5081398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274731</xdr:colOff>
      <xdr:row>18</xdr:row>
      <xdr:rowOff>76300</xdr:rowOff>
    </xdr:from>
    <xdr:to>
      <xdr:col>23</xdr:col>
      <xdr:colOff>27454</xdr:colOff>
      <xdr:row>18</xdr:row>
      <xdr:rowOff>76300</xdr:rowOff>
    </xdr:to>
    <xdr:cxnSp macro="">
      <xdr:nvCxnSpPr>
        <xdr:cNvPr id="63" name="SCHEMA_T04_SOSTEGNO_12_TR2">
          <a:extLst>
            <a:ext uri="{FF2B5EF4-FFF2-40B4-BE49-F238E27FC236}">
              <a16:creationId xmlns:a16="http://schemas.microsoft.com/office/drawing/2014/main" id="{9BB5514F-7A44-D84B-5004-0A01AFB7D6CB}"/>
            </a:ext>
          </a:extLst>
        </xdr:cNvPr>
        <xdr:cNvCxnSpPr/>
      </xdr:nvCxnSpPr>
      <xdr:spPr>
        <a:xfrm>
          <a:off x="8963025" y="5380418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274731</xdr:colOff>
      <xdr:row>19</xdr:row>
      <xdr:rowOff>128791</xdr:rowOff>
    </xdr:from>
    <xdr:to>
      <xdr:col>23</xdr:col>
      <xdr:colOff>27454</xdr:colOff>
      <xdr:row>19</xdr:row>
      <xdr:rowOff>128791</xdr:rowOff>
    </xdr:to>
    <xdr:cxnSp macro="">
      <xdr:nvCxnSpPr>
        <xdr:cNvPr id="1522" name="SCHEMA_T04_SOSTEGNO_12_TR3">
          <a:extLst>
            <a:ext uri="{FF2B5EF4-FFF2-40B4-BE49-F238E27FC236}">
              <a16:creationId xmlns:a16="http://schemas.microsoft.com/office/drawing/2014/main" id="{EA762914-97E6-56F2-2143-B2A8BC7CAE73}"/>
            </a:ext>
          </a:extLst>
        </xdr:cNvPr>
        <xdr:cNvCxnSpPr/>
      </xdr:nvCxnSpPr>
      <xdr:spPr>
        <a:xfrm>
          <a:off x="8963025" y="5679438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269128</xdr:colOff>
      <xdr:row>14</xdr:row>
      <xdr:rowOff>35580</xdr:rowOff>
    </xdr:from>
    <xdr:to>
      <xdr:col>24</xdr:col>
      <xdr:colOff>313578</xdr:colOff>
      <xdr:row>25</xdr:row>
      <xdr:rowOff>94876</xdr:rowOff>
    </xdr:to>
    <xdr:cxnSp macro="">
      <xdr:nvCxnSpPr>
        <xdr:cNvPr id="1523" name="SCHEMA_T04_SOSTEGNO_13_SX">
          <a:extLst>
            <a:ext uri="{FF2B5EF4-FFF2-40B4-BE49-F238E27FC236}">
              <a16:creationId xmlns:a16="http://schemas.microsoft.com/office/drawing/2014/main" id="{48E56983-4566-DAD2-1BE5-8C1226E1A783}"/>
            </a:ext>
          </a:extLst>
        </xdr:cNvPr>
        <xdr:cNvCxnSpPr/>
      </xdr:nvCxnSpPr>
      <xdr:spPr>
        <a:xfrm flipV="1">
          <a:off x="9629775" y="4353580"/>
          <a:ext cx="44450" cy="2771120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313578</xdr:colOff>
      <xdr:row>14</xdr:row>
      <xdr:rowOff>35580</xdr:rowOff>
    </xdr:from>
    <xdr:to>
      <xdr:col>25</xdr:col>
      <xdr:colOff>21851</xdr:colOff>
      <xdr:row>25</xdr:row>
      <xdr:rowOff>94876</xdr:rowOff>
    </xdr:to>
    <xdr:cxnSp macro="">
      <xdr:nvCxnSpPr>
        <xdr:cNvPr id="1524" name="SCHEMA_T04_SOSTEGNO_13_DX">
          <a:extLst>
            <a:ext uri="{FF2B5EF4-FFF2-40B4-BE49-F238E27FC236}">
              <a16:creationId xmlns:a16="http://schemas.microsoft.com/office/drawing/2014/main" id="{B3B19DEC-4C69-551E-281C-CDF61A9FD6C6}"/>
            </a:ext>
          </a:extLst>
        </xdr:cNvPr>
        <xdr:cNvCxnSpPr/>
      </xdr:nvCxnSpPr>
      <xdr:spPr>
        <a:xfrm flipH="1" flipV="1">
          <a:off x="9674225" y="4353580"/>
          <a:ext cx="44450" cy="2771120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269128</xdr:colOff>
      <xdr:row>16</xdr:row>
      <xdr:rowOff>41323</xdr:rowOff>
    </xdr:from>
    <xdr:to>
      <xdr:col>25</xdr:col>
      <xdr:colOff>21851</xdr:colOff>
      <xdr:row>16</xdr:row>
      <xdr:rowOff>41323</xdr:rowOff>
    </xdr:to>
    <xdr:cxnSp macro="">
      <xdr:nvCxnSpPr>
        <xdr:cNvPr id="1525" name="SCHEMA_T04_SOSTEGNO_13_TR1">
          <a:extLst>
            <a:ext uri="{FF2B5EF4-FFF2-40B4-BE49-F238E27FC236}">
              <a16:creationId xmlns:a16="http://schemas.microsoft.com/office/drawing/2014/main" id="{E287036A-142B-1869-FC81-4CD724DE04BA}"/>
            </a:ext>
          </a:extLst>
        </xdr:cNvPr>
        <xdr:cNvCxnSpPr/>
      </xdr:nvCxnSpPr>
      <xdr:spPr>
        <a:xfrm>
          <a:off x="9629775" y="4852382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269128</xdr:colOff>
      <xdr:row>17</xdr:row>
      <xdr:rowOff>127328</xdr:rowOff>
    </xdr:from>
    <xdr:to>
      <xdr:col>25</xdr:col>
      <xdr:colOff>21851</xdr:colOff>
      <xdr:row>17</xdr:row>
      <xdr:rowOff>127328</xdr:rowOff>
    </xdr:to>
    <xdr:cxnSp macro="">
      <xdr:nvCxnSpPr>
        <xdr:cNvPr id="1526" name="SCHEMA_T04_SOSTEGNO_13_TR2">
          <a:extLst>
            <a:ext uri="{FF2B5EF4-FFF2-40B4-BE49-F238E27FC236}">
              <a16:creationId xmlns:a16="http://schemas.microsoft.com/office/drawing/2014/main" id="{BB16F7E9-6C88-0779-A657-E009C5DF553D}"/>
            </a:ext>
          </a:extLst>
        </xdr:cNvPr>
        <xdr:cNvCxnSpPr/>
      </xdr:nvCxnSpPr>
      <xdr:spPr>
        <a:xfrm>
          <a:off x="9629775" y="5184916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269128</xdr:colOff>
      <xdr:row>18</xdr:row>
      <xdr:rowOff>213332</xdr:rowOff>
    </xdr:from>
    <xdr:to>
      <xdr:col>25</xdr:col>
      <xdr:colOff>21851</xdr:colOff>
      <xdr:row>18</xdr:row>
      <xdr:rowOff>213332</xdr:rowOff>
    </xdr:to>
    <xdr:cxnSp macro="">
      <xdr:nvCxnSpPr>
        <xdr:cNvPr id="1527" name="SCHEMA_T04_SOSTEGNO_13_TR3">
          <a:extLst>
            <a:ext uri="{FF2B5EF4-FFF2-40B4-BE49-F238E27FC236}">
              <a16:creationId xmlns:a16="http://schemas.microsoft.com/office/drawing/2014/main" id="{1D2BC616-18CE-6139-6BC1-870B5BF0F7D2}"/>
            </a:ext>
          </a:extLst>
        </xdr:cNvPr>
        <xdr:cNvCxnSpPr/>
      </xdr:nvCxnSpPr>
      <xdr:spPr>
        <a:xfrm>
          <a:off x="9629775" y="5517450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263525</xdr:colOff>
      <xdr:row>15</xdr:row>
      <xdr:rowOff>188034</xdr:rowOff>
    </xdr:from>
    <xdr:to>
      <xdr:col>26</xdr:col>
      <xdr:colOff>307975</xdr:colOff>
      <xdr:row>25</xdr:row>
      <xdr:rowOff>94876</xdr:rowOff>
    </xdr:to>
    <xdr:cxnSp macro="">
      <xdr:nvCxnSpPr>
        <xdr:cNvPr id="1528" name="SCHEMA_T04_SOSTEGNO_14_SX">
          <a:extLst>
            <a:ext uri="{FF2B5EF4-FFF2-40B4-BE49-F238E27FC236}">
              <a16:creationId xmlns:a16="http://schemas.microsoft.com/office/drawing/2014/main" id="{461D7D15-75F5-80A5-7890-81D9ACBB785F}"/>
            </a:ext>
          </a:extLst>
        </xdr:cNvPr>
        <xdr:cNvCxnSpPr/>
      </xdr:nvCxnSpPr>
      <xdr:spPr>
        <a:xfrm flipV="1">
          <a:off x="10296525" y="4752563"/>
          <a:ext cx="44450" cy="2372137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307975</xdr:colOff>
      <xdr:row>15</xdr:row>
      <xdr:rowOff>188034</xdr:rowOff>
    </xdr:from>
    <xdr:to>
      <xdr:col>27</xdr:col>
      <xdr:colOff>16249</xdr:colOff>
      <xdr:row>25</xdr:row>
      <xdr:rowOff>94876</xdr:rowOff>
    </xdr:to>
    <xdr:cxnSp macro="">
      <xdr:nvCxnSpPr>
        <xdr:cNvPr id="1529" name="SCHEMA_T04_SOSTEGNO_14_DX">
          <a:extLst>
            <a:ext uri="{FF2B5EF4-FFF2-40B4-BE49-F238E27FC236}">
              <a16:creationId xmlns:a16="http://schemas.microsoft.com/office/drawing/2014/main" id="{54FBD3E5-2F73-CCDF-FCE1-815C938BEB88}"/>
            </a:ext>
          </a:extLst>
        </xdr:cNvPr>
        <xdr:cNvCxnSpPr/>
      </xdr:nvCxnSpPr>
      <xdr:spPr>
        <a:xfrm flipH="1" flipV="1">
          <a:off x="10340975" y="4752563"/>
          <a:ext cx="44450" cy="2372137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263525</xdr:colOff>
      <xdr:row>17</xdr:row>
      <xdr:rowOff>121960</xdr:rowOff>
    </xdr:from>
    <xdr:to>
      <xdr:col>27</xdr:col>
      <xdr:colOff>16249</xdr:colOff>
      <xdr:row>17</xdr:row>
      <xdr:rowOff>121960</xdr:rowOff>
    </xdr:to>
    <xdr:cxnSp macro="">
      <xdr:nvCxnSpPr>
        <xdr:cNvPr id="1530" name="SCHEMA_T04_SOSTEGNO_14_TR1">
          <a:extLst>
            <a:ext uri="{FF2B5EF4-FFF2-40B4-BE49-F238E27FC236}">
              <a16:creationId xmlns:a16="http://schemas.microsoft.com/office/drawing/2014/main" id="{2751B460-9F10-0E80-C4E0-6BB9EB15B9FC}"/>
            </a:ext>
          </a:extLst>
        </xdr:cNvPr>
        <xdr:cNvCxnSpPr/>
      </xdr:nvCxnSpPr>
      <xdr:spPr>
        <a:xfrm>
          <a:off x="10296525" y="5179548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263525</xdr:colOff>
      <xdr:row>18</xdr:row>
      <xdr:rowOff>160086</xdr:rowOff>
    </xdr:from>
    <xdr:to>
      <xdr:col>27</xdr:col>
      <xdr:colOff>16249</xdr:colOff>
      <xdr:row>18</xdr:row>
      <xdr:rowOff>160086</xdr:rowOff>
    </xdr:to>
    <xdr:cxnSp macro="">
      <xdr:nvCxnSpPr>
        <xdr:cNvPr id="1531" name="SCHEMA_T04_SOSTEGNO_14_TR2">
          <a:extLst>
            <a:ext uri="{FF2B5EF4-FFF2-40B4-BE49-F238E27FC236}">
              <a16:creationId xmlns:a16="http://schemas.microsoft.com/office/drawing/2014/main" id="{67F4E348-F81F-ACD8-F97A-CA06EA3FE124}"/>
            </a:ext>
          </a:extLst>
        </xdr:cNvPr>
        <xdr:cNvCxnSpPr/>
      </xdr:nvCxnSpPr>
      <xdr:spPr>
        <a:xfrm>
          <a:off x="10296525" y="5464204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263525</xdr:colOff>
      <xdr:row>19</xdr:row>
      <xdr:rowOff>198214</xdr:rowOff>
    </xdr:from>
    <xdr:to>
      <xdr:col>27</xdr:col>
      <xdr:colOff>16249</xdr:colOff>
      <xdr:row>19</xdr:row>
      <xdr:rowOff>198214</xdr:rowOff>
    </xdr:to>
    <xdr:cxnSp macro="">
      <xdr:nvCxnSpPr>
        <xdr:cNvPr id="1532" name="SCHEMA_T04_SOSTEGNO_14_TR3">
          <a:extLst>
            <a:ext uri="{FF2B5EF4-FFF2-40B4-BE49-F238E27FC236}">
              <a16:creationId xmlns:a16="http://schemas.microsoft.com/office/drawing/2014/main" id="{7D6ADEC2-5803-DC60-3D96-766664F59894}"/>
            </a:ext>
          </a:extLst>
        </xdr:cNvPr>
        <xdr:cNvCxnSpPr/>
      </xdr:nvCxnSpPr>
      <xdr:spPr>
        <a:xfrm>
          <a:off x="10296525" y="5748861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257922</xdr:colOff>
      <xdr:row>15</xdr:row>
      <xdr:rowOff>178060</xdr:rowOff>
    </xdr:from>
    <xdr:to>
      <xdr:col>28</xdr:col>
      <xdr:colOff>302372</xdr:colOff>
      <xdr:row>25</xdr:row>
      <xdr:rowOff>94876</xdr:rowOff>
    </xdr:to>
    <xdr:cxnSp macro="">
      <xdr:nvCxnSpPr>
        <xdr:cNvPr id="1533" name="SCHEMA_T04_SOSTEGNO_15_SX">
          <a:extLst>
            <a:ext uri="{FF2B5EF4-FFF2-40B4-BE49-F238E27FC236}">
              <a16:creationId xmlns:a16="http://schemas.microsoft.com/office/drawing/2014/main" id="{B15F6DE9-17D3-5FFA-50B9-C9D4D2A1645D}"/>
            </a:ext>
          </a:extLst>
        </xdr:cNvPr>
        <xdr:cNvCxnSpPr/>
      </xdr:nvCxnSpPr>
      <xdr:spPr>
        <a:xfrm flipV="1">
          <a:off x="10963275" y="4742589"/>
          <a:ext cx="44450" cy="2382111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302372</xdr:colOff>
      <xdr:row>15</xdr:row>
      <xdr:rowOff>178060</xdr:rowOff>
    </xdr:from>
    <xdr:to>
      <xdr:col>29</xdr:col>
      <xdr:colOff>10646</xdr:colOff>
      <xdr:row>25</xdr:row>
      <xdr:rowOff>94876</xdr:rowOff>
    </xdr:to>
    <xdr:cxnSp macro="">
      <xdr:nvCxnSpPr>
        <xdr:cNvPr id="1534" name="SCHEMA_T04_SOSTEGNO_15_DX">
          <a:extLst>
            <a:ext uri="{FF2B5EF4-FFF2-40B4-BE49-F238E27FC236}">
              <a16:creationId xmlns:a16="http://schemas.microsoft.com/office/drawing/2014/main" id="{130D3AFB-7FC2-98B0-138D-156F0B2C95F0}"/>
            </a:ext>
          </a:extLst>
        </xdr:cNvPr>
        <xdr:cNvCxnSpPr/>
      </xdr:nvCxnSpPr>
      <xdr:spPr>
        <a:xfrm flipH="1" flipV="1">
          <a:off x="11007725" y="4742589"/>
          <a:ext cx="44450" cy="2382111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257922</xdr:colOff>
      <xdr:row>17</xdr:row>
      <xdr:rowOff>113781</xdr:rowOff>
    </xdr:from>
    <xdr:to>
      <xdr:col>29</xdr:col>
      <xdr:colOff>10646</xdr:colOff>
      <xdr:row>17</xdr:row>
      <xdr:rowOff>113781</xdr:rowOff>
    </xdr:to>
    <xdr:cxnSp macro="">
      <xdr:nvCxnSpPr>
        <xdr:cNvPr id="1535" name="SCHEMA_T04_SOSTEGNO_15_TR1">
          <a:extLst>
            <a:ext uri="{FF2B5EF4-FFF2-40B4-BE49-F238E27FC236}">
              <a16:creationId xmlns:a16="http://schemas.microsoft.com/office/drawing/2014/main" id="{E29F8F82-AD89-F927-D2CB-54D4193B4EDA}"/>
            </a:ext>
          </a:extLst>
        </xdr:cNvPr>
        <xdr:cNvCxnSpPr/>
      </xdr:nvCxnSpPr>
      <xdr:spPr>
        <a:xfrm>
          <a:off x="10963275" y="5171369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257922</xdr:colOff>
      <xdr:row>18</xdr:row>
      <xdr:rowOff>153104</xdr:rowOff>
    </xdr:from>
    <xdr:to>
      <xdr:col>29</xdr:col>
      <xdr:colOff>10646</xdr:colOff>
      <xdr:row>18</xdr:row>
      <xdr:rowOff>153104</xdr:rowOff>
    </xdr:to>
    <xdr:cxnSp macro="">
      <xdr:nvCxnSpPr>
        <xdr:cNvPr id="1088" name="SCHEMA_T04_SOSTEGNO_15_TR2">
          <a:extLst>
            <a:ext uri="{FF2B5EF4-FFF2-40B4-BE49-F238E27FC236}">
              <a16:creationId xmlns:a16="http://schemas.microsoft.com/office/drawing/2014/main" id="{C159C596-EB7C-67BB-8634-669A564E9E73}"/>
            </a:ext>
          </a:extLst>
        </xdr:cNvPr>
        <xdr:cNvCxnSpPr/>
      </xdr:nvCxnSpPr>
      <xdr:spPr>
        <a:xfrm>
          <a:off x="10963275" y="5457222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257922</xdr:colOff>
      <xdr:row>19</xdr:row>
      <xdr:rowOff>192428</xdr:rowOff>
    </xdr:from>
    <xdr:to>
      <xdr:col>29</xdr:col>
      <xdr:colOff>10646</xdr:colOff>
      <xdr:row>19</xdr:row>
      <xdr:rowOff>192428</xdr:rowOff>
    </xdr:to>
    <xdr:cxnSp macro="">
      <xdr:nvCxnSpPr>
        <xdr:cNvPr id="1089" name="SCHEMA_T04_SOSTEGNO_15_TR3">
          <a:extLst>
            <a:ext uri="{FF2B5EF4-FFF2-40B4-BE49-F238E27FC236}">
              <a16:creationId xmlns:a16="http://schemas.microsoft.com/office/drawing/2014/main" id="{19219ABB-EF3C-7781-F8B9-1DC22F3AB5DD}"/>
            </a:ext>
          </a:extLst>
        </xdr:cNvPr>
        <xdr:cNvCxnSpPr/>
      </xdr:nvCxnSpPr>
      <xdr:spPr>
        <a:xfrm>
          <a:off x="10963275" y="5743075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252319</xdr:colOff>
      <xdr:row>14</xdr:row>
      <xdr:rowOff>185199</xdr:rowOff>
    </xdr:from>
    <xdr:to>
      <xdr:col>30</xdr:col>
      <xdr:colOff>296769</xdr:colOff>
      <xdr:row>25</xdr:row>
      <xdr:rowOff>94876</xdr:rowOff>
    </xdr:to>
    <xdr:cxnSp macro="">
      <xdr:nvCxnSpPr>
        <xdr:cNvPr id="1090" name="SCHEMA_T04_SOSTEGNO_16_SX">
          <a:extLst>
            <a:ext uri="{FF2B5EF4-FFF2-40B4-BE49-F238E27FC236}">
              <a16:creationId xmlns:a16="http://schemas.microsoft.com/office/drawing/2014/main" id="{96A756D9-348D-61FD-1CC5-F354AA015F26}"/>
            </a:ext>
          </a:extLst>
        </xdr:cNvPr>
        <xdr:cNvCxnSpPr/>
      </xdr:nvCxnSpPr>
      <xdr:spPr>
        <a:xfrm flipV="1">
          <a:off x="11630025" y="4503199"/>
          <a:ext cx="44450" cy="2621501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296769</xdr:colOff>
      <xdr:row>14</xdr:row>
      <xdr:rowOff>185199</xdr:rowOff>
    </xdr:from>
    <xdr:to>
      <xdr:col>31</xdr:col>
      <xdr:colOff>5043</xdr:colOff>
      <xdr:row>25</xdr:row>
      <xdr:rowOff>94876</xdr:rowOff>
    </xdr:to>
    <xdr:cxnSp macro="">
      <xdr:nvCxnSpPr>
        <xdr:cNvPr id="1091" name="SCHEMA_T04_SOSTEGNO_16_DX">
          <a:extLst>
            <a:ext uri="{FF2B5EF4-FFF2-40B4-BE49-F238E27FC236}">
              <a16:creationId xmlns:a16="http://schemas.microsoft.com/office/drawing/2014/main" id="{E1AF229D-8733-48BF-CADF-42F5E5A34458}"/>
            </a:ext>
          </a:extLst>
        </xdr:cNvPr>
        <xdr:cNvCxnSpPr/>
      </xdr:nvCxnSpPr>
      <xdr:spPr>
        <a:xfrm flipH="1" flipV="1">
          <a:off x="11674475" y="4503199"/>
          <a:ext cx="44450" cy="2621501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252319</xdr:colOff>
      <xdr:row>16</xdr:row>
      <xdr:rowOff>164010</xdr:rowOff>
    </xdr:from>
    <xdr:to>
      <xdr:col>31</xdr:col>
      <xdr:colOff>5043</xdr:colOff>
      <xdr:row>16</xdr:row>
      <xdr:rowOff>164010</xdr:rowOff>
    </xdr:to>
    <xdr:cxnSp macro="">
      <xdr:nvCxnSpPr>
        <xdr:cNvPr id="1092" name="SCHEMA_T04_SOSTEGNO_16_TR1">
          <a:extLst>
            <a:ext uri="{FF2B5EF4-FFF2-40B4-BE49-F238E27FC236}">
              <a16:creationId xmlns:a16="http://schemas.microsoft.com/office/drawing/2014/main" id="{16F8DC54-93B3-2C41-40D2-4F51938B4F8D}"/>
            </a:ext>
          </a:extLst>
        </xdr:cNvPr>
        <xdr:cNvCxnSpPr/>
      </xdr:nvCxnSpPr>
      <xdr:spPr>
        <a:xfrm>
          <a:off x="11630025" y="4975069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252319</xdr:colOff>
      <xdr:row>17</xdr:row>
      <xdr:rowOff>232061</xdr:rowOff>
    </xdr:from>
    <xdr:to>
      <xdr:col>31</xdr:col>
      <xdr:colOff>5043</xdr:colOff>
      <xdr:row>17</xdr:row>
      <xdr:rowOff>232061</xdr:rowOff>
    </xdr:to>
    <xdr:cxnSp macro="">
      <xdr:nvCxnSpPr>
        <xdr:cNvPr id="1093" name="SCHEMA_T04_SOSTEGNO_16_TR2">
          <a:extLst>
            <a:ext uri="{FF2B5EF4-FFF2-40B4-BE49-F238E27FC236}">
              <a16:creationId xmlns:a16="http://schemas.microsoft.com/office/drawing/2014/main" id="{7727E3F8-1569-BC1B-0EFE-B137A7062D3F}"/>
            </a:ext>
          </a:extLst>
        </xdr:cNvPr>
        <xdr:cNvCxnSpPr/>
      </xdr:nvCxnSpPr>
      <xdr:spPr>
        <a:xfrm>
          <a:off x="11630025" y="5289649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252319</xdr:colOff>
      <xdr:row>19</xdr:row>
      <xdr:rowOff>53582</xdr:rowOff>
    </xdr:from>
    <xdr:to>
      <xdr:col>31</xdr:col>
      <xdr:colOff>5043</xdr:colOff>
      <xdr:row>19</xdr:row>
      <xdr:rowOff>53582</xdr:rowOff>
    </xdr:to>
    <xdr:cxnSp macro="">
      <xdr:nvCxnSpPr>
        <xdr:cNvPr id="1094" name="SCHEMA_T04_SOSTEGNO_16_TR3">
          <a:extLst>
            <a:ext uri="{FF2B5EF4-FFF2-40B4-BE49-F238E27FC236}">
              <a16:creationId xmlns:a16="http://schemas.microsoft.com/office/drawing/2014/main" id="{43BEBECC-B1EB-164E-C00E-583E43A5D6E6}"/>
            </a:ext>
          </a:extLst>
        </xdr:cNvPr>
        <xdr:cNvCxnSpPr/>
      </xdr:nvCxnSpPr>
      <xdr:spPr>
        <a:xfrm>
          <a:off x="11630025" y="5604229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246716</xdr:colOff>
      <xdr:row>15</xdr:row>
      <xdr:rowOff>188034</xdr:rowOff>
    </xdr:from>
    <xdr:to>
      <xdr:col>32</xdr:col>
      <xdr:colOff>291166</xdr:colOff>
      <xdr:row>25</xdr:row>
      <xdr:rowOff>94876</xdr:rowOff>
    </xdr:to>
    <xdr:cxnSp macro="">
      <xdr:nvCxnSpPr>
        <xdr:cNvPr id="1095" name="SCHEMA_T04_SOSTEGNO_17_SX">
          <a:extLst>
            <a:ext uri="{FF2B5EF4-FFF2-40B4-BE49-F238E27FC236}">
              <a16:creationId xmlns:a16="http://schemas.microsoft.com/office/drawing/2014/main" id="{392AB823-DF5A-68DA-CD6B-CA4806ADB543}"/>
            </a:ext>
          </a:extLst>
        </xdr:cNvPr>
        <xdr:cNvCxnSpPr/>
      </xdr:nvCxnSpPr>
      <xdr:spPr>
        <a:xfrm flipV="1">
          <a:off x="12296775" y="4752563"/>
          <a:ext cx="44450" cy="2372137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291166</xdr:colOff>
      <xdr:row>15</xdr:row>
      <xdr:rowOff>188034</xdr:rowOff>
    </xdr:from>
    <xdr:to>
      <xdr:col>32</xdr:col>
      <xdr:colOff>335616</xdr:colOff>
      <xdr:row>25</xdr:row>
      <xdr:rowOff>94876</xdr:rowOff>
    </xdr:to>
    <xdr:cxnSp macro="">
      <xdr:nvCxnSpPr>
        <xdr:cNvPr id="1096" name="SCHEMA_T04_SOSTEGNO_17_DX">
          <a:extLst>
            <a:ext uri="{FF2B5EF4-FFF2-40B4-BE49-F238E27FC236}">
              <a16:creationId xmlns:a16="http://schemas.microsoft.com/office/drawing/2014/main" id="{E158668F-6813-0E50-4CC2-BC07B1B5FE5E}"/>
            </a:ext>
          </a:extLst>
        </xdr:cNvPr>
        <xdr:cNvCxnSpPr/>
      </xdr:nvCxnSpPr>
      <xdr:spPr>
        <a:xfrm flipH="1" flipV="1">
          <a:off x="12341225" y="4752563"/>
          <a:ext cx="44450" cy="2372137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246716</xdr:colOff>
      <xdr:row>17</xdr:row>
      <xdr:rowOff>121960</xdr:rowOff>
    </xdr:from>
    <xdr:to>
      <xdr:col>32</xdr:col>
      <xdr:colOff>335616</xdr:colOff>
      <xdr:row>17</xdr:row>
      <xdr:rowOff>121960</xdr:rowOff>
    </xdr:to>
    <xdr:cxnSp macro="">
      <xdr:nvCxnSpPr>
        <xdr:cNvPr id="1097" name="SCHEMA_T04_SOSTEGNO_17_TR1">
          <a:extLst>
            <a:ext uri="{FF2B5EF4-FFF2-40B4-BE49-F238E27FC236}">
              <a16:creationId xmlns:a16="http://schemas.microsoft.com/office/drawing/2014/main" id="{63F7A8B0-A471-D4BD-AFB6-AF51CFEC0A95}"/>
            </a:ext>
          </a:extLst>
        </xdr:cNvPr>
        <xdr:cNvCxnSpPr/>
      </xdr:nvCxnSpPr>
      <xdr:spPr>
        <a:xfrm>
          <a:off x="12296775" y="5179548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246716</xdr:colOff>
      <xdr:row>18</xdr:row>
      <xdr:rowOff>160086</xdr:rowOff>
    </xdr:from>
    <xdr:to>
      <xdr:col>32</xdr:col>
      <xdr:colOff>335616</xdr:colOff>
      <xdr:row>18</xdr:row>
      <xdr:rowOff>160086</xdr:rowOff>
    </xdr:to>
    <xdr:cxnSp macro="">
      <xdr:nvCxnSpPr>
        <xdr:cNvPr id="1098" name="SCHEMA_T04_SOSTEGNO_17_TR2">
          <a:extLst>
            <a:ext uri="{FF2B5EF4-FFF2-40B4-BE49-F238E27FC236}">
              <a16:creationId xmlns:a16="http://schemas.microsoft.com/office/drawing/2014/main" id="{60B36A36-2BEC-0DE3-9EF0-8CA3A47EF2E7}"/>
            </a:ext>
          </a:extLst>
        </xdr:cNvPr>
        <xdr:cNvCxnSpPr/>
      </xdr:nvCxnSpPr>
      <xdr:spPr>
        <a:xfrm>
          <a:off x="12296775" y="5464204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246716</xdr:colOff>
      <xdr:row>19</xdr:row>
      <xdr:rowOff>198214</xdr:rowOff>
    </xdr:from>
    <xdr:to>
      <xdr:col>32</xdr:col>
      <xdr:colOff>335616</xdr:colOff>
      <xdr:row>19</xdr:row>
      <xdr:rowOff>198214</xdr:rowOff>
    </xdr:to>
    <xdr:cxnSp macro="">
      <xdr:nvCxnSpPr>
        <xdr:cNvPr id="1099" name="SCHEMA_T04_SOSTEGNO_17_TR3">
          <a:extLst>
            <a:ext uri="{FF2B5EF4-FFF2-40B4-BE49-F238E27FC236}">
              <a16:creationId xmlns:a16="http://schemas.microsoft.com/office/drawing/2014/main" id="{CC9B3755-2EC5-4741-8DBB-0E18B5C93992}"/>
            </a:ext>
          </a:extLst>
        </xdr:cNvPr>
        <xdr:cNvCxnSpPr/>
      </xdr:nvCxnSpPr>
      <xdr:spPr>
        <a:xfrm>
          <a:off x="12296775" y="5748861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241113</xdr:colOff>
      <xdr:row>16</xdr:row>
      <xdr:rowOff>1352</xdr:rowOff>
    </xdr:from>
    <xdr:to>
      <xdr:col>34</xdr:col>
      <xdr:colOff>285563</xdr:colOff>
      <xdr:row>25</xdr:row>
      <xdr:rowOff>94876</xdr:rowOff>
    </xdr:to>
    <xdr:cxnSp macro="">
      <xdr:nvCxnSpPr>
        <xdr:cNvPr id="1100" name="SCHEMA_T04_SOSTEGNO_18_SX">
          <a:extLst>
            <a:ext uri="{FF2B5EF4-FFF2-40B4-BE49-F238E27FC236}">
              <a16:creationId xmlns:a16="http://schemas.microsoft.com/office/drawing/2014/main" id="{91340617-433D-E52D-D7BE-7908E6C89536}"/>
            </a:ext>
          </a:extLst>
        </xdr:cNvPr>
        <xdr:cNvCxnSpPr/>
      </xdr:nvCxnSpPr>
      <xdr:spPr>
        <a:xfrm flipV="1">
          <a:off x="12963525" y="4812411"/>
          <a:ext cx="44450" cy="2312289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285563</xdr:colOff>
      <xdr:row>16</xdr:row>
      <xdr:rowOff>1352</xdr:rowOff>
    </xdr:from>
    <xdr:to>
      <xdr:col>34</xdr:col>
      <xdr:colOff>330013</xdr:colOff>
      <xdr:row>25</xdr:row>
      <xdr:rowOff>94876</xdr:rowOff>
    </xdr:to>
    <xdr:cxnSp macro="">
      <xdr:nvCxnSpPr>
        <xdr:cNvPr id="1101" name="SCHEMA_T04_SOSTEGNO_18_DX">
          <a:extLst>
            <a:ext uri="{FF2B5EF4-FFF2-40B4-BE49-F238E27FC236}">
              <a16:creationId xmlns:a16="http://schemas.microsoft.com/office/drawing/2014/main" id="{C3A9822B-884C-740C-232B-F2F1C727A4F1}"/>
            </a:ext>
          </a:extLst>
        </xdr:cNvPr>
        <xdr:cNvCxnSpPr/>
      </xdr:nvCxnSpPr>
      <xdr:spPr>
        <a:xfrm flipH="1" flipV="1">
          <a:off x="13007975" y="4812411"/>
          <a:ext cx="44450" cy="2312289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241113</xdr:colOff>
      <xdr:row>17</xdr:row>
      <xdr:rowOff>171035</xdr:rowOff>
    </xdr:from>
    <xdr:to>
      <xdr:col>34</xdr:col>
      <xdr:colOff>330013</xdr:colOff>
      <xdr:row>17</xdr:row>
      <xdr:rowOff>171035</xdr:rowOff>
    </xdr:to>
    <xdr:cxnSp macro="">
      <xdr:nvCxnSpPr>
        <xdr:cNvPr id="1102" name="SCHEMA_T04_SOSTEGNO_18_TR1">
          <a:extLst>
            <a:ext uri="{FF2B5EF4-FFF2-40B4-BE49-F238E27FC236}">
              <a16:creationId xmlns:a16="http://schemas.microsoft.com/office/drawing/2014/main" id="{547D6E42-5B34-D374-95FD-A31760B9BD35}"/>
            </a:ext>
          </a:extLst>
        </xdr:cNvPr>
        <xdr:cNvCxnSpPr/>
      </xdr:nvCxnSpPr>
      <xdr:spPr>
        <a:xfrm>
          <a:off x="12963525" y="5228623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241113</xdr:colOff>
      <xdr:row>18</xdr:row>
      <xdr:rowOff>201980</xdr:rowOff>
    </xdr:from>
    <xdr:to>
      <xdr:col>34</xdr:col>
      <xdr:colOff>330013</xdr:colOff>
      <xdr:row>18</xdr:row>
      <xdr:rowOff>201980</xdr:rowOff>
    </xdr:to>
    <xdr:cxnSp macro="">
      <xdr:nvCxnSpPr>
        <xdr:cNvPr id="1103" name="SCHEMA_T04_SOSTEGNO_18_TR2">
          <a:extLst>
            <a:ext uri="{FF2B5EF4-FFF2-40B4-BE49-F238E27FC236}">
              <a16:creationId xmlns:a16="http://schemas.microsoft.com/office/drawing/2014/main" id="{5DBC297E-842E-74CC-7A2C-CBE935BF01BE}"/>
            </a:ext>
          </a:extLst>
        </xdr:cNvPr>
        <xdr:cNvCxnSpPr/>
      </xdr:nvCxnSpPr>
      <xdr:spPr>
        <a:xfrm>
          <a:off x="12963525" y="5506098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241113</xdr:colOff>
      <xdr:row>19</xdr:row>
      <xdr:rowOff>232926</xdr:rowOff>
    </xdr:from>
    <xdr:to>
      <xdr:col>34</xdr:col>
      <xdr:colOff>330013</xdr:colOff>
      <xdr:row>19</xdr:row>
      <xdr:rowOff>232926</xdr:rowOff>
    </xdr:to>
    <xdr:cxnSp macro="">
      <xdr:nvCxnSpPr>
        <xdr:cNvPr id="1104" name="SCHEMA_T04_SOSTEGNO_18_TR3">
          <a:extLst>
            <a:ext uri="{FF2B5EF4-FFF2-40B4-BE49-F238E27FC236}">
              <a16:creationId xmlns:a16="http://schemas.microsoft.com/office/drawing/2014/main" id="{918D1CBB-8B2F-1D43-0737-DD3959E2AA73}"/>
            </a:ext>
          </a:extLst>
        </xdr:cNvPr>
        <xdr:cNvCxnSpPr/>
      </xdr:nvCxnSpPr>
      <xdr:spPr>
        <a:xfrm>
          <a:off x="12963525" y="5783573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235510</xdr:colOff>
      <xdr:row>15</xdr:row>
      <xdr:rowOff>188034</xdr:rowOff>
    </xdr:from>
    <xdr:to>
      <xdr:col>36</xdr:col>
      <xdr:colOff>279960</xdr:colOff>
      <xdr:row>25</xdr:row>
      <xdr:rowOff>94876</xdr:rowOff>
    </xdr:to>
    <xdr:cxnSp macro="">
      <xdr:nvCxnSpPr>
        <xdr:cNvPr id="1105" name="SCHEMA_T04_SOSTEGNO_19_SX">
          <a:extLst>
            <a:ext uri="{FF2B5EF4-FFF2-40B4-BE49-F238E27FC236}">
              <a16:creationId xmlns:a16="http://schemas.microsoft.com/office/drawing/2014/main" id="{879153E8-100A-65C0-0BD3-2EBFFF72470D}"/>
            </a:ext>
          </a:extLst>
        </xdr:cNvPr>
        <xdr:cNvCxnSpPr/>
      </xdr:nvCxnSpPr>
      <xdr:spPr>
        <a:xfrm flipV="1">
          <a:off x="13630275" y="4752563"/>
          <a:ext cx="44450" cy="2372137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279960</xdr:colOff>
      <xdr:row>15</xdr:row>
      <xdr:rowOff>188034</xdr:rowOff>
    </xdr:from>
    <xdr:to>
      <xdr:col>36</xdr:col>
      <xdr:colOff>324410</xdr:colOff>
      <xdr:row>25</xdr:row>
      <xdr:rowOff>94876</xdr:rowOff>
    </xdr:to>
    <xdr:cxnSp macro="">
      <xdr:nvCxnSpPr>
        <xdr:cNvPr id="1106" name="SCHEMA_T04_SOSTEGNO_19_DX">
          <a:extLst>
            <a:ext uri="{FF2B5EF4-FFF2-40B4-BE49-F238E27FC236}">
              <a16:creationId xmlns:a16="http://schemas.microsoft.com/office/drawing/2014/main" id="{5E9C31BE-9D23-0A22-C1D3-956F1BC3397F}"/>
            </a:ext>
          </a:extLst>
        </xdr:cNvPr>
        <xdr:cNvCxnSpPr/>
      </xdr:nvCxnSpPr>
      <xdr:spPr>
        <a:xfrm flipH="1" flipV="1">
          <a:off x="13674725" y="4752563"/>
          <a:ext cx="44450" cy="2372137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235510</xdr:colOff>
      <xdr:row>17</xdr:row>
      <xdr:rowOff>121960</xdr:rowOff>
    </xdr:from>
    <xdr:to>
      <xdr:col>36</xdr:col>
      <xdr:colOff>324410</xdr:colOff>
      <xdr:row>17</xdr:row>
      <xdr:rowOff>121960</xdr:rowOff>
    </xdr:to>
    <xdr:cxnSp macro="">
      <xdr:nvCxnSpPr>
        <xdr:cNvPr id="1107" name="SCHEMA_T04_SOSTEGNO_19_TR1">
          <a:extLst>
            <a:ext uri="{FF2B5EF4-FFF2-40B4-BE49-F238E27FC236}">
              <a16:creationId xmlns:a16="http://schemas.microsoft.com/office/drawing/2014/main" id="{D95DD9B5-9784-467E-D59E-5111BD26BF7C}"/>
            </a:ext>
          </a:extLst>
        </xdr:cNvPr>
        <xdr:cNvCxnSpPr/>
      </xdr:nvCxnSpPr>
      <xdr:spPr>
        <a:xfrm>
          <a:off x="13630275" y="5179548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235510</xdr:colOff>
      <xdr:row>18</xdr:row>
      <xdr:rowOff>160086</xdr:rowOff>
    </xdr:from>
    <xdr:to>
      <xdr:col>36</xdr:col>
      <xdr:colOff>324410</xdr:colOff>
      <xdr:row>18</xdr:row>
      <xdr:rowOff>160086</xdr:rowOff>
    </xdr:to>
    <xdr:cxnSp macro="">
      <xdr:nvCxnSpPr>
        <xdr:cNvPr id="1108" name="SCHEMA_T04_SOSTEGNO_19_TR2">
          <a:extLst>
            <a:ext uri="{FF2B5EF4-FFF2-40B4-BE49-F238E27FC236}">
              <a16:creationId xmlns:a16="http://schemas.microsoft.com/office/drawing/2014/main" id="{5A4BE431-88A7-AF59-02F3-7E232EEA9B9D}"/>
            </a:ext>
          </a:extLst>
        </xdr:cNvPr>
        <xdr:cNvCxnSpPr/>
      </xdr:nvCxnSpPr>
      <xdr:spPr>
        <a:xfrm>
          <a:off x="13630275" y="5464204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235510</xdr:colOff>
      <xdr:row>19</xdr:row>
      <xdr:rowOff>198214</xdr:rowOff>
    </xdr:from>
    <xdr:to>
      <xdr:col>36</xdr:col>
      <xdr:colOff>324410</xdr:colOff>
      <xdr:row>19</xdr:row>
      <xdr:rowOff>198214</xdr:rowOff>
    </xdr:to>
    <xdr:cxnSp macro="">
      <xdr:nvCxnSpPr>
        <xdr:cNvPr id="1109" name="SCHEMA_T04_SOSTEGNO_19_TR3">
          <a:extLst>
            <a:ext uri="{FF2B5EF4-FFF2-40B4-BE49-F238E27FC236}">
              <a16:creationId xmlns:a16="http://schemas.microsoft.com/office/drawing/2014/main" id="{A95BBEB0-A91E-47A9-378D-8D0ECE75C1FA}"/>
            </a:ext>
          </a:extLst>
        </xdr:cNvPr>
        <xdr:cNvCxnSpPr/>
      </xdr:nvCxnSpPr>
      <xdr:spPr>
        <a:xfrm>
          <a:off x="13630275" y="5748861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229907</xdr:colOff>
      <xdr:row>15</xdr:row>
      <xdr:rowOff>138161</xdr:rowOff>
    </xdr:from>
    <xdr:to>
      <xdr:col>38</xdr:col>
      <xdr:colOff>274357</xdr:colOff>
      <xdr:row>25</xdr:row>
      <xdr:rowOff>94876</xdr:rowOff>
    </xdr:to>
    <xdr:cxnSp macro="">
      <xdr:nvCxnSpPr>
        <xdr:cNvPr id="1110" name="SCHEMA_T04_SOSTEGNO_20_SX">
          <a:extLst>
            <a:ext uri="{FF2B5EF4-FFF2-40B4-BE49-F238E27FC236}">
              <a16:creationId xmlns:a16="http://schemas.microsoft.com/office/drawing/2014/main" id="{8A50C6B8-73A1-B5FD-C5BA-1819DAC17302}"/>
            </a:ext>
          </a:extLst>
        </xdr:cNvPr>
        <xdr:cNvCxnSpPr/>
      </xdr:nvCxnSpPr>
      <xdr:spPr>
        <a:xfrm flipV="1">
          <a:off x="14297025" y="4702690"/>
          <a:ext cx="44450" cy="2422010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274357</xdr:colOff>
      <xdr:row>15</xdr:row>
      <xdr:rowOff>138161</xdr:rowOff>
    </xdr:from>
    <xdr:to>
      <xdr:col>38</xdr:col>
      <xdr:colOff>318807</xdr:colOff>
      <xdr:row>25</xdr:row>
      <xdr:rowOff>94876</xdr:rowOff>
    </xdr:to>
    <xdr:cxnSp macro="">
      <xdr:nvCxnSpPr>
        <xdr:cNvPr id="1111" name="SCHEMA_T04_SOSTEGNO_20_DX">
          <a:extLst>
            <a:ext uri="{FF2B5EF4-FFF2-40B4-BE49-F238E27FC236}">
              <a16:creationId xmlns:a16="http://schemas.microsoft.com/office/drawing/2014/main" id="{7A68F679-D9E6-5259-C18A-96F6E8F5610F}"/>
            </a:ext>
          </a:extLst>
        </xdr:cNvPr>
        <xdr:cNvCxnSpPr/>
      </xdr:nvCxnSpPr>
      <xdr:spPr>
        <a:xfrm flipH="1" flipV="1">
          <a:off x="14341475" y="4702690"/>
          <a:ext cx="44450" cy="2422010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229907</xdr:colOff>
      <xdr:row>17</xdr:row>
      <xdr:rowOff>81064</xdr:rowOff>
    </xdr:from>
    <xdr:to>
      <xdr:col>38</xdr:col>
      <xdr:colOff>318807</xdr:colOff>
      <xdr:row>17</xdr:row>
      <xdr:rowOff>81064</xdr:rowOff>
    </xdr:to>
    <xdr:cxnSp macro="">
      <xdr:nvCxnSpPr>
        <xdr:cNvPr id="1112" name="SCHEMA_T04_SOSTEGNO_20_TR1">
          <a:extLst>
            <a:ext uri="{FF2B5EF4-FFF2-40B4-BE49-F238E27FC236}">
              <a16:creationId xmlns:a16="http://schemas.microsoft.com/office/drawing/2014/main" id="{A44B00B1-E9D9-0EFF-2534-73A53135F019}"/>
            </a:ext>
          </a:extLst>
        </xdr:cNvPr>
        <xdr:cNvCxnSpPr/>
      </xdr:nvCxnSpPr>
      <xdr:spPr>
        <a:xfrm>
          <a:off x="14297025" y="5138652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229907</xdr:colOff>
      <xdr:row>18</xdr:row>
      <xdr:rowOff>125175</xdr:rowOff>
    </xdr:from>
    <xdr:to>
      <xdr:col>38</xdr:col>
      <xdr:colOff>318807</xdr:colOff>
      <xdr:row>18</xdr:row>
      <xdr:rowOff>125175</xdr:rowOff>
    </xdr:to>
    <xdr:cxnSp macro="">
      <xdr:nvCxnSpPr>
        <xdr:cNvPr id="1113" name="SCHEMA_T04_SOSTEGNO_20_TR2">
          <a:extLst>
            <a:ext uri="{FF2B5EF4-FFF2-40B4-BE49-F238E27FC236}">
              <a16:creationId xmlns:a16="http://schemas.microsoft.com/office/drawing/2014/main" id="{EA5020C3-B76C-5BF7-31D0-B0BE33E59651}"/>
            </a:ext>
          </a:extLst>
        </xdr:cNvPr>
        <xdr:cNvCxnSpPr/>
      </xdr:nvCxnSpPr>
      <xdr:spPr>
        <a:xfrm>
          <a:off x="14297025" y="5429293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229907</xdr:colOff>
      <xdr:row>19</xdr:row>
      <xdr:rowOff>169288</xdr:rowOff>
    </xdr:from>
    <xdr:to>
      <xdr:col>38</xdr:col>
      <xdr:colOff>318807</xdr:colOff>
      <xdr:row>19</xdr:row>
      <xdr:rowOff>169288</xdr:rowOff>
    </xdr:to>
    <xdr:cxnSp macro="">
      <xdr:nvCxnSpPr>
        <xdr:cNvPr id="1114" name="SCHEMA_T04_SOSTEGNO_20_TR3">
          <a:extLst>
            <a:ext uri="{FF2B5EF4-FFF2-40B4-BE49-F238E27FC236}">
              <a16:creationId xmlns:a16="http://schemas.microsoft.com/office/drawing/2014/main" id="{581ADF06-4E99-A804-6655-9E9B75736108}"/>
            </a:ext>
          </a:extLst>
        </xdr:cNvPr>
        <xdr:cNvCxnSpPr/>
      </xdr:nvCxnSpPr>
      <xdr:spPr>
        <a:xfrm>
          <a:off x="14297025" y="5719935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44637</xdr:colOff>
      <xdr:row>14</xdr:row>
      <xdr:rowOff>235690</xdr:rowOff>
    </xdr:from>
    <xdr:to>
      <xdr:col>1</xdr:col>
      <xdr:colOff>266887</xdr:colOff>
      <xdr:row>15</xdr:row>
      <xdr:rowOff>17539</xdr:rowOff>
    </xdr:to>
    <xdr:cxnSp macro="">
      <xdr:nvCxnSpPr>
        <xdr:cNvPr id="1115" name="SCHEMA_T04_COND_0001">
          <a:extLst>
            <a:ext uri="{FF2B5EF4-FFF2-40B4-BE49-F238E27FC236}">
              <a16:creationId xmlns:a16="http://schemas.microsoft.com/office/drawing/2014/main" id="{078060F0-0507-B335-C6F6-02E1D4251012}"/>
            </a:ext>
          </a:extLst>
        </xdr:cNvPr>
        <xdr:cNvCxnSpPr/>
      </xdr:nvCxnSpPr>
      <xdr:spPr>
        <a:xfrm flipV="1">
          <a:off x="1673225" y="4553690"/>
          <a:ext cx="222250" cy="28378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266887</xdr:colOff>
      <xdr:row>14</xdr:row>
      <xdr:rowOff>122645</xdr:rowOff>
    </xdr:from>
    <xdr:to>
      <xdr:col>2</xdr:col>
      <xdr:colOff>152960</xdr:colOff>
      <xdr:row>14</xdr:row>
      <xdr:rowOff>235690</xdr:rowOff>
    </xdr:to>
    <xdr:cxnSp macro="">
      <xdr:nvCxnSpPr>
        <xdr:cNvPr id="1116" name="SCHEMA_T04_COND_0002">
          <a:extLst>
            <a:ext uri="{FF2B5EF4-FFF2-40B4-BE49-F238E27FC236}">
              <a16:creationId xmlns:a16="http://schemas.microsoft.com/office/drawing/2014/main" id="{5B67CBC7-BBD1-D8B7-D3F0-BE47F362F17A}"/>
            </a:ext>
          </a:extLst>
        </xdr:cNvPr>
        <xdr:cNvCxnSpPr/>
      </xdr:nvCxnSpPr>
      <xdr:spPr>
        <a:xfrm flipV="1">
          <a:off x="1895475" y="4440645"/>
          <a:ext cx="222250" cy="113045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152960</xdr:colOff>
      <xdr:row>13</xdr:row>
      <xdr:rowOff>171462</xdr:rowOff>
    </xdr:from>
    <xdr:to>
      <xdr:col>3</xdr:col>
      <xdr:colOff>39034</xdr:colOff>
      <xdr:row>14</xdr:row>
      <xdr:rowOff>122645</xdr:rowOff>
    </xdr:to>
    <xdr:cxnSp macro="">
      <xdr:nvCxnSpPr>
        <xdr:cNvPr id="1117" name="SCHEMA_T04_COND_0003">
          <a:extLst>
            <a:ext uri="{FF2B5EF4-FFF2-40B4-BE49-F238E27FC236}">
              <a16:creationId xmlns:a16="http://schemas.microsoft.com/office/drawing/2014/main" id="{CAD910A4-AD1B-DF01-C03D-F1CCBBD71D18}"/>
            </a:ext>
          </a:extLst>
        </xdr:cNvPr>
        <xdr:cNvCxnSpPr/>
      </xdr:nvCxnSpPr>
      <xdr:spPr>
        <a:xfrm flipV="1">
          <a:off x="2117725" y="4242933"/>
          <a:ext cx="222250" cy="197712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44637</xdr:colOff>
      <xdr:row>15</xdr:row>
      <xdr:rowOff>154261</xdr:rowOff>
    </xdr:from>
    <xdr:to>
      <xdr:col>1</xdr:col>
      <xdr:colOff>266887</xdr:colOff>
      <xdr:row>15</xdr:row>
      <xdr:rowOff>182639</xdr:rowOff>
    </xdr:to>
    <xdr:cxnSp macro="">
      <xdr:nvCxnSpPr>
        <xdr:cNvPr id="1118" name="SCHEMA_T04_COND_0004">
          <a:extLst>
            <a:ext uri="{FF2B5EF4-FFF2-40B4-BE49-F238E27FC236}">
              <a16:creationId xmlns:a16="http://schemas.microsoft.com/office/drawing/2014/main" id="{B7580870-841D-3A2A-C678-31677D106038}"/>
            </a:ext>
          </a:extLst>
        </xdr:cNvPr>
        <xdr:cNvCxnSpPr/>
      </xdr:nvCxnSpPr>
      <xdr:spPr>
        <a:xfrm flipV="1">
          <a:off x="1673225" y="4718790"/>
          <a:ext cx="222250" cy="2837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266887</xdr:colOff>
      <xdr:row>15</xdr:row>
      <xdr:rowOff>41216</xdr:rowOff>
    </xdr:from>
    <xdr:to>
      <xdr:col>2</xdr:col>
      <xdr:colOff>152960</xdr:colOff>
      <xdr:row>15</xdr:row>
      <xdr:rowOff>154261</xdr:rowOff>
    </xdr:to>
    <xdr:cxnSp macro="">
      <xdr:nvCxnSpPr>
        <xdr:cNvPr id="1119" name="SCHEMA_T04_COND_0005">
          <a:extLst>
            <a:ext uri="{FF2B5EF4-FFF2-40B4-BE49-F238E27FC236}">
              <a16:creationId xmlns:a16="http://schemas.microsoft.com/office/drawing/2014/main" id="{99EE5253-4268-FB0A-6B3F-2E59C9CCD364}"/>
            </a:ext>
          </a:extLst>
        </xdr:cNvPr>
        <xdr:cNvCxnSpPr/>
      </xdr:nvCxnSpPr>
      <xdr:spPr>
        <a:xfrm flipV="1">
          <a:off x="1895475" y="4605745"/>
          <a:ext cx="222250" cy="11304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152960</xdr:colOff>
      <xdr:row>14</xdr:row>
      <xdr:rowOff>90033</xdr:rowOff>
    </xdr:from>
    <xdr:to>
      <xdr:col>3</xdr:col>
      <xdr:colOff>39034</xdr:colOff>
      <xdr:row>15</xdr:row>
      <xdr:rowOff>41216</xdr:rowOff>
    </xdr:to>
    <xdr:cxnSp macro="">
      <xdr:nvCxnSpPr>
        <xdr:cNvPr id="1120" name="SCHEMA_T04_COND_0006">
          <a:extLst>
            <a:ext uri="{FF2B5EF4-FFF2-40B4-BE49-F238E27FC236}">
              <a16:creationId xmlns:a16="http://schemas.microsoft.com/office/drawing/2014/main" id="{09B2805F-50EE-7A04-82E4-E477A3EB4AB8}"/>
            </a:ext>
          </a:extLst>
        </xdr:cNvPr>
        <xdr:cNvCxnSpPr/>
      </xdr:nvCxnSpPr>
      <xdr:spPr>
        <a:xfrm flipV="1">
          <a:off x="2117725" y="4408033"/>
          <a:ext cx="222250" cy="19771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44637</xdr:colOff>
      <xdr:row>16</xdr:row>
      <xdr:rowOff>9331</xdr:rowOff>
    </xdr:from>
    <xdr:to>
      <xdr:col>1</xdr:col>
      <xdr:colOff>266887</xdr:colOff>
      <xdr:row>16</xdr:row>
      <xdr:rowOff>37709</xdr:rowOff>
    </xdr:to>
    <xdr:cxnSp macro="">
      <xdr:nvCxnSpPr>
        <xdr:cNvPr id="1121" name="SCHEMA_T04_COND_0007">
          <a:extLst>
            <a:ext uri="{FF2B5EF4-FFF2-40B4-BE49-F238E27FC236}">
              <a16:creationId xmlns:a16="http://schemas.microsoft.com/office/drawing/2014/main" id="{87F9C824-FEDE-3BB1-B53F-2BF6BCF41118}"/>
            </a:ext>
          </a:extLst>
        </xdr:cNvPr>
        <xdr:cNvCxnSpPr/>
      </xdr:nvCxnSpPr>
      <xdr:spPr>
        <a:xfrm flipV="1">
          <a:off x="1673225" y="4820390"/>
          <a:ext cx="222250" cy="2837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266887</xdr:colOff>
      <xdr:row>15</xdr:row>
      <xdr:rowOff>142816</xdr:rowOff>
    </xdr:from>
    <xdr:to>
      <xdr:col>2</xdr:col>
      <xdr:colOff>152960</xdr:colOff>
      <xdr:row>16</xdr:row>
      <xdr:rowOff>9331</xdr:rowOff>
    </xdr:to>
    <xdr:cxnSp macro="">
      <xdr:nvCxnSpPr>
        <xdr:cNvPr id="1122" name="SCHEMA_T04_COND_0008">
          <a:extLst>
            <a:ext uri="{FF2B5EF4-FFF2-40B4-BE49-F238E27FC236}">
              <a16:creationId xmlns:a16="http://schemas.microsoft.com/office/drawing/2014/main" id="{DBF12F57-FF5A-B53A-CB91-6FD25E144F2A}"/>
            </a:ext>
          </a:extLst>
        </xdr:cNvPr>
        <xdr:cNvCxnSpPr/>
      </xdr:nvCxnSpPr>
      <xdr:spPr>
        <a:xfrm flipV="1">
          <a:off x="1895475" y="4707345"/>
          <a:ext cx="222250" cy="11304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152960</xdr:colOff>
      <xdr:row>14</xdr:row>
      <xdr:rowOff>191633</xdr:rowOff>
    </xdr:from>
    <xdr:to>
      <xdr:col>3</xdr:col>
      <xdr:colOff>39034</xdr:colOff>
      <xdr:row>15</xdr:row>
      <xdr:rowOff>142816</xdr:rowOff>
    </xdr:to>
    <xdr:cxnSp macro="">
      <xdr:nvCxnSpPr>
        <xdr:cNvPr id="1123" name="SCHEMA_T04_COND_0009">
          <a:extLst>
            <a:ext uri="{FF2B5EF4-FFF2-40B4-BE49-F238E27FC236}">
              <a16:creationId xmlns:a16="http://schemas.microsoft.com/office/drawing/2014/main" id="{EDD7D555-A66D-6EA5-86CF-DDB804414DB0}"/>
            </a:ext>
          </a:extLst>
        </xdr:cNvPr>
        <xdr:cNvCxnSpPr/>
      </xdr:nvCxnSpPr>
      <xdr:spPr>
        <a:xfrm flipV="1">
          <a:off x="2117725" y="4509633"/>
          <a:ext cx="222250" cy="19771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44637</xdr:colOff>
      <xdr:row>16</xdr:row>
      <xdr:rowOff>161731</xdr:rowOff>
    </xdr:from>
    <xdr:to>
      <xdr:col>1</xdr:col>
      <xdr:colOff>266887</xdr:colOff>
      <xdr:row>16</xdr:row>
      <xdr:rowOff>190109</xdr:rowOff>
    </xdr:to>
    <xdr:cxnSp macro="">
      <xdr:nvCxnSpPr>
        <xdr:cNvPr id="1124" name="SCHEMA_T04_COND_0010">
          <a:extLst>
            <a:ext uri="{FF2B5EF4-FFF2-40B4-BE49-F238E27FC236}">
              <a16:creationId xmlns:a16="http://schemas.microsoft.com/office/drawing/2014/main" id="{EAA4168E-E399-116F-AA84-09C50CC2F84A}"/>
            </a:ext>
          </a:extLst>
        </xdr:cNvPr>
        <xdr:cNvCxnSpPr/>
      </xdr:nvCxnSpPr>
      <xdr:spPr>
        <a:xfrm flipV="1">
          <a:off x="1673225" y="4972790"/>
          <a:ext cx="222250" cy="2837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266887</xdr:colOff>
      <xdr:row>16</xdr:row>
      <xdr:rowOff>48686</xdr:rowOff>
    </xdr:from>
    <xdr:to>
      <xdr:col>2</xdr:col>
      <xdr:colOff>152960</xdr:colOff>
      <xdr:row>16</xdr:row>
      <xdr:rowOff>161731</xdr:rowOff>
    </xdr:to>
    <xdr:cxnSp macro="">
      <xdr:nvCxnSpPr>
        <xdr:cNvPr id="1125" name="SCHEMA_T04_COND_0011">
          <a:extLst>
            <a:ext uri="{FF2B5EF4-FFF2-40B4-BE49-F238E27FC236}">
              <a16:creationId xmlns:a16="http://schemas.microsoft.com/office/drawing/2014/main" id="{BFEA5F32-E1AE-885E-180B-87BE04DBB31E}"/>
            </a:ext>
          </a:extLst>
        </xdr:cNvPr>
        <xdr:cNvCxnSpPr/>
      </xdr:nvCxnSpPr>
      <xdr:spPr>
        <a:xfrm flipV="1">
          <a:off x="1895475" y="4859745"/>
          <a:ext cx="222250" cy="11304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152960</xdr:colOff>
      <xdr:row>15</xdr:row>
      <xdr:rowOff>97504</xdr:rowOff>
    </xdr:from>
    <xdr:to>
      <xdr:col>3</xdr:col>
      <xdr:colOff>39034</xdr:colOff>
      <xdr:row>16</xdr:row>
      <xdr:rowOff>48686</xdr:rowOff>
    </xdr:to>
    <xdr:cxnSp macro="">
      <xdr:nvCxnSpPr>
        <xdr:cNvPr id="1126" name="SCHEMA_T04_COND_0012">
          <a:extLst>
            <a:ext uri="{FF2B5EF4-FFF2-40B4-BE49-F238E27FC236}">
              <a16:creationId xmlns:a16="http://schemas.microsoft.com/office/drawing/2014/main" id="{59A0E18B-3E4B-53F9-B07F-FA7377F34354}"/>
            </a:ext>
          </a:extLst>
        </xdr:cNvPr>
        <xdr:cNvCxnSpPr/>
      </xdr:nvCxnSpPr>
      <xdr:spPr>
        <a:xfrm flipV="1">
          <a:off x="2117725" y="4662033"/>
          <a:ext cx="222250" cy="19771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44637</xdr:colOff>
      <xdr:row>17</xdr:row>
      <xdr:rowOff>16802</xdr:rowOff>
    </xdr:from>
    <xdr:to>
      <xdr:col>1</xdr:col>
      <xdr:colOff>266887</xdr:colOff>
      <xdr:row>17</xdr:row>
      <xdr:rowOff>45180</xdr:rowOff>
    </xdr:to>
    <xdr:cxnSp macro="">
      <xdr:nvCxnSpPr>
        <xdr:cNvPr id="1127" name="SCHEMA_T04_COND_0013">
          <a:extLst>
            <a:ext uri="{FF2B5EF4-FFF2-40B4-BE49-F238E27FC236}">
              <a16:creationId xmlns:a16="http://schemas.microsoft.com/office/drawing/2014/main" id="{8ED3FEC3-C7B0-4126-1FE6-02A299626329}"/>
            </a:ext>
          </a:extLst>
        </xdr:cNvPr>
        <xdr:cNvCxnSpPr/>
      </xdr:nvCxnSpPr>
      <xdr:spPr>
        <a:xfrm flipV="1">
          <a:off x="1673225" y="5074390"/>
          <a:ext cx="222250" cy="2837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266887</xdr:colOff>
      <xdr:row>16</xdr:row>
      <xdr:rowOff>150286</xdr:rowOff>
    </xdr:from>
    <xdr:to>
      <xdr:col>2</xdr:col>
      <xdr:colOff>152960</xdr:colOff>
      <xdr:row>17</xdr:row>
      <xdr:rowOff>16802</xdr:rowOff>
    </xdr:to>
    <xdr:cxnSp macro="">
      <xdr:nvCxnSpPr>
        <xdr:cNvPr id="1128" name="SCHEMA_T04_COND_0014">
          <a:extLst>
            <a:ext uri="{FF2B5EF4-FFF2-40B4-BE49-F238E27FC236}">
              <a16:creationId xmlns:a16="http://schemas.microsoft.com/office/drawing/2014/main" id="{EFFF4BA5-E0A3-B54F-1E2C-A7A6BCFEC4AB}"/>
            </a:ext>
          </a:extLst>
        </xdr:cNvPr>
        <xdr:cNvCxnSpPr/>
      </xdr:nvCxnSpPr>
      <xdr:spPr>
        <a:xfrm flipV="1">
          <a:off x="1895475" y="4961345"/>
          <a:ext cx="222250" cy="11304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152960</xdr:colOff>
      <xdr:row>15</xdr:row>
      <xdr:rowOff>199104</xdr:rowOff>
    </xdr:from>
    <xdr:to>
      <xdr:col>3</xdr:col>
      <xdr:colOff>39034</xdr:colOff>
      <xdr:row>16</xdr:row>
      <xdr:rowOff>150286</xdr:rowOff>
    </xdr:to>
    <xdr:cxnSp macro="">
      <xdr:nvCxnSpPr>
        <xdr:cNvPr id="1129" name="SCHEMA_T04_COND_0015">
          <a:extLst>
            <a:ext uri="{FF2B5EF4-FFF2-40B4-BE49-F238E27FC236}">
              <a16:creationId xmlns:a16="http://schemas.microsoft.com/office/drawing/2014/main" id="{25608412-9E4D-9AE0-C0C9-74120C843108}"/>
            </a:ext>
          </a:extLst>
        </xdr:cNvPr>
        <xdr:cNvCxnSpPr/>
      </xdr:nvCxnSpPr>
      <xdr:spPr>
        <a:xfrm flipV="1">
          <a:off x="2117725" y="4763633"/>
          <a:ext cx="222250" cy="19771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3735</xdr:colOff>
      <xdr:row>25</xdr:row>
      <xdr:rowOff>5976</xdr:rowOff>
    </xdr:from>
    <xdr:to>
      <xdr:col>2</xdr:col>
      <xdr:colOff>79935</xdr:colOff>
      <xdr:row>25</xdr:row>
      <xdr:rowOff>82176</xdr:rowOff>
    </xdr:to>
    <xdr:sp macro="" textlink="">
      <xdr:nvSpPr>
        <xdr:cNvPr id="1130" name="SCHEMA_T04_ATTRAV_01">
          <a:extLst>
            <a:ext uri="{FF2B5EF4-FFF2-40B4-BE49-F238E27FC236}">
              <a16:creationId xmlns:a16="http://schemas.microsoft.com/office/drawing/2014/main" id="{A032010E-8013-569E-63C6-EF0C1E8A5FD1}"/>
            </a:ext>
          </a:extLst>
        </xdr:cNvPr>
        <xdr:cNvSpPr/>
      </xdr:nvSpPr>
      <xdr:spPr>
        <a:xfrm>
          <a:off x="1968500" y="7035800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39034</xdr:colOff>
      <xdr:row>13</xdr:row>
      <xdr:rowOff>171462</xdr:rowOff>
    </xdr:from>
    <xdr:to>
      <xdr:col>3</xdr:col>
      <xdr:colOff>261284</xdr:colOff>
      <xdr:row>13</xdr:row>
      <xdr:rowOff>246154</xdr:rowOff>
    </xdr:to>
    <xdr:cxnSp macro="">
      <xdr:nvCxnSpPr>
        <xdr:cNvPr id="1131" name="SCHEMA_T04_COND_0016">
          <a:extLst>
            <a:ext uri="{FF2B5EF4-FFF2-40B4-BE49-F238E27FC236}">
              <a16:creationId xmlns:a16="http://schemas.microsoft.com/office/drawing/2014/main" id="{E2659D53-6072-8A99-BB20-F6706CC97F3E}"/>
            </a:ext>
          </a:extLst>
        </xdr:cNvPr>
        <xdr:cNvCxnSpPr/>
      </xdr:nvCxnSpPr>
      <xdr:spPr>
        <a:xfrm>
          <a:off x="2339975" y="4242933"/>
          <a:ext cx="222250" cy="74692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261284</xdr:colOff>
      <xdr:row>13</xdr:row>
      <xdr:rowOff>236179</xdr:rowOff>
    </xdr:from>
    <xdr:to>
      <xdr:col>4</xdr:col>
      <xdr:colOff>147357</xdr:colOff>
      <xdr:row>13</xdr:row>
      <xdr:rowOff>246154</xdr:rowOff>
    </xdr:to>
    <xdr:cxnSp macro="">
      <xdr:nvCxnSpPr>
        <xdr:cNvPr id="1132" name="SCHEMA_T04_COND_0017">
          <a:extLst>
            <a:ext uri="{FF2B5EF4-FFF2-40B4-BE49-F238E27FC236}">
              <a16:creationId xmlns:a16="http://schemas.microsoft.com/office/drawing/2014/main" id="{59B12DEE-7631-9453-422C-2FD0E85D429C}"/>
            </a:ext>
          </a:extLst>
        </xdr:cNvPr>
        <xdr:cNvCxnSpPr/>
      </xdr:nvCxnSpPr>
      <xdr:spPr>
        <a:xfrm flipV="1">
          <a:off x="2562225" y="4307650"/>
          <a:ext cx="222250" cy="9975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147357</xdr:colOff>
      <xdr:row>13</xdr:row>
      <xdr:rowOff>141538</xdr:rowOff>
    </xdr:from>
    <xdr:to>
      <xdr:col>5</xdr:col>
      <xdr:colOff>33431</xdr:colOff>
      <xdr:row>13</xdr:row>
      <xdr:rowOff>236179</xdr:rowOff>
    </xdr:to>
    <xdr:cxnSp macro="">
      <xdr:nvCxnSpPr>
        <xdr:cNvPr id="1133" name="SCHEMA_T04_COND_0018">
          <a:extLst>
            <a:ext uri="{FF2B5EF4-FFF2-40B4-BE49-F238E27FC236}">
              <a16:creationId xmlns:a16="http://schemas.microsoft.com/office/drawing/2014/main" id="{0B712BD7-A814-8DDC-0EAA-EEAB88EF7829}"/>
            </a:ext>
          </a:extLst>
        </xdr:cNvPr>
        <xdr:cNvCxnSpPr/>
      </xdr:nvCxnSpPr>
      <xdr:spPr>
        <a:xfrm flipV="1">
          <a:off x="2784475" y="4213009"/>
          <a:ext cx="222250" cy="94641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39034</xdr:colOff>
      <xdr:row>14</xdr:row>
      <xdr:rowOff>90033</xdr:rowOff>
    </xdr:from>
    <xdr:to>
      <xdr:col>3</xdr:col>
      <xdr:colOff>261284</xdr:colOff>
      <xdr:row>14</xdr:row>
      <xdr:rowOff>164725</xdr:rowOff>
    </xdr:to>
    <xdr:cxnSp macro="">
      <xdr:nvCxnSpPr>
        <xdr:cNvPr id="1134" name="SCHEMA_T04_COND_0019">
          <a:extLst>
            <a:ext uri="{FF2B5EF4-FFF2-40B4-BE49-F238E27FC236}">
              <a16:creationId xmlns:a16="http://schemas.microsoft.com/office/drawing/2014/main" id="{1FA13AF7-EF30-533A-B47E-954BD7F6C387}"/>
            </a:ext>
          </a:extLst>
        </xdr:cNvPr>
        <xdr:cNvCxnSpPr/>
      </xdr:nvCxnSpPr>
      <xdr:spPr>
        <a:xfrm>
          <a:off x="2339975" y="4408033"/>
          <a:ext cx="222250" cy="7469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261284</xdr:colOff>
      <xdr:row>14</xdr:row>
      <xdr:rowOff>154750</xdr:rowOff>
    </xdr:from>
    <xdr:to>
      <xdr:col>4</xdr:col>
      <xdr:colOff>147357</xdr:colOff>
      <xdr:row>14</xdr:row>
      <xdr:rowOff>164725</xdr:rowOff>
    </xdr:to>
    <xdr:cxnSp macro="">
      <xdr:nvCxnSpPr>
        <xdr:cNvPr id="1135" name="SCHEMA_T04_COND_0020">
          <a:extLst>
            <a:ext uri="{FF2B5EF4-FFF2-40B4-BE49-F238E27FC236}">
              <a16:creationId xmlns:a16="http://schemas.microsoft.com/office/drawing/2014/main" id="{0CF8649A-C36A-AE4C-9B18-116933FF2DD8}"/>
            </a:ext>
          </a:extLst>
        </xdr:cNvPr>
        <xdr:cNvCxnSpPr/>
      </xdr:nvCxnSpPr>
      <xdr:spPr>
        <a:xfrm flipV="1">
          <a:off x="2562225" y="4472750"/>
          <a:ext cx="222250" cy="997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147357</xdr:colOff>
      <xdr:row>14</xdr:row>
      <xdr:rowOff>60109</xdr:rowOff>
    </xdr:from>
    <xdr:to>
      <xdr:col>5</xdr:col>
      <xdr:colOff>33431</xdr:colOff>
      <xdr:row>14</xdr:row>
      <xdr:rowOff>154750</xdr:rowOff>
    </xdr:to>
    <xdr:cxnSp macro="">
      <xdr:nvCxnSpPr>
        <xdr:cNvPr id="1136" name="SCHEMA_T04_COND_0021">
          <a:extLst>
            <a:ext uri="{FF2B5EF4-FFF2-40B4-BE49-F238E27FC236}">
              <a16:creationId xmlns:a16="http://schemas.microsoft.com/office/drawing/2014/main" id="{EA0F7638-FE62-55C0-0C5E-DCB3E4CE1DE5}"/>
            </a:ext>
          </a:extLst>
        </xdr:cNvPr>
        <xdr:cNvCxnSpPr/>
      </xdr:nvCxnSpPr>
      <xdr:spPr>
        <a:xfrm flipV="1">
          <a:off x="2784475" y="4378109"/>
          <a:ext cx="222250" cy="9464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39034</xdr:colOff>
      <xdr:row>14</xdr:row>
      <xdr:rowOff>191633</xdr:rowOff>
    </xdr:from>
    <xdr:to>
      <xdr:col>3</xdr:col>
      <xdr:colOff>261284</xdr:colOff>
      <xdr:row>15</xdr:row>
      <xdr:rowOff>19796</xdr:rowOff>
    </xdr:to>
    <xdr:cxnSp macro="">
      <xdr:nvCxnSpPr>
        <xdr:cNvPr id="1137" name="SCHEMA_T04_COND_0022">
          <a:extLst>
            <a:ext uri="{FF2B5EF4-FFF2-40B4-BE49-F238E27FC236}">
              <a16:creationId xmlns:a16="http://schemas.microsoft.com/office/drawing/2014/main" id="{C0DB0471-2323-DE60-B44B-99265E2B8A83}"/>
            </a:ext>
          </a:extLst>
        </xdr:cNvPr>
        <xdr:cNvCxnSpPr/>
      </xdr:nvCxnSpPr>
      <xdr:spPr>
        <a:xfrm>
          <a:off x="2339975" y="4509633"/>
          <a:ext cx="222250" cy="7469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261284</xdr:colOff>
      <xdr:row>15</xdr:row>
      <xdr:rowOff>9821</xdr:rowOff>
    </xdr:from>
    <xdr:to>
      <xdr:col>4</xdr:col>
      <xdr:colOff>147357</xdr:colOff>
      <xdr:row>15</xdr:row>
      <xdr:rowOff>19796</xdr:rowOff>
    </xdr:to>
    <xdr:cxnSp macro="">
      <xdr:nvCxnSpPr>
        <xdr:cNvPr id="320" name="SCHEMA_T04_COND_0023">
          <a:extLst>
            <a:ext uri="{FF2B5EF4-FFF2-40B4-BE49-F238E27FC236}">
              <a16:creationId xmlns:a16="http://schemas.microsoft.com/office/drawing/2014/main" id="{A3676471-BFA3-EFDB-9001-257C5A3ACC14}"/>
            </a:ext>
          </a:extLst>
        </xdr:cNvPr>
        <xdr:cNvCxnSpPr/>
      </xdr:nvCxnSpPr>
      <xdr:spPr>
        <a:xfrm flipV="1">
          <a:off x="2562225" y="4574350"/>
          <a:ext cx="222250" cy="997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147357</xdr:colOff>
      <xdr:row>14</xdr:row>
      <xdr:rowOff>161709</xdr:rowOff>
    </xdr:from>
    <xdr:to>
      <xdr:col>5</xdr:col>
      <xdr:colOff>33431</xdr:colOff>
      <xdr:row>15</xdr:row>
      <xdr:rowOff>9821</xdr:rowOff>
    </xdr:to>
    <xdr:cxnSp macro="">
      <xdr:nvCxnSpPr>
        <xdr:cNvPr id="321" name="SCHEMA_T04_COND_0024">
          <a:extLst>
            <a:ext uri="{FF2B5EF4-FFF2-40B4-BE49-F238E27FC236}">
              <a16:creationId xmlns:a16="http://schemas.microsoft.com/office/drawing/2014/main" id="{CCA896BE-E7FF-6295-A072-971B6902EC85}"/>
            </a:ext>
          </a:extLst>
        </xdr:cNvPr>
        <xdr:cNvCxnSpPr/>
      </xdr:nvCxnSpPr>
      <xdr:spPr>
        <a:xfrm flipV="1">
          <a:off x="2784475" y="4479709"/>
          <a:ext cx="222250" cy="9464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39034</xdr:colOff>
      <xdr:row>15</xdr:row>
      <xdr:rowOff>97504</xdr:rowOff>
    </xdr:from>
    <xdr:to>
      <xdr:col>3</xdr:col>
      <xdr:colOff>261284</xdr:colOff>
      <xdr:row>15</xdr:row>
      <xdr:rowOff>172196</xdr:rowOff>
    </xdr:to>
    <xdr:cxnSp macro="">
      <xdr:nvCxnSpPr>
        <xdr:cNvPr id="322" name="SCHEMA_T04_COND_0025">
          <a:extLst>
            <a:ext uri="{FF2B5EF4-FFF2-40B4-BE49-F238E27FC236}">
              <a16:creationId xmlns:a16="http://schemas.microsoft.com/office/drawing/2014/main" id="{DF3C6881-F01A-0250-14BA-4CAFAF1B4E9E}"/>
            </a:ext>
          </a:extLst>
        </xdr:cNvPr>
        <xdr:cNvCxnSpPr/>
      </xdr:nvCxnSpPr>
      <xdr:spPr>
        <a:xfrm>
          <a:off x="2339975" y="4662033"/>
          <a:ext cx="222250" cy="7469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261284</xdr:colOff>
      <xdr:row>15</xdr:row>
      <xdr:rowOff>162221</xdr:rowOff>
    </xdr:from>
    <xdr:to>
      <xdr:col>4</xdr:col>
      <xdr:colOff>147357</xdr:colOff>
      <xdr:row>15</xdr:row>
      <xdr:rowOff>172196</xdr:rowOff>
    </xdr:to>
    <xdr:cxnSp macro="">
      <xdr:nvCxnSpPr>
        <xdr:cNvPr id="323" name="SCHEMA_T04_COND_0026">
          <a:extLst>
            <a:ext uri="{FF2B5EF4-FFF2-40B4-BE49-F238E27FC236}">
              <a16:creationId xmlns:a16="http://schemas.microsoft.com/office/drawing/2014/main" id="{7AA79D55-788E-BAB8-7E3B-27045C9D0CA2}"/>
            </a:ext>
          </a:extLst>
        </xdr:cNvPr>
        <xdr:cNvCxnSpPr/>
      </xdr:nvCxnSpPr>
      <xdr:spPr>
        <a:xfrm flipV="1">
          <a:off x="2562225" y="4726750"/>
          <a:ext cx="222250" cy="997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147357</xdr:colOff>
      <xdr:row>15</xdr:row>
      <xdr:rowOff>67580</xdr:rowOff>
    </xdr:from>
    <xdr:to>
      <xdr:col>5</xdr:col>
      <xdr:colOff>33431</xdr:colOff>
      <xdr:row>15</xdr:row>
      <xdr:rowOff>162221</xdr:rowOff>
    </xdr:to>
    <xdr:cxnSp macro="">
      <xdr:nvCxnSpPr>
        <xdr:cNvPr id="324" name="SCHEMA_T04_COND_0027">
          <a:extLst>
            <a:ext uri="{FF2B5EF4-FFF2-40B4-BE49-F238E27FC236}">
              <a16:creationId xmlns:a16="http://schemas.microsoft.com/office/drawing/2014/main" id="{0E3A637E-03D8-EDCD-FE67-B852A83162F9}"/>
            </a:ext>
          </a:extLst>
        </xdr:cNvPr>
        <xdr:cNvCxnSpPr/>
      </xdr:nvCxnSpPr>
      <xdr:spPr>
        <a:xfrm flipV="1">
          <a:off x="2784475" y="4632109"/>
          <a:ext cx="222250" cy="9464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39034</xdr:colOff>
      <xdr:row>15</xdr:row>
      <xdr:rowOff>199104</xdr:rowOff>
    </xdr:from>
    <xdr:to>
      <xdr:col>3</xdr:col>
      <xdr:colOff>261284</xdr:colOff>
      <xdr:row>16</xdr:row>
      <xdr:rowOff>27266</xdr:rowOff>
    </xdr:to>
    <xdr:cxnSp macro="">
      <xdr:nvCxnSpPr>
        <xdr:cNvPr id="325" name="SCHEMA_T04_COND_0028">
          <a:extLst>
            <a:ext uri="{FF2B5EF4-FFF2-40B4-BE49-F238E27FC236}">
              <a16:creationId xmlns:a16="http://schemas.microsoft.com/office/drawing/2014/main" id="{3D4ECA2F-AC98-0083-580E-3DB0DACE8D4B}"/>
            </a:ext>
          </a:extLst>
        </xdr:cNvPr>
        <xdr:cNvCxnSpPr/>
      </xdr:nvCxnSpPr>
      <xdr:spPr>
        <a:xfrm>
          <a:off x="2339975" y="4763633"/>
          <a:ext cx="222250" cy="7469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261284</xdr:colOff>
      <xdr:row>16</xdr:row>
      <xdr:rowOff>17291</xdr:rowOff>
    </xdr:from>
    <xdr:to>
      <xdr:col>4</xdr:col>
      <xdr:colOff>147357</xdr:colOff>
      <xdr:row>16</xdr:row>
      <xdr:rowOff>27266</xdr:rowOff>
    </xdr:to>
    <xdr:cxnSp macro="">
      <xdr:nvCxnSpPr>
        <xdr:cNvPr id="326" name="SCHEMA_T04_COND_0029">
          <a:extLst>
            <a:ext uri="{FF2B5EF4-FFF2-40B4-BE49-F238E27FC236}">
              <a16:creationId xmlns:a16="http://schemas.microsoft.com/office/drawing/2014/main" id="{CD76B727-EF3F-0007-2DF4-309383080FD0}"/>
            </a:ext>
          </a:extLst>
        </xdr:cNvPr>
        <xdr:cNvCxnSpPr/>
      </xdr:nvCxnSpPr>
      <xdr:spPr>
        <a:xfrm flipV="1">
          <a:off x="2562225" y="4828350"/>
          <a:ext cx="222250" cy="997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147357</xdr:colOff>
      <xdr:row>15</xdr:row>
      <xdr:rowOff>169180</xdr:rowOff>
    </xdr:from>
    <xdr:to>
      <xdr:col>5</xdr:col>
      <xdr:colOff>33431</xdr:colOff>
      <xdr:row>16</xdr:row>
      <xdr:rowOff>17291</xdr:rowOff>
    </xdr:to>
    <xdr:cxnSp macro="">
      <xdr:nvCxnSpPr>
        <xdr:cNvPr id="327" name="SCHEMA_T04_COND_0030">
          <a:extLst>
            <a:ext uri="{FF2B5EF4-FFF2-40B4-BE49-F238E27FC236}">
              <a16:creationId xmlns:a16="http://schemas.microsoft.com/office/drawing/2014/main" id="{C1873944-5111-EF59-13BC-FFC1225C6C65}"/>
            </a:ext>
          </a:extLst>
        </xdr:cNvPr>
        <xdr:cNvCxnSpPr/>
      </xdr:nvCxnSpPr>
      <xdr:spPr>
        <a:xfrm flipV="1">
          <a:off x="2784475" y="4733709"/>
          <a:ext cx="222250" cy="9464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334309</xdr:colOff>
      <xdr:row>25</xdr:row>
      <xdr:rowOff>5976</xdr:rowOff>
    </xdr:from>
    <xdr:to>
      <xdr:col>4</xdr:col>
      <xdr:colOff>74332</xdr:colOff>
      <xdr:row>25</xdr:row>
      <xdr:rowOff>82176</xdr:rowOff>
    </xdr:to>
    <xdr:sp macro="" textlink="">
      <xdr:nvSpPr>
        <xdr:cNvPr id="328" name="SCHEMA_T04_ATTRAV_02">
          <a:extLst>
            <a:ext uri="{FF2B5EF4-FFF2-40B4-BE49-F238E27FC236}">
              <a16:creationId xmlns:a16="http://schemas.microsoft.com/office/drawing/2014/main" id="{84EC0F26-5D34-D9BA-28D8-C253D1225D76}"/>
            </a:ext>
          </a:extLst>
        </xdr:cNvPr>
        <xdr:cNvSpPr/>
      </xdr:nvSpPr>
      <xdr:spPr>
        <a:xfrm>
          <a:off x="2635250" y="7035800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33431</xdr:colOff>
      <xdr:row>13</xdr:row>
      <xdr:rowOff>141538</xdr:rowOff>
    </xdr:from>
    <xdr:to>
      <xdr:col>5</xdr:col>
      <xdr:colOff>255681</xdr:colOff>
      <xdr:row>14</xdr:row>
      <xdr:rowOff>106020</xdr:rowOff>
    </xdr:to>
    <xdr:cxnSp macro="">
      <xdr:nvCxnSpPr>
        <xdr:cNvPr id="329" name="SCHEMA_T04_COND_0031">
          <a:extLst>
            <a:ext uri="{FF2B5EF4-FFF2-40B4-BE49-F238E27FC236}">
              <a16:creationId xmlns:a16="http://schemas.microsoft.com/office/drawing/2014/main" id="{9C117D4C-B946-82D1-1E81-CC4E270376D9}"/>
            </a:ext>
          </a:extLst>
        </xdr:cNvPr>
        <xdr:cNvCxnSpPr/>
      </xdr:nvCxnSpPr>
      <xdr:spPr>
        <a:xfrm>
          <a:off x="3006725" y="4213009"/>
          <a:ext cx="222250" cy="211011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255681</xdr:colOff>
      <xdr:row>14</xdr:row>
      <xdr:rowOff>106020</xdr:rowOff>
    </xdr:from>
    <xdr:to>
      <xdr:col>6</xdr:col>
      <xdr:colOff>141754</xdr:colOff>
      <xdr:row>14</xdr:row>
      <xdr:rowOff>232365</xdr:rowOff>
    </xdr:to>
    <xdr:cxnSp macro="">
      <xdr:nvCxnSpPr>
        <xdr:cNvPr id="330" name="SCHEMA_T04_COND_0032">
          <a:extLst>
            <a:ext uri="{FF2B5EF4-FFF2-40B4-BE49-F238E27FC236}">
              <a16:creationId xmlns:a16="http://schemas.microsoft.com/office/drawing/2014/main" id="{72A1D927-7590-C532-C1C1-7C24E68C6041}"/>
            </a:ext>
          </a:extLst>
        </xdr:cNvPr>
        <xdr:cNvCxnSpPr/>
      </xdr:nvCxnSpPr>
      <xdr:spPr>
        <a:xfrm>
          <a:off x="3228975" y="4424020"/>
          <a:ext cx="222250" cy="126345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141754</xdr:colOff>
      <xdr:row>14</xdr:row>
      <xdr:rowOff>232365</xdr:rowOff>
    </xdr:from>
    <xdr:to>
      <xdr:col>7</xdr:col>
      <xdr:colOff>27828</xdr:colOff>
      <xdr:row>15</xdr:row>
      <xdr:rowOff>27514</xdr:rowOff>
    </xdr:to>
    <xdr:cxnSp macro="">
      <xdr:nvCxnSpPr>
        <xdr:cNvPr id="331" name="SCHEMA_T04_COND_0033">
          <a:extLst>
            <a:ext uri="{FF2B5EF4-FFF2-40B4-BE49-F238E27FC236}">
              <a16:creationId xmlns:a16="http://schemas.microsoft.com/office/drawing/2014/main" id="{E4B1C81D-C8FC-AF06-51C6-CD47C86A15CF}"/>
            </a:ext>
          </a:extLst>
        </xdr:cNvPr>
        <xdr:cNvCxnSpPr/>
      </xdr:nvCxnSpPr>
      <xdr:spPr>
        <a:xfrm>
          <a:off x="3451225" y="4550365"/>
          <a:ext cx="222250" cy="41678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33431</xdr:colOff>
      <xdr:row>14</xdr:row>
      <xdr:rowOff>60109</xdr:rowOff>
    </xdr:from>
    <xdr:to>
      <xdr:col>5</xdr:col>
      <xdr:colOff>255681</xdr:colOff>
      <xdr:row>15</xdr:row>
      <xdr:rowOff>24591</xdr:rowOff>
    </xdr:to>
    <xdr:cxnSp macro="">
      <xdr:nvCxnSpPr>
        <xdr:cNvPr id="332" name="SCHEMA_T04_COND_0034">
          <a:extLst>
            <a:ext uri="{FF2B5EF4-FFF2-40B4-BE49-F238E27FC236}">
              <a16:creationId xmlns:a16="http://schemas.microsoft.com/office/drawing/2014/main" id="{747D68A9-47D8-49D1-A313-48A4318A9207}"/>
            </a:ext>
          </a:extLst>
        </xdr:cNvPr>
        <xdr:cNvCxnSpPr/>
      </xdr:nvCxnSpPr>
      <xdr:spPr>
        <a:xfrm>
          <a:off x="3006725" y="4378109"/>
          <a:ext cx="222250" cy="21101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255681</xdr:colOff>
      <xdr:row>15</xdr:row>
      <xdr:rowOff>24591</xdr:rowOff>
    </xdr:from>
    <xdr:to>
      <xdr:col>6</xdr:col>
      <xdr:colOff>141754</xdr:colOff>
      <xdr:row>15</xdr:row>
      <xdr:rowOff>150936</xdr:rowOff>
    </xdr:to>
    <xdr:cxnSp macro="">
      <xdr:nvCxnSpPr>
        <xdr:cNvPr id="333" name="SCHEMA_T04_COND_0035">
          <a:extLst>
            <a:ext uri="{FF2B5EF4-FFF2-40B4-BE49-F238E27FC236}">
              <a16:creationId xmlns:a16="http://schemas.microsoft.com/office/drawing/2014/main" id="{D75C31DB-F06D-FA82-F909-A9B4A29ACAE0}"/>
            </a:ext>
          </a:extLst>
        </xdr:cNvPr>
        <xdr:cNvCxnSpPr/>
      </xdr:nvCxnSpPr>
      <xdr:spPr>
        <a:xfrm>
          <a:off x="3228975" y="4589120"/>
          <a:ext cx="222250" cy="12634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141754</xdr:colOff>
      <xdr:row>15</xdr:row>
      <xdr:rowOff>150936</xdr:rowOff>
    </xdr:from>
    <xdr:to>
      <xdr:col>7</xdr:col>
      <xdr:colOff>27828</xdr:colOff>
      <xdr:row>15</xdr:row>
      <xdr:rowOff>192614</xdr:rowOff>
    </xdr:to>
    <xdr:cxnSp macro="">
      <xdr:nvCxnSpPr>
        <xdr:cNvPr id="334" name="SCHEMA_T04_COND_0036">
          <a:extLst>
            <a:ext uri="{FF2B5EF4-FFF2-40B4-BE49-F238E27FC236}">
              <a16:creationId xmlns:a16="http://schemas.microsoft.com/office/drawing/2014/main" id="{CB71CA20-1F6C-9343-4282-865850C81B5B}"/>
            </a:ext>
          </a:extLst>
        </xdr:cNvPr>
        <xdr:cNvCxnSpPr/>
      </xdr:nvCxnSpPr>
      <xdr:spPr>
        <a:xfrm>
          <a:off x="3451225" y="4715465"/>
          <a:ext cx="222250" cy="4167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33431</xdr:colOff>
      <xdr:row>14</xdr:row>
      <xdr:rowOff>161709</xdr:rowOff>
    </xdr:from>
    <xdr:to>
      <xdr:col>5</xdr:col>
      <xdr:colOff>255681</xdr:colOff>
      <xdr:row>15</xdr:row>
      <xdr:rowOff>126191</xdr:rowOff>
    </xdr:to>
    <xdr:cxnSp macro="">
      <xdr:nvCxnSpPr>
        <xdr:cNvPr id="335" name="SCHEMA_T04_COND_0037">
          <a:extLst>
            <a:ext uri="{FF2B5EF4-FFF2-40B4-BE49-F238E27FC236}">
              <a16:creationId xmlns:a16="http://schemas.microsoft.com/office/drawing/2014/main" id="{245ECB8E-32A0-3828-BFCD-B0AEC8C0139B}"/>
            </a:ext>
          </a:extLst>
        </xdr:cNvPr>
        <xdr:cNvCxnSpPr/>
      </xdr:nvCxnSpPr>
      <xdr:spPr>
        <a:xfrm>
          <a:off x="3006725" y="4479709"/>
          <a:ext cx="222250" cy="21101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255681</xdr:colOff>
      <xdr:row>15</xdr:row>
      <xdr:rowOff>126191</xdr:rowOff>
    </xdr:from>
    <xdr:to>
      <xdr:col>6</xdr:col>
      <xdr:colOff>141754</xdr:colOff>
      <xdr:row>16</xdr:row>
      <xdr:rowOff>6006</xdr:rowOff>
    </xdr:to>
    <xdr:cxnSp macro="">
      <xdr:nvCxnSpPr>
        <xdr:cNvPr id="336" name="SCHEMA_T04_COND_0038">
          <a:extLst>
            <a:ext uri="{FF2B5EF4-FFF2-40B4-BE49-F238E27FC236}">
              <a16:creationId xmlns:a16="http://schemas.microsoft.com/office/drawing/2014/main" id="{8AE2E35D-01F4-BBA6-3D3E-F3CC6482B484}"/>
            </a:ext>
          </a:extLst>
        </xdr:cNvPr>
        <xdr:cNvCxnSpPr/>
      </xdr:nvCxnSpPr>
      <xdr:spPr>
        <a:xfrm>
          <a:off x="3228975" y="4690720"/>
          <a:ext cx="222250" cy="12634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141754</xdr:colOff>
      <xdr:row>16</xdr:row>
      <xdr:rowOff>6006</xdr:rowOff>
    </xdr:from>
    <xdr:to>
      <xdr:col>7</xdr:col>
      <xdr:colOff>27828</xdr:colOff>
      <xdr:row>16</xdr:row>
      <xdr:rowOff>47684</xdr:rowOff>
    </xdr:to>
    <xdr:cxnSp macro="">
      <xdr:nvCxnSpPr>
        <xdr:cNvPr id="337" name="SCHEMA_T04_COND_0039">
          <a:extLst>
            <a:ext uri="{FF2B5EF4-FFF2-40B4-BE49-F238E27FC236}">
              <a16:creationId xmlns:a16="http://schemas.microsoft.com/office/drawing/2014/main" id="{C2581AF3-4723-7011-0A63-79C17E231933}"/>
            </a:ext>
          </a:extLst>
        </xdr:cNvPr>
        <xdr:cNvCxnSpPr/>
      </xdr:nvCxnSpPr>
      <xdr:spPr>
        <a:xfrm>
          <a:off x="3451225" y="4817065"/>
          <a:ext cx="222250" cy="4167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33431</xdr:colOff>
      <xdr:row>15</xdr:row>
      <xdr:rowOff>67580</xdr:rowOff>
    </xdr:from>
    <xdr:to>
      <xdr:col>5</xdr:col>
      <xdr:colOff>255681</xdr:colOff>
      <xdr:row>16</xdr:row>
      <xdr:rowOff>32061</xdr:rowOff>
    </xdr:to>
    <xdr:cxnSp macro="">
      <xdr:nvCxnSpPr>
        <xdr:cNvPr id="338" name="SCHEMA_T04_COND_0040">
          <a:extLst>
            <a:ext uri="{FF2B5EF4-FFF2-40B4-BE49-F238E27FC236}">
              <a16:creationId xmlns:a16="http://schemas.microsoft.com/office/drawing/2014/main" id="{358A0EE7-FBA1-79A4-4BF3-1DC9D5CB0ABE}"/>
            </a:ext>
          </a:extLst>
        </xdr:cNvPr>
        <xdr:cNvCxnSpPr/>
      </xdr:nvCxnSpPr>
      <xdr:spPr>
        <a:xfrm>
          <a:off x="3006725" y="4632109"/>
          <a:ext cx="222250" cy="21101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255681</xdr:colOff>
      <xdr:row>16</xdr:row>
      <xdr:rowOff>32061</xdr:rowOff>
    </xdr:from>
    <xdr:to>
      <xdr:col>6</xdr:col>
      <xdr:colOff>141754</xdr:colOff>
      <xdr:row>16</xdr:row>
      <xdr:rowOff>158406</xdr:rowOff>
    </xdr:to>
    <xdr:cxnSp macro="">
      <xdr:nvCxnSpPr>
        <xdr:cNvPr id="339" name="SCHEMA_T04_COND_0041">
          <a:extLst>
            <a:ext uri="{FF2B5EF4-FFF2-40B4-BE49-F238E27FC236}">
              <a16:creationId xmlns:a16="http://schemas.microsoft.com/office/drawing/2014/main" id="{8A4721CD-F997-4FA2-E140-B88DD31108BE}"/>
            </a:ext>
          </a:extLst>
        </xdr:cNvPr>
        <xdr:cNvCxnSpPr/>
      </xdr:nvCxnSpPr>
      <xdr:spPr>
        <a:xfrm>
          <a:off x="3228975" y="4843120"/>
          <a:ext cx="222250" cy="12634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141754</xdr:colOff>
      <xdr:row>16</xdr:row>
      <xdr:rowOff>158406</xdr:rowOff>
    </xdr:from>
    <xdr:to>
      <xdr:col>7</xdr:col>
      <xdr:colOff>27828</xdr:colOff>
      <xdr:row>16</xdr:row>
      <xdr:rowOff>200084</xdr:rowOff>
    </xdr:to>
    <xdr:cxnSp macro="">
      <xdr:nvCxnSpPr>
        <xdr:cNvPr id="340" name="SCHEMA_T04_COND_0042">
          <a:extLst>
            <a:ext uri="{FF2B5EF4-FFF2-40B4-BE49-F238E27FC236}">
              <a16:creationId xmlns:a16="http://schemas.microsoft.com/office/drawing/2014/main" id="{54370AF4-62B9-20CB-3370-F2A0F633F989}"/>
            </a:ext>
          </a:extLst>
        </xdr:cNvPr>
        <xdr:cNvCxnSpPr/>
      </xdr:nvCxnSpPr>
      <xdr:spPr>
        <a:xfrm>
          <a:off x="3451225" y="4969465"/>
          <a:ext cx="222250" cy="4167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33431</xdr:colOff>
      <xdr:row>15</xdr:row>
      <xdr:rowOff>169180</xdr:rowOff>
    </xdr:from>
    <xdr:to>
      <xdr:col>5</xdr:col>
      <xdr:colOff>255681</xdr:colOff>
      <xdr:row>16</xdr:row>
      <xdr:rowOff>133661</xdr:rowOff>
    </xdr:to>
    <xdr:cxnSp macro="">
      <xdr:nvCxnSpPr>
        <xdr:cNvPr id="341" name="SCHEMA_T04_COND_0043">
          <a:extLst>
            <a:ext uri="{FF2B5EF4-FFF2-40B4-BE49-F238E27FC236}">
              <a16:creationId xmlns:a16="http://schemas.microsoft.com/office/drawing/2014/main" id="{E2292850-91D6-BD06-6EE2-688EB46C70FB}"/>
            </a:ext>
          </a:extLst>
        </xdr:cNvPr>
        <xdr:cNvCxnSpPr/>
      </xdr:nvCxnSpPr>
      <xdr:spPr>
        <a:xfrm>
          <a:off x="3006725" y="4733709"/>
          <a:ext cx="222250" cy="21101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255681</xdr:colOff>
      <xdr:row>16</xdr:row>
      <xdr:rowOff>133661</xdr:rowOff>
    </xdr:from>
    <xdr:to>
      <xdr:col>6</xdr:col>
      <xdr:colOff>141754</xdr:colOff>
      <xdr:row>17</xdr:row>
      <xdr:rowOff>13477</xdr:rowOff>
    </xdr:to>
    <xdr:cxnSp macro="">
      <xdr:nvCxnSpPr>
        <xdr:cNvPr id="342" name="SCHEMA_T04_COND_0044">
          <a:extLst>
            <a:ext uri="{FF2B5EF4-FFF2-40B4-BE49-F238E27FC236}">
              <a16:creationId xmlns:a16="http://schemas.microsoft.com/office/drawing/2014/main" id="{F56CC9D3-25D5-ED01-7045-6CD0CB113C83}"/>
            </a:ext>
          </a:extLst>
        </xdr:cNvPr>
        <xdr:cNvCxnSpPr/>
      </xdr:nvCxnSpPr>
      <xdr:spPr>
        <a:xfrm>
          <a:off x="3228975" y="4944720"/>
          <a:ext cx="222250" cy="12634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141754</xdr:colOff>
      <xdr:row>17</xdr:row>
      <xdr:rowOff>13477</xdr:rowOff>
    </xdr:from>
    <xdr:to>
      <xdr:col>7</xdr:col>
      <xdr:colOff>27828</xdr:colOff>
      <xdr:row>17</xdr:row>
      <xdr:rowOff>55155</xdr:rowOff>
    </xdr:to>
    <xdr:cxnSp macro="">
      <xdr:nvCxnSpPr>
        <xdr:cNvPr id="343" name="SCHEMA_T04_COND_0045">
          <a:extLst>
            <a:ext uri="{FF2B5EF4-FFF2-40B4-BE49-F238E27FC236}">
              <a16:creationId xmlns:a16="http://schemas.microsoft.com/office/drawing/2014/main" id="{DFCAD5BC-C2FC-8CE3-E570-39E928DB37C1}"/>
            </a:ext>
          </a:extLst>
        </xdr:cNvPr>
        <xdr:cNvCxnSpPr/>
      </xdr:nvCxnSpPr>
      <xdr:spPr>
        <a:xfrm>
          <a:off x="3451225" y="5071065"/>
          <a:ext cx="222250" cy="4167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27828</xdr:colOff>
      <xdr:row>14</xdr:row>
      <xdr:rowOff>242340</xdr:rowOff>
    </xdr:from>
    <xdr:to>
      <xdr:col>7</xdr:col>
      <xdr:colOff>250078</xdr:colOff>
      <xdr:row>15</xdr:row>
      <xdr:rowOff>27514</xdr:rowOff>
    </xdr:to>
    <xdr:cxnSp macro="">
      <xdr:nvCxnSpPr>
        <xdr:cNvPr id="344" name="SCHEMA_T04_COND_0046">
          <a:extLst>
            <a:ext uri="{FF2B5EF4-FFF2-40B4-BE49-F238E27FC236}">
              <a16:creationId xmlns:a16="http://schemas.microsoft.com/office/drawing/2014/main" id="{118E9B18-D511-B9A1-1EFD-6F20BC4FE5F0}"/>
            </a:ext>
          </a:extLst>
        </xdr:cNvPr>
        <xdr:cNvCxnSpPr/>
      </xdr:nvCxnSpPr>
      <xdr:spPr>
        <a:xfrm flipV="1">
          <a:off x="3673475" y="4560340"/>
          <a:ext cx="222250" cy="31703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250078</xdr:colOff>
      <xdr:row>14</xdr:row>
      <xdr:rowOff>125969</xdr:rowOff>
    </xdr:from>
    <xdr:to>
      <xdr:col>8</xdr:col>
      <xdr:colOff>136151</xdr:colOff>
      <xdr:row>14</xdr:row>
      <xdr:rowOff>242340</xdr:rowOff>
    </xdr:to>
    <xdr:cxnSp macro="">
      <xdr:nvCxnSpPr>
        <xdr:cNvPr id="345" name="SCHEMA_T04_COND_0047">
          <a:extLst>
            <a:ext uri="{FF2B5EF4-FFF2-40B4-BE49-F238E27FC236}">
              <a16:creationId xmlns:a16="http://schemas.microsoft.com/office/drawing/2014/main" id="{2A6DEC2A-E7A8-B352-5FCE-5CD0F323BEA3}"/>
            </a:ext>
          </a:extLst>
        </xdr:cNvPr>
        <xdr:cNvCxnSpPr/>
      </xdr:nvCxnSpPr>
      <xdr:spPr>
        <a:xfrm flipV="1">
          <a:off x="3895725" y="4443969"/>
          <a:ext cx="222250" cy="116371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136151</xdr:colOff>
      <xdr:row>13</xdr:row>
      <xdr:rowOff>171462</xdr:rowOff>
    </xdr:from>
    <xdr:to>
      <xdr:col>9</xdr:col>
      <xdr:colOff>22225</xdr:colOff>
      <xdr:row>14</xdr:row>
      <xdr:rowOff>125969</xdr:rowOff>
    </xdr:to>
    <xdr:cxnSp macro="">
      <xdr:nvCxnSpPr>
        <xdr:cNvPr id="346" name="SCHEMA_T04_COND_0048">
          <a:extLst>
            <a:ext uri="{FF2B5EF4-FFF2-40B4-BE49-F238E27FC236}">
              <a16:creationId xmlns:a16="http://schemas.microsoft.com/office/drawing/2014/main" id="{33E56D93-69F9-D2B9-50C4-85B65D4C9D09}"/>
            </a:ext>
          </a:extLst>
        </xdr:cNvPr>
        <xdr:cNvCxnSpPr/>
      </xdr:nvCxnSpPr>
      <xdr:spPr>
        <a:xfrm flipV="1">
          <a:off x="4117975" y="4242933"/>
          <a:ext cx="222250" cy="201036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27828</xdr:colOff>
      <xdr:row>15</xdr:row>
      <xdr:rowOff>160911</xdr:rowOff>
    </xdr:from>
    <xdr:to>
      <xdr:col>7</xdr:col>
      <xdr:colOff>250078</xdr:colOff>
      <xdr:row>15</xdr:row>
      <xdr:rowOff>192614</xdr:rowOff>
    </xdr:to>
    <xdr:cxnSp macro="">
      <xdr:nvCxnSpPr>
        <xdr:cNvPr id="347" name="SCHEMA_T04_COND_0049">
          <a:extLst>
            <a:ext uri="{FF2B5EF4-FFF2-40B4-BE49-F238E27FC236}">
              <a16:creationId xmlns:a16="http://schemas.microsoft.com/office/drawing/2014/main" id="{139774A0-7E90-3FA2-6CE0-00DBD1D03CE7}"/>
            </a:ext>
          </a:extLst>
        </xdr:cNvPr>
        <xdr:cNvCxnSpPr/>
      </xdr:nvCxnSpPr>
      <xdr:spPr>
        <a:xfrm flipV="1">
          <a:off x="3673475" y="4725440"/>
          <a:ext cx="222250" cy="3170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250078</xdr:colOff>
      <xdr:row>15</xdr:row>
      <xdr:rowOff>44540</xdr:rowOff>
    </xdr:from>
    <xdr:to>
      <xdr:col>8</xdr:col>
      <xdr:colOff>136151</xdr:colOff>
      <xdr:row>15</xdr:row>
      <xdr:rowOff>160911</xdr:rowOff>
    </xdr:to>
    <xdr:cxnSp macro="">
      <xdr:nvCxnSpPr>
        <xdr:cNvPr id="348" name="SCHEMA_T04_COND_0050">
          <a:extLst>
            <a:ext uri="{FF2B5EF4-FFF2-40B4-BE49-F238E27FC236}">
              <a16:creationId xmlns:a16="http://schemas.microsoft.com/office/drawing/2014/main" id="{91602D34-50EF-AD95-71C3-8EA45DEDC44C}"/>
            </a:ext>
          </a:extLst>
        </xdr:cNvPr>
        <xdr:cNvCxnSpPr/>
      </xdr:nvCxnSpPr>
      <xdr:spPr>
        <a:xfrm flipV="1">
          <a:off x="3895725" y="4609069"/>
          <a:ext cx="222250" cy="11637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136151</xdr:colOff>
      <xdr:row>14</xdr:row>
      <xdr:rowOff>90033</xdr:rowOff>
    </xdr:from>
    <xdr:to>
      <xdr:col>9</xdr:col>
      <xdr:colOff>22225</xdr:colOff>
      <xdr:row>15</xdr:row>
      <xdr:rowOff>44540</xdr:rowOff>
    </xdr:to>
    <xdr:cxnSp macro="">
      <xdr:nvCxnSpPr>
        <xdr:cNvPr id="349" name="SCHEMA_T04_COND_0051">
          <a:extLst>
            <a:ext uri="{FF2B5EF4-FFF2-40B4-BE49-F238E27FC236}">
              <a16:creationId xmlns:a16="http://schemas.microsoft.com/office/drawing/2014/main" id="{0D581296-6A3D-8318-0FC4-82FC8535DA9C}"/>
            </a:ext>
          </a:extLst>
        </xdr:cNvPr>
        <xdr:cNvCxnSpPr/>
      </xdr:nvCxnSpPr>
      <xdr:spPr>
        <a:xfrm flipV="1">
          <a:off x="4117975" y="4408033"/>
          <a:ext cx="222250" cy="20103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27828</xdr:colOff>
      <xdr:row>16</xdr:row>
      <xdr:rowOff>15981</xdr:rowOff>
    </xdr:from>
    <xdr:to>
      <xdr:col>7</xdr:col>
      <xdr:colOff>250078</xdr:colOff>
      <xdr:row>16</xdr:row>
      <xdr:rowOff>47684</xdr:rowOff>
    </xdr:to>
    <xdr:cxnSp macro="">
      <xdr:nvCxnSpPr>
        <xdr:cNvPr id="350" name="SCHEMA_T04_COND_0052">
          <a:extLst>
            <a:ext uri="{FF2B5EF4-FFF2-40B4-BE49-F238E27FC236}">
              <a16:creationId xmlns:a16="http://schemas.microsoft.com/office/drawing/2014/main" id="{A93CCC12-7BB8-656C-8024-26869E2EE83C}"/>
            </a:ext>
          </a:extLst>
        </xdr:cNvPr>
        <xdr:cNvCxnSpPr/>
      </xdr:nvCxnSpPr>
      <xdr:spPr>
        <a:xfrm flipV="1">
          <a:off x="3673475" y="4827040"/>
          <a:ext cx="222250" cy="3170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250078</xdr:colOff>
      <xdr:row>15</xdr:row>
      <xdr:rowOff>146140</xdr:rowOff>
    </xdr:from>
    <xdr:to>
      <xdr:col>8</xdr:col>
      <xdr:colOff>136151</xdr:colOff>
      <xdr:row>16</xdr:row>
      <xdr:rowOff>15981</xdr:rowOff>
    </xdr:to>
    <xdr:cxnSp macro="">
      <xdr:nvCxnSpPr>
        <xdr:cNvPr id="351" name="SCHEMA_T04_COND_0053">
          <a:extLst>
            <a:ext uri="{FF2B5EF4-FFF2-40B4-BE49-F238E27FC236}">
              <a16:creationId xmlns:a16="http://schemas.microsoft.com/office/drawing/2014/main" id="{04945A19-4CF9-0A7D-797D-06CBD9502A76}"/>
            </a:ext>
          </a:extLst>
        </xdr:cNvPr>
        <xdr:cNvCxnSpPr/>
      </xdr:nvCxnSpPr>
      <xdr:spPr>
        <a:xfrm flipV="1">
          <a:off x="3895725" y="4710669"/>
          <a:ext cx="222250" cy="11637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136151</xdr:colOff>
      <xdr:row>14</xdr:row>
      <xdr:rowOff>191633</xdr:rowOff>
    </xdr:from>
    <xdr:to>
      <xdr:col>9</xdr:col>
      <xdr:colOff>22225</xdr:colOff>
      <xdr:row>15</xdr:row>
      <xdr:rowOff>146140</xdr:rowOff>
    </xdr:to>
    <xdr:cxnSp macro="">
      <xdr:nvCxnSpPr>
        <xdr:cNvPr id="352" name="SCHEMA_T04_COND_0054">
          <a:extLst>
            <a:ext uri="{FF2B5EF4-FFF2-40B4-BE49-F238E27FC236}">
              <a16:creationId xmlns:a16="http://schemas.microsoft.com/office/drawing/2014/main" id="{790FA0B8-7518-4E3D-97E0-5C69CDECED96}"/>
            </a:ext>
          </a:extLst>
        </xdr:cNvPr>
        <xdr:cNvCxnSpPr/>
      </xdr:nvCxnSpPr>
      <xdr:spPr>
        <a:xfrm flipV="1">
          <a:off x="4117975" y="4509633"/>
          <a:ext cx="222250" cy="20103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27828</xdr:colOff>
      <xdr:row>16</xdr:row>
      <xdr:rowOff>168381</xdr:rowOff>
    </xdr:from>
    <xdr:to>
      <xdr:col>7</xdr:col>
      <xdr:colOff>250078</xdr:colOff>
      <xdr:row>16</xdr:row>
      <xdr:rowOff>200084</xdr:rowOff>
    </xdr:to>
    <xdr:cxnSp macro="">
      <xdr:nvCxnSpPr>
        <xdr:cNvPr id="796" name="SCHEMA_T04_COND_0055">
          <a:extLst>
            <a:ext uri="{FF2B5EF4-FFF2-40B4-BE49-F238E27FC236}">
              <a16:creationId xmlns:a16="http://schemas.microsoft.com/office/drawing/2014/main" id="{88E5B3FF-AA8F-A733-34DE-F1B2B2CF4BB0}"/>
            </a:ext>
          </a:extLst>
        </xdr:cNvPr>
        <xdr:cNvCxnSpPr/>
      </xdr:nvCxnSpPr>
      <xdr:spPr>
        <a:xfrm flipV="1">
          <a:off x="3673475" y="4979440"/>
          <a:ext cx="222250" cy="3170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250078</xdr:colOff>
      <xdr:row>16</xdr:row>
      <xdr:rowOff>52010</xdr:rowOff>
    </xdr:from>
    <xdr:to>
      <xdr:col>8</xdr:col>
      <xdr:colOff>136151</xdr:colOff>
      <xdr:row>16</xdr:row>
      <xdr:rowOff>168381</xdr:rowOff>
    </xdr:to>
    <xdr:cxnSp macro="">
      <xdr:nvCxnSpPr>
        <xdr:cNvPr id="797" name="SCHEMA_T04_COND_0056">
          <a:extLst>
            <a:ext uri="{FF2B5EF4-FFF2-40B4-BE49-F238E27FC236}">
              <a16:creationId xmlns:a16="http://schemas.microsoft.com/office/drawing/2014/main" id="{42443EEF-8C15-CDA7-4B70-90BFAD5AE6D4}"/>
            </a:ext>
          </a:extLst>
        </xdr:cNvPr>
        <xdr:cNvCxnSpPr/>
      </xdr:nvCxnSpPr>
      <xdr:spPr>
        <a:xfrm flipV="1">
          <a:off x="3895725" y="4863069"/>
          <a:ext cx="222250" cy="11637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136151</xdr:colOff>
      <xdr:row>15</xdr:row>
      <xdr:rowOff>97504</xdr:rowOff>
    </xdr:from>
    <xdr:to>
      <xdr:col>9</xdr:col>
      <xdr:colOff>22225</xdr:colOff>
      <xdr:row>16</xdr:row>
      <xdr:rowOff>52010</xdr:rowOff>
    </xdr:to>
    <xdr:cxnSp macro="">
      <xdr:nvCxnSpPr>
        <xdr:cNvPr id="798" name="SCHEMA_T04_COND_0057">
          <a:extLst>
            <a:ext uri="{FF2B5EF4-FFF2-40B4-BE49-F238E27FC236}">
              <a16:creationId xmlns:a16="http://schemas.microsoft.com/office/drawing/2014/main" id="{28607E2E-0705-E0D4-7D77-65DBCA461675}"/>
            </a:ext>
          </a:extLst>
        </xdr:cNvPr>
        <xdr:cNvCxnSpPr/>
      </xdr:nvCxnSpPr>
      <xdr:spPr>
        <a:xfrm flipV="1">
          <a:off x="4117975" y="4662033"/>
          <a:ext cx="222250" cy="20103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27828</xdr:colOff>
      <xdr:row>17</xdr:row>
      <xdr:rowOff>23452</xdr:rowOff>
    </xdr:from>
    <xdr:to>
      <xdr:col>7</xdr:col>
      <xdr:colOff>250078</xdr:colOff>
      <xdr:row>17</xdr:row>
      <xdr:rowOff>55155</xdr:rowOff>
    </xdr:to>
    <xdr:cxnSp macro="">
      <xdr:nvCxnSpPr>
        <xdr:cNvPr id="799" name="SCHEMA_T04_COND_0058">
          <a:extLst>
            <a:ext uri="{FF2B5EF4-FFF2-40B4-BE49-F238E27FC236}">
              <a16:creationId xmlns:a16="http://schemas.microsoft.com/office/drawing/2014/main" id="{D19D2A81-A192-4D00-0C21-548A7779AA58}"/>
            </a:ext>
          </a:extLst>
        </xdr:cNvPr>
        <xdr:cNvCxnSpPr/>
      </xdr:nvCxnSpPr>
      <xdr:spPr>
        <a:xfrm flipV="1">
          <a:off x="3673475" y="5081040"/>
          <a:ext cx="222250" cy="3170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250078</xdr:colOff>
      <xdr:row>16</xdr:row>
      <xdr:rowOff>153610</xdr:rowOff>
    </xdr:from>
    <xdr:to>
      <xdr:col>8</xdr:col>
      <xdr:colOff>136151</xdr:colOff>
      <xdr:row>17</xdr:row>
      <xdr:rowOff>23452</xdr:rowOff>
    </xdr:to>
    <xdr:cxnSp macro="">
      <xdr:nvCxnSpPr>
        <xdr:cNvPr id="800" name="SCHEMA_T04_COND_0059">
          <a:extLst>
            <a:ext uri="{FF2B5EF4-FFF2-40B4-BE49-F238E27FC236}">
              <a16:creationId xmlns:a16="http://schemas.microsoft.com/office/drawing/2014/main" id="{66C8D134-4662-EF00-4BB2-84A572ECABAA}"/>
            </a:ext>
          </a:extLst>
        </xdr:cNvPr>
        <xdr:cNvCxnSpPr/>
      </xdr:nvCxnSpPr>
      <xdr:spPr>
        <a:xfrm flipV="1">
          <a:off x="3895725" y="4964669"/>
          <a:ext cx="222250" cy="11637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136151</xdr:colOff>
      <xdr:row>15</xdr:row>
      <xdr:rowOff>199104</xdr:rowOff>
    </xdr:from>
    <xdr:to>
      <xdr:col>9</xdr:col>
      <xdr:colOff>22225</xdr:colOff>
      <xdr:row>16</xdr:row>
      <xdr:rowOff>153610</xdr:rowOff>
    </xdr:to>
    <xdr:cxnSp macro="">
      <xdr:nvCxnSpPr>
        <xdr:cNvPr id="801" name="SCHEMA_T04_COND_0060">
          <a:extLst>
            <a:ext uri="{FF2B5EF4-FFF2-40B4-BE49-F238E27FC236}">
              <a16:creationId xmlns:a16="http://schemas.microsoft.com/office/drawing/2014/main" id="{01BB13F1-9657-3CFA-C554-B3CC43F8DF5C}"/>
            </a:ext>
          </a:extLst>
        </xdr:cNvPr>
        <xdr:cNvCxnSpPr/>
      </xdr:nvCxnSpPr>
      <xdr:spPr>
        <a:xfrm flipV="1">
          <a:off x="4117975" y="4763633"/>
          <a:ext cx="222250" cy="20103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22225</xdr:colOff>
      <xdr:row>13</xdr:row>
      <xdr:rowOff>171462</xdr:rowOff>
    </xdr:from>
    <xdr:to>
      <xdr:col>9</xdr:col>
      <xdr:colOff>244475</xdr:colOff>
      <xdr:row>13</xdr:row>
      <xdr:rowOff>179657</xdr:rowOff>
    </xdr:to>
    <xdr:cxnSp macro="">
      <xdr:nvCxnSpPr>
        <xdr:cNvPr id="802" name="SCHEMA_T04_COND_0061">
          <a:extLst>
            <a:ext uri="{FF2B5EF4-FFF2-40B4-BE49-F238E27FC236}">
              <a16:creationId xmlns:a16="http://schemas.microsoft.com/office/drawing/2014/main" id="{E7B10CEE-F510-306B-63A8-3918A762E055}"/>
            </a:ext>
          </a:extLst>
        </xdr:cNvPr>
        <xdr:cNvCxnSpPr/>
      </xdr:nvCxnSpPr>
      <xdr:spPr>
        <a:xfrm>
          <a:off x="4340225" y="4242933"/>
          <a:ext cx="222250" cy="8195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244475</xdr:colOff>
      <xdr:row>13</xdr:row>
      <xdr:rowOff>103185</xdr:rowOff>
    </xdr:from>
    <xdr:to>
      <xdr:col>10</xdr:col>
      <xdr:colOff>130549</xdr:colOff>
      <xdr:row>13</xdr:row>
      <xdr:rowOff>179657</xdr:rowOff>
    </xdr:to>
    <xdr:cxnSp macro="">
      <xdr:nvCxnSpPr>
        <xdr:cNvPr id="803" name="SCHEMA_T04_COND_0062">
          <a:extLst>
            <a:ext uri="{FF2B5EF4-FFF2-40B4-BE49-F238E27FC236}">
              <a16:creationId xmlns:a16="http://schemas.microsoft.com/office/drawing/2014/main" id="{D6124DE8-716F-4031-8CFE-25BEAB1C2B6E}"/>
            </a:ext>
          </a:extLst>
        </xdr:cNvPr>
        <xdr:cNvCxnSpPr/>
      </xdr:nvCxnSpPr>
      <xdr:spPr>
        <a:xfrm flipV="1">
          <a:off x="4562475" y="4174656"/>
          <a:ext cx="222250" cy="76472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130549</xdr:colOff>
      <xdr:row>12</xdr:row>
      <xdr:rowOff>188576</xdr:rowOff>
    </xdr:from>
    <xdr:to>
      <xdr:col>11</xdr:col>
      <xdr:colOff>16622</xdr:colOff>
      <xdr:row>13</xdr:row>
      <xdr:rowOff>103185</xdr:rowOff>
    </xdr:to>
    <xdr:cxnSp macro="">
      <xdr:nvCxnSpPr>
        <xdr:cNvPr id="804" name="SCHEMA_T04_COND_0063">
          <a:extLst>
            <a:ext uri="{FF2B5EF4-FFF2-40B4-BE49-F238E27FC236}">
              <a16:creationId xmlns:a16="http://schemas.microsoft.com/office/drawing/2014/main" id="{88FF2146-E1FC-A254-AC9B-6F3A0C3F2BF3}"/>
            </a:ext>
          </a:extLst>
        </xdr:cNvPr>
        <xdr:cNvCxnSpPr/>
      </xdr:nvCxnSpPr>
      <xdr:spPr>
        <a:xfrm flipV="1">
          <a:off x="4784725" y="4013517"/>
          <a:ext cx="222250" cy="161139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22225</xdr:colOff>
      <xdr:row>14</xdr:row>
      <xdr:rowOff>90033</xdr:rowOff>
    </xdr:from>
    <xdr:to>
      <xdr:col>9</xdr:col>
      <xdr:colOff>244475</xdr:colOff>
      <xdr:row>14</xdr:row>
      <xdr:rowOff>98228</xdr:rowOff>
    </xdr:to>
    <xdr:cxnSp macro="">
      <xdr:nvCxnSpPr>
        <xdr:cNvPr id="805" name="SCHEMA_T04_COND_0064">
          <a:extLst>
            <a:ext uri="{FF2B5EF4-FFF2-40B4-BE49-F238E27FC236}">
              <a16:creationId xmlns:a16="http://schemas.microsoft.com/office/drawing/2014/main" id="{AC295D5B-F5D5-B32C-0498-E6D746A03C11}"/>
            </a:ext>
          </a:extLst>
        </xdr:cNvPr>
        <xdr:cNvCxnSpPr/>
      </xdr:nvCxnSpPr>
      <xdr:spPr>
        <a:xfrm>
          <a:off x="4340225" y="4408033"/>
          <a:ext cx="222250" cy="819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244475</xdr:colOff>
      <xdr:row>14</xdr:row>
      <xdr:rowOff>21756</xdr:rowOff>
    </xdr:from>
    <xdr:to>
      <xdr:col>10</xdr:col>
      <xdr:colOff>130549</xdr:colOff>
      <xdr:row>14</xdr:row>
      <xdr:rowOff>98228</xdr:rowOff>
    </xdr:to>
    <xdr:cxnSp macro="">
      <xdr:nvCxnSpPr>
        <xdr:cNvPr id="806" name="SCHEMA_T04_COND_0065">
          <a:extLst>
            <a:ext uri="{FF2B5EF4-FFF2-40B4-BE49-F238E27FC236}">
              <a16:creationId xmlns:a16="http://schemas.microsoft.com/office/drawing/2014/main" id="{DB738A29-A172-0919-4D20-19D11920F3B7}"/>
            </a:ext>
          </a:extLst>
        </xdr:cNvPr>
        <xdr:cNvCxnSpPr/>
      </xdr:nvCxnSpPr>
      <xdr:spPr>
        <a:xfrm flipV="1">
          <a:off x="4562475" y="4339756"/>
          <a:ext cx="222250" cy="7647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130549</xdr:colOff>
      <xdr:row>13</xdr:row>
      <xdr:rowOff>107146</xdr:rowOff>
    </xdr:from>
    <xdr:to>
      <xdr:col>11</xdr:col>
      <xdr:colOff>16622</xdr:colOff>
      <xdr:row>14</xdr:row>
      <xdr:rowOff>21756</xdr:rowOff>
    </xdr:to>
    <xdr:cxnSp macro="">
      <xdr:nvCxnSpPr>
        <xdr:cNvPr id="807" name="SCHEMA_T04_COND_0066">
          <a:extLst>
            <a:ext uri="{FF2B5EF4-FFF2-40B4-BE49-F238E27FC236}">
              <a16:creationId xmlns:a16="http://schemas.microsoft.com/office/drawing/2014/main" id="{E97D1521-8870-70F8-AF64-C73559C265B4}"/>
            </a:ext>
          </a:extLst>
        </xdr:cNvPr>
        <xdr:cNvCxnSpPr/>
      </xdr:nvCxnSpPr>
      <xdr:spPr>
        <a:xfrm flipV="1">
          <a:off x="4784725" y="4178617"/>
          <a:ext cx="222250" cy="16113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22225</xdr:colOff>
      <xdr:row>14</xdr:row>
      <xdr:rowOff>191633</xdr:rowOff>
    </xdr:from>
    <xdr:to>
      <xdr:col>9</xdr:col>
      <xdr:colOff>244475</xdr:colOff>
      <xdr:row>14</xdr:row>
      <xdr:rowOff>199828</xdr:rowOff>
    </xdr:to>
    <xdr:cxnSp macro="">
      <xdr:nvCxnSpPr>
        <xdr:cNvPr id="808" name="SCHEMA_T04_COND_0067">
          <a:extLst>
            <a:ext uri="{FF2B5EF4-FFF2-40B4-BE49-F238E27FC236}">
              <a16:creationId xmlns:a16="http://schemas.microsoft.com/office/drawing/2014/main" id="{AC21D805-F730-C995-E1CD-36E3C721D3A6}"/>
            </a:ext>
          </a:extLst>
        </xdr:cNvPr>
        <xdr:cNvCxnSpPr/>
      </xdr:nvCxnSpPr>
      <xdr:spPr>
        <a:xfrm>
          <a:off x="4340225" y="4509633"/>
          <a:ext cx="222250" cy="819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244475</xdr:colOff>
      <xdr:row>14</xdr:row>
      <xdr:rowOff>123356</xdr:rowOff>
    </xdr:from>
    <xdr:to>
      <xdr:col>10</xdr:col>
      <xdr:colOff>130549</xdr:colOff>
      <xdr:row>14</xdr:row>
      <xdr:rowOff>199828</xdr:rowOff>
    </xdr:to>
    <xdr:cxnSp macro="">
      <xdr:nvCxnSpPr>
        <xdr:cNvPr id="809" name="SCHEMA_T04_COND_0068">
          <a:extLst>
            <a:ext uri="{FF2B5EF4-FFF2-40B4-BE49-F238E27FC236}">
              <a16:creationId xmlns:a16="http://schemas.microsoft.com/office/drawing/2014/main" id="{26C9DA7C-82DC-F22F-85A2-0E94E8ED5D1D}"/>
            </a:ext>
          </a:extLst>
        </xdr:cNvPr>
        <xdr:cNvCxnSpPr/>
      </xdr:nvCxnSpPr>
      <xdr:spPr>
        <a:xfrm flipV="1">
          <a:off x="4562475" y="4441356"/>
          <a:ext cx="222250" cy="7647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130549</xdr:colOff>
      <xdr:row>13</xdr:row>
      <xdr:rowOff>208746</xdr:rowOff>
    </xdr:from>
    <xdr:to>
      <xdr:col>11</xdr:col>
      <xdr:colOff>16622</xdr:colOff>
      <xdr:row>14</xdr:row>
      <xdr:rowOff>123356</xdr:rowOff>
    </xdr:to>
    <xdr:cxnSp macro="">
      <xdr:nvCxnSpPr>
        <xdr:cNvPr id="810" name="SCHEMA_T04_COND_0069">
          <a:extLst>
            <a:ext uri="{FF2B5EF4-FFF2-40B4-BE49-F238E27FC236}">
              <a16:creationId xmlns:a16="http://schemas.microsoft.com/office/drawing/2014/main" id="{CFF0147D-20C1-0386-883A-259A98A61E14}"/>
            </a:ext>
          </a:extLst>
        </xdr:cNvPr>
        <xdr:cNvCxnSpPr/>
      </xdr:nvCxnSpPr>
      <xdr:spPr>
        <a:xfrm flipV="1">
          <a:off x="4784725" y="4280217"/>
          <a:ext cx="222250" cy="16113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22225</xdr:colOff>
      <xdr:row>15</xdr:row>
      <xdr:rowOff>97504</xdr:rowOff>
    </xdr:from>
    <xdr:to>
      <xdr:col>9</xdr:col>
      <xdr:colOff>244475</xdr:colOff>
      <xdr:row>15</xdr:row>
      <xdr:rowOff>105699</xdr:rowOff>
    </xdr:to>
    <xdr:cxnSp macro="">
      <xdr:nvCxnSpPr>
        <xdr:cNvPr id="811" name="SCHEMA_T04_COND_0070">
          <a:extLst>
            <a:ext uri="{FF2B5EF4-FFF2-40B4-BE49-F238E27FC236}">
              <a16:creationId xmlns:a16="http://schemas.microsoft.com/office/drawing/2014/main" id="{219FC334-648C-0641-B1A8-51FEF7FB5CD3}"/>
            </a:ext>
          </a:extLst>
        </xdr:cNvPr>
        <xdr:cNvCxnSpPr/>
      </xdr:nvCxnSpPr>
      <xdr:spPr>
        <a:xfrm>
          <a:off x="4340225" y="4662033"/>
          <a:ext cx="222250" cy="819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244475</xdr:colOff>
      <xdr:row>15</xdr:row>
      <xdr:rowOff>29227</xdr:rowOff>
    </xdr:from>
    <xdr:to>
      <xdr:col>10</xdr:col>
      <xdr:colOff>130549</xdr:colOff>
      <xdr:row>15</xdr:row>
      <xdr:rowOff>105699</xdr:rowOff>
    </xdr:to>
    <xdr:cxnSp macro="">
      <xdr:nvCxnSpPr>
        <xdr:cNvPr id="812" name="SCHEMA_T04_COND_0071">
          <a:extLst>
            <a:ext uri="{FF2B5EF4-FFF2-40B4-BE49-F238E27FC236}">
              <a16:creationId xmlns:a16="http://schemas.microsoft.com/office/drawing/2014/main" id="{502A0987-9A38-A351-41B0-1D83A95B1D77}"/>
            </a:ext>
          </a:extLst>
        </xdr:cNvPr>
        <xdr:cNvCxnSpPr/>
      </xdr:nvCxnSpPr>
      <xdr:spPr>
        <a:xfrm flipV="1">
          <a:off x="4562475" y="4593756"/>
          <a:ext cx="222250" cy="7647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130549</xdr:colOff>
      <xdr:row>14</xdr:row>
      <xdr:rowOff>114617</xdr:rowOff>
    </xdr:from>
    <xdr:to>
      <xdr:col>11</xdr:col>
      <xdr:colOff>16622</xdr:colOff>
      <xdr:row>15</xdr:row>
      <xdr:rowOff>29227</xdr:rowOff>
    </xdr:to>
    <xdr:cxnSp macro="">
      <xdr:nvCxnSpPr>
        <xdr:cNvPr id="813" name="SCHEMA_T04_COND_0072">
          <a:extLst>
            <a:ext uri="{FF2B5EF4-FFF2-40B4-BE49-F238E27FC236}">
              <a16:creationId xmlns:a16="http://schemas.microsoft.com/office/drawing/2014/main" id="{49652ADB-96DE-6350-5315-E83314BD0A67}"/>
            </a:ext>
          </a:extLst>
        </xdr:cNvPr>
        <xdr:cNvCxnSpPr/>
      </xdr:nvCxnSpPr>
      <xdr:spPr>
        <a:xfrm flipV="1">
          <a:off x="4784725" y="4432617"/>
          <a:ext cx="222250" cy="16113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22225</xdr:colOff>
      <xdr:row>15</xdr:row>
      <xdr:rowOff>199104</xdr:rowOff>
    </xdr:from>
    <xdr:to>
      <xdr:col>9</xdr:col>
      <xdr:colOff>244475</xdr:colOff>
      <xdr:row>15</xdr:row>
      <xdr:rowOff>207299</xdr:rowOff>
    </xdr:to>
    <xdr:cxnSp macro="">
      <xdr:nvCxnSpPr>
        <xdr:cNvPr id="814" name="SCHEMA_T04_COND_0073">
          <a:extLst>
            <a:ext uri="{FF2B5EF4-FFF2-40B4-BE49-F238E27FC236}">
              <a16:creationId xmlns:a16="http://schemas.microsoft.com/office/drawing/2014/main" id="{D6E16BFF-BFDE-BE5A-980C-E9D36B02E751}"/>
            </a:ext>
          </a:extLst>
        </xdr:cNvPr>
        <xdr:cNvCxnSpPr/>
      </xdr:nvCxnSpPr>
      <xdr:spPr>
        <a:xfrm>
          <a:off x="4340225" y="4763633"/>
          <a:ext cx="222250" cy="819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244475</xdr:colOff>
      <xdr:row>15</xdr:row>
      <xdr:rowOff>130827</xdr:rowOff>
    </xdr:from>
    <xdr:to>
      <xdr:col>10</xdr:col>
      <xdr:colOff>130549</xdr:colOff>
      <xdr:row>15</xdr:row>
      <xdr:rowOff>207299</xdr:rowOff>
    </xdr:to>
    <xdr:cxnSp macro="">
      <xdr:nvCxnSpPr>
        <xdr:cNvPr id="815" name="SCHEMA_T04_COND_0074">
          <a:extLst>
            <a:ext uri="{FF2B5EF4-FFF2-40B4-BE49-F238E27FC236}">
              <a16:creationId xmlns:a16="http://schemas.microsoft.com/office/drawing/2014/main" id="{D6D185A4-68DA-DF31-54BA-129C44A90C6E}"/>
            </a:ext>
          </a:extLst>
        </xdr:cNvPr>
        <xdr:cNvCxnSpPr/>
      </xdr:nvCxnSpPr>
      <xdr:spPr>
        <a:xfrm flipV="1">
          <a:off x="4562475" y="4695356"/>
          <a:ext cx="222250" cy="7647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130549</xdr:colOff>
      <xdr:row>14</xdr:row>
      <xdr:rowOff>216217</xdr:rowOff>
    </xdr:from>
    <xdr:to>
      <xdr:col>11</xdr:col>
      <xdr:colOff>16622</xdr:colOff>
      <xdr:row>15</xdr:row>
      <xdr:rowOff>130827</xdr:rowOff>
    </xdr:to>
    <xdr:cxnSp macro="">
      <xdr:nvCxnSpPr>
        <xdr:cNvPr id="816" name="SCHEMA_T04_COND_0075">
          <a:extLst>
            <a:ext uri="{FF2B5EF4-FFF2-40B4-BE49-F238E27FC236}">
              <a16:creationId xmlns:a16="http://schemas.microsoft.com/office/drawing/2014/main" id="{65D57913-E07C-2E87-71AB-CF5800524F53}"/>
            </a:ext>
          </a:extLst>
        </xdr:cNvPr>
        <xdr:cNvCxnSpPr/>
      </xdr:nvCxnSpPr>
      <xdr:spPr>
        <a:xfrm flipV="1">
          <a:off x="4784725" y="4534217"/>
          <a:ext cx="222250" cy="16113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16622</xdr:colOff>
      <xdr:row>12</xdr:row>
      <xdr:rowOff>188576</xdr:rowOff>
    </xdr:from>
    <xdr:to>
      <xdr:col>11</xdr:col>
      <xdr:colOff>238872</xdr:colOff>
      <xdr:row>14</xdr:row>
      <xdr:rowOff>9599</xdr:rowOff>
    </xdr:to>
    <xdr:cxnSp macro="">
      <xdr:nvCxnSpPr>
        <xdr:cNvPr id="817" name="SCHEMA_T04_COND_0076">
          <a:extLst>
            <a:ext uri="{FF2B5EF4-FFF2-40B4-BE49-F238E27FC236}">
              <a16:creationId xmlns:a16="http://schemas.microsoft.com/office/drawing/2014/main" id="{7A7A7C4F-0D5B-1B9D-A2E6-730BC28B762F}"/>
            </a:ext>
          </a:extLst>
        </xdr:cNvPr>
        <xdr:cNvCxnSpPr/>
      </xdr:nvCxnSpPr>
      <xdr:spPr>
        <a:xfrm>
          <a:off x="5006975" y="4013517"/>
          <a:ext cx="222250" cy="314082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238872</xdr:colOff>
      <xdr:row>14</xdr:row>
      <xdr:rowOff>9599</xdr:rowOff>
    </xdr:from>
    <xdr:to>
      <xdr:col>12</xdr:col>
      <xdr:colOff>124946</xdr:colOff>
      <xdr:row>14</xdr:row>
      <xdr:rowOff>239015</xdr:rowOff>
    </xdr:to>
    <xdr:cxnSp macro="">
      <xdr:nvCxnSpPr>
        <xdr:cNvPr id="818" name="SCHEMA_T04_COND_0077">
          <a:extLst>
            <a:ext uri="{FF2B5EF4-FFF2-40B4-BE49-F238E27FC236}">
              <a16:creationId xmlns:a16="http://schemas.microsoft.com/office/drawing/2014/main" id="{DA00D3C2-2015-A3CF-1101-B5D62AADBD65}"/>
            </a:ext>
          </a:extLst>
        </xdr:cNvPr>
        <xdr:cNvCxnSpPr/>
      </xdr:nvCxnSpPr>
      <xdr:spPr>
        <a:xfrm>
          <a:off x="5229225" y="4327599"/>
          <a:ext cx="222250" cy="229416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124946</xdr:colOff>
      <xdr:row>14</xdr:row>
      <xdr:rowOff>239015</xdr:rowOff>
    </xdr:from>
    <xdr:to>
      <xdr:col>13</xdr:col>
      <xdr:colOff>11019</xdr:colOff>
      <xdr:row>15</xdr:row>
      <xdr:rowOff>137234</xdr:rowOff>
    </xdr:to>
    <xdr:cxnSp macro="">
      <xdr:nvCxnSpPr>
        <xdr:cNvPr id="819" name="SCHEMA_T04_COND_0078">
          <a:extLst>
            <a:ext uri="{FF2B5EF4-FFF2-40B4-BE49-F238E27FC236}">
              <a16:creationId xmlns:a16="http://schemas.microsoft.com/office/drawing/2014/main" id="{88BB828C-16BF-947A-B709-F7BF58D73031}"/>
            </a:ext>
          </a:extLst>
        </xdr:cNvPr>
        <xdr:cNvCxnSpPr/>
      </xdr:nvCxnSpPr>
      <xdr:spPr>
        <a:xfrm>
          <a:off x="5451475" y="4557015"/>
          <a:ext cx="222250" cy="144748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16622</xdr:colOff>
      <xdr:row>13</xdr:row>
      <xdr:rowOff>107146</xdr:rowOff>
    </xdr:from>
    <xdr:to>
      <xdr:col>11</xdr:col>
      <xdr:colOff>238872</xdr:colOff>
      <xdr:row>14</xdr:row>
      <xdr:rowOff>174699</xdr:rowOff>
    </xdr:to>
    <xdr:cxnSp macro="">
      <xdr:nvCxnSpPr>
        <xdr:cNvPr id="820" name="SCHEMA_T04_COND_0079">
          <a:extLst>
            <a:ext uri="{FF2B5EF4-FFF2-40B4-BE49-F238E27FC236}">
              <a16:creationId xmlns:a16="http://schemas.microsoft.com/office/drawing/2014/main" id="{7A100784-68DC-0867-06E3-3864A7B09619}"/>
            </a:ext>
          </a:extLst>
        </xdr:cNvPr>
        <xdr:cNvCxnSpPr/>
      </xdr:nvCxnSpPr>
      <xdr:spPr>
        <a:xfrm>
          <a:off x="5006975" y="4178617"/>
          <a:ext cx="222250" cy="31408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238872</xdr:colOff>
      <xdr:row>14</xdr:row>
      <xdr:rowOff>174699</xdr:rowOff>
    </xdr:from>
    <xdr:to>
      <xdr:col>12</xdr:col>
      <xdr:colOff>124946</xdr:colOff>
      <xdr:row>15</xdr:row>
      <xdr:rowOff>157586</xdr:rowOff>
    </xdr:to>
    <xdr:cxnSp macro="">
      <xdr:nvCxnSpPr>
        <xdr:cNvPr id="821" name="SCHEMA_T04_COND_0080">
          <a:extLst>
            <a:ext uri="{FF2B5EF4-FFF2-40B4-BE49-F238E27FC236}">
              <a16:creationId xmlns:a16="http://schemas.microsoft.com/office/drawing/2014/main" id="{209F7BC3-CA56-2AC2-9C69-F5CD67FC52F8}"/>
            </a:ext>
          </a:extLst>
        </xdr:cNvPr>
        <xdr:cNvCxnSpPr/>
      </xdr:nvCxnSpPr>
      <xdr:spPr>
        <a:xfrm>
          <a:off x="5229225" y="4492699"/>
          <a:ext cx="222250" cy="22941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124946</xdr:colOff>
      <xdr:row>15</xdr:row>
      <xdr:rowOff>157586</xdr:rowOff>
    </xdr:from>
    <xdr:to>
      <xdr:col>13</xdr:col>
      <xdr:colOff>11019</xdr:colOff>
      <xdr:row>16</xdr:row>
      <xdr:rowOff>55804</xdr:rowOff>
    </xdr:to>
    <xdr:cxnSp macro="">
      <xdr:nvCxnSpPr>
        <xdr:cNvPr id="822" name="SCHEMA_T04_COND_0081">
          <a:extLst>
            <a:ext uri="{FF2B5EF4-FFF2-40B4-BE49-F238E27FC236}">
              <a16:creationId xmlns:a16="http://schemas.microsoft.com/office/drawing/2014/main" id="{0426A3B5-7469-C57F-FDF4-D87E88D7D83A}"/>
            </a:ext>
          </a:extLst>
        </xdr:cNvPr>
        <xdr:cNvCxnSpPr/>
      </xdr:nvCxnSpPr>
      <xdr:spPr>
        <a:xfrm>
          <a:off x="5451475" y="4722115"/>
          <a:ext cx="222250" cy="14474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16622</xdr:colOff>
      <xdr:row>13</xdr:row>
      <xdr:rowOff>208746</xdr:rowOff>
    </xdr:from>
    <xdr:to>
      <xdr:col>11</xdr:col>
      <xdr:colOff>238872</xdr:colOff>
      <xdr:row>15</xdr:row>
      <xdr:rowOff>29770</xdr:rowOff>
    </xdr:to>
    <xdr:cxnSp macro="">
      <xdr:nvCxnSpPr>
        <xdr:cNvPr id="823" name="SCHEMA_T04_COND_0082">
          <a:extLst>
            <a:ext uri="{FF2B5EF4-FFF2-40B4-BE49-F238E27FC236}">
              <a16:creationId xmlns:a16="http://schemas.microsoft.com/office/drawing/2014/main" id="{DFD1C4D4-84E1-51C9-842D-5732EC74F085}"/>
            </a:ext>
          </a:extLst>
        </xdr:cNvPr>
        <xdr:cNvCxnSpPr/>
      </xdr:nvCxnSpPr>
      <xdr:spPr>
        <a:xfrm>
          <a:off x="5006975" y="4280217"/>
          <a:ext cx="222250" cy="31408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238872</xdr:colOff>
      <xdr:row>15</xdr:row>
      <xdr:rowOff>29770</xdr:rowOff>
    </xdr:from>
    <xdr:to>
      <xdr:col>12</xdr:col>
      <xdr:colOff>124946</xdr:colOff>
      <xdr:row>16</xdr:row>
      <xdr:rowOff>12656</xdr:rowOff>
    </xdr:to>
    <xdr:cxnSp macro="">
      <xdr:nvCxnSpPr>
        <xdr:cNvPr id="824" name="SCHEMA_T04_COND_0083">
          <a:extLst>
            <a:ext uri="{FF2B5EF4-FFF2-40B4-BE49-F238E27FC236}">
              <a16:creationId xmlns:a16="http://schemas.microsoft.com/office/drawing/2014/main" id="{87645616-7C25-4B23-0854-026F03E70507}"/>
            </a:ext>
          </a:extLst>
        </xdr:cNvPr>
        <xdr:cNvCxnSpPr/>
      </xdr:nvCxnSpPr>
      <xdr:spPr>
        <a:xfrm>
          <a:off x="5229225" y="4594299"/>
          <a:ext cx="222250" cy="22941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124946</xdr:colOff>
      <xdr:row>16</xdr:row>
      <xdr:rowOff>12656</xdr:rowOff>
    </xdr:from>
    <xdr:to>
      <xdr:col>13</xdr:col>
      <xdr:colOff>11019</xdr:colOff>
      <xdr:row>16</xdr:row>
      <xdr:rowOff>157404</xdr:rowOff>
    </xdr:to>
    <xdr:cxnSp macro="">
      <xdr:nvCxnSpPr>
        <xdr:cNvPr id="825" name="SCHEMA_T04_COND_0084">
          <a:extLst>
            <a:ext uri="{FF2B5EF4-FFF2-40B4-BE49-F238E27FC236}">
              <a16:creationId xmlns:a16="http://schemas.microsoft.com/office/drawing/2014/main" id="{675B80EF-88F2-3053-9827-684BFB3CA2FD}"/>
            </a:ext>
          </a:extLst>
        </xdr:cNvPr>
        <xdr:cNvCxnSpPr/>
      </xdr:nvCxnSpPr>
      <xdr:spPr>
        <a:xfrm>
          <a:off x="5451475" y="4823715"/>
          <a:ext cx="222250" cy="14474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16622</xdr:colOff>
      <xdr:row>14</xdr:row>
      <xdr:rowOff>114617</xdr:rowOff>
    </xdr:from>
    <xdr:to>
      <xdr:col>11</xdr:col>
      <xdr:colOff>238872</xdr:colOff>
      <xdr:row>15</xdr:row>
      <xdr:rowOff>182170</xdr:rowOff>
    </xdr:to>
    <xdr:cxnSp macro="">
      <xdr:nvCxnSpPr>
        <xdr:cNvPr id="826" name="SCHEMA_T04_COND_0085">
          <a:extLst>
            <a:ext uri="{FF2B5EF4-FFF2-40B4-BE49-F238E27FC236}">
              <a16:creationId xmlns:a16="http://schemas.microsoft.com/office/drawing/2014/main" id="{29AEC4F2-AEAC-7F59-C1AB-14EBC1845610}"/>
            </a:ext>
          </a:extLst>
        </xdr:cNvPr>
        <xdr:cNvCxnSpPr/>
      </xdr:nvCxnSpPr>
      <xdr:spPr>
        <a:xfrm>
          <a:off x="5006975" y="4432617"/>
          <a:ext cx="222250" cy="31408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238872</xdr:colOff>
      <xdr:row>15</xdr:row>
      <xdr:rowOff>182170</xdr:rowOff>
    </xdr:from>
    <xdr:to>
      <xdr:col>12</xdr:col>
      <xdr:colOff>124946</xdr:colOff>
      <xdr:row>16</xdr:row>
      <xdr:rowOff>165056</xdr:rowOff>
    </xdr:to>
    <xdr:cxnSp macro="">
      <xdr:nvCxnSpPr>
        <xdr:cNvPr id="827" name="SCHEMA_T04_COND_0086">
          <a:extLst>
            <a:ext uri="{FF2B5EF4-FFF2-40B4-BE49-F238E27FC236}">
              <a16:creationId xmlns:a16="http://schemas.microsoft.com/office/drawing/2014/main" id="{35D653F0-95D0-3CA4-D8C9-A1E09CBDA5E3}"/>
            </a:ext>
          </a:extLst>
        </xdr:cNvPr>
        <xdr:cNvCxnSpPr/>
      </xdr:nvCxnSpPr>
      <xdr:spPr>
        <a:xfrm>
          <a:off x="5229225" y="4746699"/>
          <a:ext cx="222250" cy="22941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124946</xdr:colOff>
      <xdr:row>16</xdr:row>
      <xdr:rowOff>165056</xdr:rowOff>
    </xdr:from>
    <xdr:to>
      <xdr:col>13</xdr:col>
      <xdr:colOff>11019</xdr:colOff>
      <xdr:row>17</xdr:row>
      <xdr:rowOff>63275</xdr:rowOff>
    </xdr:to>
    <xdr:cxnSp macro="">
      <xdr:nvCxnSpPr>
        <xdr:cNvPr id="828" name="SCHEMA_T04_COND_0087">
          <a:extLst>
            <a:ext uri="{FF2B5EF4-FFF2-40B4-BE49-F238E27FC236}">
              <a16:creationId xmlns:a16="http://schemas.microsoft.com/office/drawing/2014/main" id="{2D28DA0E-F668-7425-90AF-7B80AC101424}"/>
            </a:ext>
          </a:extLst>
        </xdr:cNvPr>
        <xdr:cNvCxnSpPr/>
      </xdr:nvCxnSpPr>
      <xdr:spPr>
        <a:xfrm>
          <a:off x="5451475" y="4976115"/>
          <a:ext cx="222250" cy="14474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16622</xdr:colOff>
      <xdr:row>14</xdr:row>
      <xdr:rowOff>216217</xdr:rowOff>
    </xdr:from>
    <xdr:to>
      <xdr:col>11</xdr:col>
      <xdr:colOff>238872</xdr:colOff>
      <xdr:row>16</xdr:row>
      <xdr:rowOff>37240</xdr:rowOff>
    </xdr:to>
    <xdr:cxnSp macro="">
      <xdr:nvCxnSpPr>
        <xdr:cNvPr id="829" name="SCHEMA_T04_COND_0088">
          <a:extLst>
            <a:ext uri="{FF2B5EF4-FFF2-40B4-BE49-F238E27FC236}">
              <a16:creationId xmlns:a16="http://schemas.microsoft.com/office/drawing/2014/main" id="{C6E50BD6-0C77-5E59-9922-558F72AEA51F}"/>
            </a:ext>
          </a:extLst>
        </xdr:cNvPr>
        <xdr:cNvCxnSpPr/>
      </xdr:nvCxnSpPr>
      <xdr:spPr>
        <a:xfrm>
          <a:off x="5006975" y="4534217"/>
          <a:ext cx="222250" cy="31408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238872</xdr:colOff>
      <xdr:row>16</xdr:row>
      <xdr:rowOff>37240</xdr:rowOff>
    </xdr:from>
    <xdr:to>
      <xdr:col>12</xdr:col>
      <xdr:colOff>124946</xdr:colOff>
      <xdr:row>17</xdr:row>
      <xdr:rowOff>20127</xdr:rowOff>
    </xdr:to>
    <xdr:cxnSp macro="">
      <xdr:nvCxnSpPr>
        <xdr:cNvPr id="830" name="SCHEMA_T04_COND_0089">
          <a:extLst>
            <a:ext uri="{FF2B5EF4-FFF2-40B4-BE49-F238E27FC236}">
              <a16:creationId xmlns:a16="http://schemas.microsoft.com/office/drawing/2014/main" id="{FA868E11-3AAA-C0E5-088A-DC63C45992F7}"/>
            </a:ext>
          </a:extLst>
        </xdr:cNvPr>
        <xdr:cNvCxnSpPr/>
      </xdr:nvCxnSpPr>
      <xdr:spPr>
        <a:xfrm>
          <a:off x="5229225" y="4848299"/>
          <a:ext cx="222250" cy="22941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124946</xdr:colOff>
      <xdr:row>17</xdr:row>
      <xdr:rowOff>20127</xdr:rowOff>
    </xdr:from>
    <xdr:to>
      <xdr:col>13</xdr:col>
      <xdr:colOff>11019</xdr:colOff>
      <xdr:row>17</xdr:row>
      <xdr:rowOff>164875</xdr:rowOff>
    </xdr:to>
    <xdr:cxnSp macro="">
      <xdr:nvCxnSpPr>
        <xdr:cNvPr id="831" name="SCHEMA_T04_COND_0090">
          <a:extLst>
            <a:ext uri="{FF2B5EF4-FFF2-40B4-BE49-F238E27FC236}">
              <a16:creationId xmlns:a16="http://schemas.microsoft.com/office/drawing/2014/main" id="{410B4524-95A8-4F11-BBF6-CD2971DC6B84}"/>
            </a:ext>
          </a:extLst>
        </xdr:cNvPr>
        <xdr:cNvCxnSpPr/>
      </xdr:nvCxnSpPr>
      <xdr:spPr>
        <a:xfrm>
          <a:off x="5451475" y="5077715"/>
          <a:ext cx="222250" cy="14474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11019</xdr:colOff>
      <xdr:row>15</xdr:row>
      <xdr:rowOff>137234</xdr:rowOff>
    </xdr:from>
    <xdr:to>
      <xdr:col>13</xdr:col>
      <xdr:colOff>233269</xdr:colOff>
      <xdr:row>15</xdr:row>
      <xdr:rowOff>221901</xdr:rowOff>
    </xdr:to>
    <xdr:cxnSp macro="">
      <xdr:nvCxnSpPr>
        <xdr:cNvPr id="1536" name="SCHEMA_T04_COND_0091">
          <a:extLst>
            <a:ext uri="{FF2B5EF4-FFF2-40B4-BE49-F238E27FC236}">
              <a16:creationId xmlns:a16="http://schemas.microsoft.com/office/drawing/2014/main" id="{53535B48-3E2A-7E74-8860-13109A8E373F}"/>
            </a:ext>
          </a:extLst>
        </xdr:cNvPr>
        <xdr:cNvCxnSpPr/>
      </xdr:nvCxnSpPr>
      <xdr:spPr>
        <a:xfrm>
          <a:off x="5673725" y="4701763"/>
          <a:ext cx="222250" cy="84667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233269</xdr:colOff>
      <xdr:row>15</xdr:row>
      <xdr:rowOff>221901</xdr:rowOff>
    </xdr:from>
    <xdr:to>
      <xdr:col>14</xdr:col>
      <xdr:colOff>119343</xdr:colOff>
      <xdr:row>15</xdr:row>
      <xdr:rowOff>221901</xdr:rowOff>
    </xdr:to>
    <xdr:cxnSp macro="">
      <xdr:nvCxnSpPr>
        <xdr:cNvPr id="1537" name="SCHEMA_T04_COND_0092">
          <a:extLst>
            <a:ext uri="{FF2B5EF4-FFF2-40B4-BE49-F238E27FC236}">
              <a16:creationId xmlns:a16="http://schemas.microsoft.com/office/drawing/2014/main" id="{68408C9D-DE61-89F6-6A74-C86280A14A6E}"/>
            </a:ext>
          </a:extLst>
        </xdr:cNvPr>
        <xdr:cNvCxnSpPr/>
      </xdr:nvCxnSpPr>
      <xdr:spPr>
        <a:xfrm>
          <a:off x="5895975" y="4786430"/>
          <a:ext cx="222250" cy="0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119343</xdr:colOff>
      <xdr:row>15</xdr:row>
      <xdr:rowOff>137234</xdr:rowOff>
    </xdr:from>
    <xdr:to>
      <xdr:col>15</xdr:col>
      <xdr:colOff>5416</xdr:colOff>
      <xdr:row>15</xdr:row>
      <xdr:rowOff>221901</xdr:rowOff>
    </xdr:to>
    <xdr:cxnSp macro="">
      <xdr:nvCxnSpPr>
        <xdr:cNvPr id="1538" name="SCHEMA_T04_COND_0093">
          <a:extLst>
            <a:ext uri="{FF2B5EF4-FFF2-40B4-BE49-F238E27FC236}">
              <a16:creationId xmlns:a16="http://schemas.microsoft.com/office/drawing/2014/main" id="{7E3FCE3E-9B17-F72D-7739-2D72EA6A2AA1}"/>
            </a:ext>
          </a:extLst>
        </xdr:cNvPr>
        <xdr:cNvCxnSpPr/>
      </xdr:nvCxnSpPr>
      <xdr:spPr>
        <a:xfrm flipV="1">
          <a:off x="6118225" y="4701763"/>
          <a:ext cx="222250" cy="84667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11019</xdr:colOff>
      <xdr:row>16</xdr:row>
      <xdr:rowOff>55804</xdr:rowOff>
    </xdr:from>
    <xdr:to>
      <xdr:col>13</xdr:col>
      <xdr:colOff>233269</xdr:colOff>
      <xdr:row>16</xdr:row>
      <xdr:rowOff>140471</xdr:rowOff>
    </xdr:to>
    <xdr:cxnSp macro="">
      <xdr:nvCxnSpPr>
        <xdr:cNvPr id="1539" name="SCHEMA_T04_COND_0094">
          <a:extLst>
            <a:ext uri="{FF2B5EF4-FFF2-40B4-BE49-F238E27FC236}">
              <a16:creationId xmlns:a16="http://schemas.microsoft.com/office/drawing/2014/main" id="{B2DD5910-DB9B-A8CB-02FA-D47497C7A274}"/>
            </a:ext>
          </a:extLst>
        </xdr:cNvPr>
        <xdr:cNvCxnSpPr/>
      </xdr:nvCxnSpPr>
      <xdr:spPr>
        <a:xfrm>
          <a:off x="5673725" y="4866863"/>
          <a:ext cx="222250" cy="8466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233269</xdr:colOff>
      <xdr:row>16</xdr:row>
      <xdr:rowOff>140471</xdr:rowOff>
    </xdr:from>
    <xdr:to>
      <xdr:col>14</xdr:col>
      <xdr:colOff>119343</xdr:colOff>
      <xdr:row>16</xdr:row>
      <xdr:rowOff>140471</xdr:rowOff>
    </xdr:to>
    <xdr:cxnSp macro="">
      <xdr:nvCxnSpPr>
        <xdr:cNvPr id="1540" name="SCHEMA_T04_COND_0095">
          <a:extLst>
            <a:ext uri="{FF2B5EF4-FFF2-40B4-BE49-F238E27FC236}">
              <a16:creationId xmlns:a16="http://schemas.microsoft.com/office/drawing/2014/main" id="{8A8AEEE6-4673-9F37-48E8-3598EEFC3432}"/>
            </a:ext>
          </a:extLst>
        </xdr:cNvPr>
        <xdr:cNvCxnSpPr/>
      </xdr:nvCxnSpPr>
      <xdr:spPr>
        <a:xfrm>
          <a:off x="5895975" y="4951530"/>
          <a:ext cx="222250" cy="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119343</xdr:colOff>
      <xdr:row>16</xdr:row>
      <xdr:rowOff>55804</xdr:rowOff>
    </xdr:from>
    <xdr:to>
      <xdr:col>15</xdr:col>
      <xdr:colOff>5416</xdr:colOff>
      <xdr:row>16</xdr:row>
      <xdr:rowOff>140471</xdr:rowOff>
    </xdr:to>
    <xdr:cxnSp macro="">
      <xdr:nvCxnSpPr>
        <xdr:cNvPr id="1541" name="SCHEMA_T04_COND_0096">
          <a:extLst>
            <a:ext uri="{FF2B5EF4-FFF2-40B4-BE49-F238E27FC236}">
              <a16:creationId xmlns:a16="http://schemas.microsoft.com/office/drawing/2014/main" id="{23964BE8-5CE4-3222-EBE2-9AE22CE7E2AE}"/>
            </a:ext>
          </a:extLst>
        </xdr:cNvPr>
        <xdr:cNvCxnSpPr/>
      </xdr:nvCxnSpPr>
      <xdr:spPr>
        <a:xfrm flipV="1">
          <a:off x="6118225" y="4866863"/>
          <a:ext cx="222250" cy="8466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11019</xdr:colOff>
      <xdr:row>16</xdr:row>
      <xdr:rowOff>157404</xdr:rowOff>
    </xdr:from>
    <xdr:to>
      <xdr:col>13</xdr:col>
      <xdr:colOff>233269</xdr:colOff>
      <xdr:row>16</xdr:row>
      <xdr:rowOff>242071</xdr:rowOff>
    </xdr:to>
    <xdr:cxnSp macro="">
      <xdr:nvCxnSpPr>
        <xdr:cNvPr id="1542" name="SCHEMA_T04_COND_0097">
          <a:extLst>
            <a:ext uri="{FF2B5EF4-FFF2-40B4-BE49-F238E27FC236}">
              <a16:creationId xmlns:a16="http://schemas.microsoft.com/office/drawing/2014/main" id="{4AE11105-DD4F-87DB-A118-BEB6091AAE0F}"/>
            </a:ext>
          </a:extLst>
        </xdr:cNvPr>
        <xdr:cNvCxnSpPr/>
      </xdr:nvCxnSpPr>
      <xdr:spPr>
        <a:xfrm>
          <a:off x="5673725" y="4968463"/>
          <a:ext cx="222250" cy="8466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233269</xdr:colOff>
      <xdr:row>16</xdr:row>
      <xdr:rowOff>242071</xdr:rowOff>
    </xdr:from>
    <xdr:to>
      <xdr:col>14</xdr:col>
      <xdr:colOff>119343</xdr:colOff>
      <xdr:row>16</xdr:row>
      <xdr:rowOff>242071</xdr:rowOff>
    </xdr:to>
    <xdr:cxnSp macro="">
      <xdr:nvCxnSpPr>
        <xdr:cNvPr id="1543" name="SCHEMA_T04_COND_0098">
          <a:extLst>
            <a:ext uri="{FF2B5EF4-FFF2-40B4-BE49-F238E27FC236}">
              <a16:creationId xmlns:a16="http://schemas.microsoft.com/office/drawing/2014/main" id="{B3457709-7079-29C6-985B-7905B29581E7}"/>
            </a:ext>
          </a:extLst>
        </xdr:cNvPr>
        <xdr:cNvCxnSpPr/>
      </xdr:nvCxnSpPr>
      <xdr:spPr>
        <a:xfrm>
          <a:off x="5895975" y="5053130"/>
          <a:ext cx="222250" cy="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119343</xdr:colOff>
      <xdr:row>16</xdr:row>
      <xdr:rowOff>157404</xdr:rowOff>
    </xdr:from>
    <xdr:to>
      <xdr:col>15</xdr:col>
      <xdr:colOff>5416</xdr:colOff>
      <xdr:row>16</xdr:row>
      <xdr:rowOff>242071</xdr:rowOff>
    </xdr:to>
    <xdr:cxnSp macro="">
      <xdr:nvCxnSpPr>
        <xdr:cNvPr id="1544" name="SCHEMA_T04_COND_0099">
          <a:extLst>
            <a:ext uri="{FF2B5EF4-FFF2-40B4-BE49-F238E27FC236}">
              <a16:creationId xmlns:a16="http://schemas.microsoft.com/office/drawing/2014/main" id="{0BD275B4-9679-C90B-4C7C-9CE36EF58F8D}"/>
            </a:ext>
          </a:extLst>
        </xdr:cNvPr>
        <xdr:cNvCxnSpPr/>
      </xdr:nvCxnSpPr>
      <xdr:spPr>
        <a:xfrm flipV="1">
          <a:off x="6118225" y="4968463"/>
          <a:ext cx="222250" cy="8466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11019</xdr:colOff>
      <xdr:row>17</xdr:row>
      <xdr:rowOff>63275</xdr:rowOff>
    </xdr:from>
    <xdr:to>
      <xdr:col>13</xdr:col>
      <xdr:colOff>233269</xdr:colOff>
      <xdr:row>17</xdr:row>
      <xdr:rowOff>147942</xdr:rowOff>
    </xdr:to>
    <xdr:cxnSp macro="">
      <xdr:nvCxnSpPr>
        <xdr:cNvPr id="1545" name="SCHEMA_T04_COND_0100">
          <a:extLst>
            <a:ext uri="{FF2B5EF4-FFF2-40B4-BE49-F238E27FC236}">
              <a16:creationId xmlns:a16="http://schemas.microsoft.com/office/drawing/2014/main" id="{59BAD324-20C6-B1EE-1395-E94EF69C0A80}"/>
            </a:ext>
          </a:extLst>
        </xdr:cNvPr>
        <xdr:cNvCxnSpPr/>
      </xdr:nvCxnSpPr>
      <xdr:spPr>
        <a:xfrm>
          <a:off x="5673725" y="5120863"/>
          <a:ext cx="222250" cy="8466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233269</xdr:colOff>
      <xdr:row>17</xdr:row>
      <xdr:rowOff>147942</xdr:rowOff>
    </xdr:from>
    <xdr:to>
      <xdr:col>14</xdr:col>
      <xdr:colOff>119343</xdr:colOff>
      <xdr:row>17</xdr:row>
      <xdr:rowOff>147942</xdr:rowOff>
    </xdr:to>
    <xdr:cxnSp macro="">
      <xdr:nvCxnSpPr>
        <xdr:cNvPr id="1546" name="SCHEMA_T04_COND_0101">
          <a:extLst>
            <a:ext uri="{FF2B5EF4-FFF2-40B4-BE49-F238E27FC236}">
              <a16:creationId xmlns:a16="http://schemas.microsoft.com/office/drawing/2014/main" id="{E2672FA4-0770-0973-659F-B8B810ED9C89}"/>
            </a:ext>
          </a:extLst>
        </xdr:cNvPr>
        <xdr:cNvCxnSpPr/>
      </xdr:nvCxnSpPr>
      <xdr:spPr>
        <a:xfrm>
          <a:off x="5895975" y="5205530"/>
          <a:ext cx="222250" cy="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119343</xdr:colOff>
      <xdr:row>17</xdr:row>
      <xdr:rowOff>63275</xdr:rowOff>
    </xdr:from>
    <xdr:to>
      <xdr:col>15</xdr:col>
      <xdr:colOff>5416</xdr:colOff>
      <xdr:row>17</xdr:row>
      <xdr:rowOff>147942</xdr:rowOff>
    </xdr:to>
    <xdr:cxnSp macro="">
      <xdr:nvCxnSpPr>
        <xdr:cNvPr id="1547" name="SCHEMA_T04_COND_0102">
          <a:extLst>
            <a:ext uri="{FF2B5EF4-FFF2-40B4-BE49-F238E27FC236}">
              <a16:creationId xmlns:a16="http://schemas.microsoft.com/office/drawing/2014/main" id="{CA2EAE81-7E5C-104F-CA95-64B56D58C99D}"/>
            </a:ext>
          </a:extLst>
        </xdr:cNvPr>
        <xdr:cNvCxnSpPr/>
      </xdr:nvCxnSpPr>
      <xdr:spPr>
        <a:xfrm flipV="1">
          <a:off x="6118225" y="5120863"/>
          <a:ext cx="222250" cy="8466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11019</xdr:colOff>
      <xdr:row>17</xdr:row>
      <xdr:rowOff>164875</xdr:rowOff>
    </xdr:from>
    <xdr:to>
      <xdr:col>13</xdr:col>
      <xdr:colOff>233269</xdr:colOff>
      <xdr:row>18</xdr:row>
      <xdr:rowOff>3012</xdr:rowOff>
    </xdr:to>
    <xdr:cxnSp macro="">
      <xdr:nvCxnSpPr>
        <xdr:cNvPr id="1548" name="SCHEMA_T04_COND_0103">
          <a:extLst>
            <a:ext uri="{FF2B5EF4-FFF2-40B4-BE49-F238E27FC236}">
              <a16:creationId xmlns:a16="http://schemas.microsoft.com/office/drawing/2014/main" id="{56893566-06D3-F601-AAF5-D7B1EBC33593}"/>
            </a:ext>
          </a:extLst>
        </xdr:cNvPr>
        <xdr:cNvCxnSpPr/>
      </xdr:nvCxnSpPr>
      <xdr:spPr>
        <a:xfrm>
          <a:off x="5673725" y="5222463"/>
          <a:ext cx="222250" cy="8466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233269</xdr:colOff>
      <xdr:row>18</xdr:row>
      <xdr:rowOff>3012</xdr:rowOff>
    </xdr:from>
    <xdr:to>
      <xdr:col>14</xdr:col>
      <xdr:colOff>119343</xdr:colOff>
      <xdr:row>18</xdr:row>
      <xdr:rowOff>3012</xdr:rowOff>
    </xdr:to>
    <xdr:cxnSp macro="">
      <xdr:nvCxnSpPr>
        <xdr:cNvPr id="1549" name="SCHEMA_T04_COND_0104">
          <a:extLst>
            <a:ext uri="{FF2B5EF4-FFF2-40B4-BE49-F238E27FC236}">
              <a16:creationId xmlns:a16="http://schemas.microsoft.com/office/drawing/2014/main" id="{AAB88CAD-3882-6C10-60FA-F5A886DF0566}"/>
            </a:ext>
          </a:extLst>
        </xdr:cNvPr>
        <xdr:cNvCxnSpPr/>
      </xdr:nvCxnSpPr>
      <xdr:spPr>
        <a:xfrm>
          <a:off x="5895975" y="5307130"/>
          <a:ext cx="222250" cy="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119343</xdr:colOff>
      <xdr:row>17</xdr:row>
      <xdr:rowOff>164875</xdr:rowOff>
    </xdr:from>
    <xdr:to>
      <xdr:col>15</xdr:col>
      <xdr:colOff>5416</xdr:colOff>
      <xdr:row>18</xdr:row>
      <xdr:rowOff>3012</xdr:rowOff>
    </xdr:to>
    <xdr:cxnSp macro="">
      <xdr:nvCxnSpPr>
        <xdr:cNvPr id="1550" name="SCHEMA_T04_COND_0105">
          <a:extLst>
            <a:ext uri="{FF2B5EF4-FFF2-40B4-BE49-F238E27FC236}">
              <a16:creationId xmlns:a16="http://schemas.microsoft.com/office/drawing/2014/main" id="{5910716C-059B-F6E7-B21D-FA758440EB21}"/>
            </a:ext>
          </a:extLst>
        </xdr:cNvPr>
        <xdr:cNvCxnSpPr/>
      </xdr:nvCxnSpPr>
      <xdr:spPr>
        <a:xfrm flipV="1">
          <a:off x="6118225" y="5222463"/>
          <a:ext cx="222250" cy="8466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5416</xdr:colOff>
      <xdr:row>14</xdr:row>
      <xdr:rowOff>242340</xdr:rowOff>
    </xdr:from>
    <xdr:to>
      <xdr:col>15</xdr:col>
      <xdr:colOff>227666</xdr:colOff>
      <xdr:row>15</xdr:row>
      <xdr:rowOff>137234</xdr:rowOff>
    </xdr:to>
    <xdr:cxnSp macro="">
      <xdr:nvCxnSpPr>
        <xdr:cNvPr id="1551" name="SCHEMA_T04_COND_0106">
          <a:extLst>
            <a:ext uri="{FF2B5EF4-FFF2-40B4-BE49-F238E27FC236}">
              <a16:creationId xmlns:a16="http://schemas.microsoft.com/office/drawing/2014/main" id="{9AA5D011-DC55-0B25-03D4-1BDC415BB753}"/>
            </a:ext>
          </a:extLst>
        </xdr:cNvPr>
        <xdr:cNvCxnSpPr/>
      </xdr:nvCxnSpPr>
      <xdr:spPr>
        <a:xfrm flipV="1">
          <a:off x="6340475" y="4560340"/>
          <a:ext cx="222250" cy="141423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227666</xdr:colOff>
      <xdr:row>14</xdr:row>
      <xdr:rowOff>16249</xdr:rowOff>
    </xdr:from>
    <xdr:to>
      <xdr:col>16</xdr:col>
      <xdr:colOff>113740</xdr:colOff>
      <xdr:row>14</xdr:row>
      <xdr:rowOff>242340</xdr:rowOff>
    </xdr:to>
    <xdr:cxnSp macro="">
      <xdr:nvCxnSpPr>
        <xdr:cNvPr id="1552" name="SCHEMA_T04_COND_0107">
          <a:extLst>
            <a:ext uri="{FF2B5EF4-FFF2-40B4-BE49-F238E27FC236}">
              <a16:creationId xmlns:a16="http://schemas.microsoft.com/office/drawing/2014/main" id="{3A2353EF-0DD2-AC0F-1742-FC7AFCB8A8E4}"/>
            </a:ext>
          </a:extLst>
        </xdr:cNvPr>
        <xdr:cNvCxnSpPr/>
      </xdr:nvCxnSpPr>
      <xdr:spPr>
        <a:xfrm flipV="1">
          <a:off x="6562725" y="4334249"/>
          <a:ext cx="222250" cy="226091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113740</xdr:colOff>
      <xdr:row>12</xdr:row>
      <xdr:rowOff>198551</xdr:rowOff>
    </xdr:from>
    <xdr:to>
      <xdr:col>16</xdr:col>
      <xdr:colOff>335990</xdr:colOff>
      <xdr:row>14</xdr:row>
      <xdr:rowOff>16249</xdr:rowOff>
    </xdr:to>
    <xdr:cxnSp macro="">
      <xdr:nvCxnSpPr>
        <xdr:cNvPr id="1553" name="SCHEMA_T04_COND_0108">
          <a:extLst>
            <a:ext uri="{FF2B5EF4-FFF2-40B4-BE49-F238E27FC236}">
              <a16:creationId xmlns:a16="http://schemas.microsoft.com/office/drawing/2014/main" id="{A5DCE329-F49A-C760-E8AE-639E03EE0730}"/>
            </a:ext>
          </a:extLst>
        </xdr:cNvPr>
        <xdr:cNvCxnSpPr/>
      </xdr:nvCxnSpPr>
      <xdr:spPr>
        <a:xfrm flipV="1">
          <a:off x="6781240" y="3997345"/>
          <a:ext cx="222250" cy="310757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5416</xdr:colOff>
      <xdr:row>15</xdr:row>
      <xdr:rowOff>160911</xdr:rowOff>
    </xdr:from>
    <xdr:to>
      <xdr:col>15</xdr:col>
      <xdr:colOff>227666</xdr:colOff>
      <xdr:row>16</xdr:row>
      <xdr:rowOff>55804</xdr:rowOff>
    </xdr:to>
    <xdr:cxnSp macro="">
      <xdr:nvCxnSpPr>
        <xdr:cNvPr id="1554" name="SCHEMA_T04_COND_0109">
          <a:extLst>
            <a:ext uri="{FF2B5EF4-FFF2-40B4-BE49-F238E27FC236}">
              <a16:creationId xmlns:a16="http://schemas.microsoft.com/office/drawing/2014/main" id="{CEA18742-3443-32B6-8D88-48F67FF42397}"/>
            </a:ext>
          </a:extLst>
        </xdr:cNvPr>
        <xdr:cNvCxnSpPr/>
      </xdr:nvCxnSpPr>
      <xdr:spPr>
        <a:xfrm flipV="1">
          <a:off x="6340475" y="4725440"/>
          <a:ext cx="222250" cy="14142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227666</xdr:colOff>
      <xdr:row>14</xdr:row>
      <xdr:rowOff>181349</xdr:rowOff>
    </xdr:from>
    <xdr:to>
      <xdr:col>16</xdr:col>
      <xdr:colOff>113740</xdr:colOff>
      <xdr:row>15</xdr:row>
      <xdr:rowOff>160911</xdr:rowOff>
    </xdr:to>
    <xdr:cxnSp macro="">
      <xdr:nvCxnSpPr>
        <xdr:cNvPr id="1555" name="SCHEMA_T04_COND_0110">
          <a:extLst>
            <a:ext uri="{FF2B5EF4-FFF2-40B4-BE49-F238E27FC236}">
              <a16:creationId xmlns:a16="http://schemas.microsoft.com/office/drawing/2014/main" id="{45F418BF-AAF5-D2C5-F796-D2EC8EFE59D4}"/>
            </a:ext>
          </a:extLst>
        </xdr:cNvPr>
        <xdr:cNvCxnSpPr/>
      </xdr:nvCxnSpPr>
      <xdr:spPr>
        <a:xfrm flipV="1">
          <a:off x="6562725" y="4499349"/>
          <a:ext cx="222250" cy="22609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113740</xdr:colOff>
      <xdr:row>13</xdr:row>
      <xdr:rowOff>117121</xdr:rowOff>
    </xdr:from>
    <xdr:to>
      <xdr:col>16</xdr:col>
      <xdr:colOff>335990</xdr:colOff>
      <xdr:row>14</xdr:row>
      <xdr:rowOff>181349</xdr:rowOff>
    </xdr:to>
    <xdr:cxnSp macro="">
      <xdr:nvCxnSpPr>
        <xdr:cNvPr id="1556" name="SCHEMA_T04_COND_0111">
          <a:extLst>
            <a:ext uri="{FF2B5EF4-FFF2-40B4-BE49-F238E27FC236}">
              <a16:creationId xmlns:a16="http://schemas.microsoft.com/office/drawing/2014/main" id="{23188FDA-E59E-4B12-0D7C-BAB7551C42EF}"/>
            </a:ext>
          </a:extLst>
        </xdr:cNvPr>
        <xdr:cNvCxnSpPr/>
      </xdr:nvCxnSpPr>
      <xdr:spPr>
        <a:xfrm flipV="1">
          <a:off x="6784975" y="4188592"/>
          <a:ext cx="222250" cy="31075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5416</xdr:colOff>
      <xdr:row>16</xdr:row>
      <xdr:rowOff>15981</xdr:rowOff>
    </xdr:from>
    <xdr:to>
      <xdr:col>15</xdr:col>
      <xdr:colOff>227666</xdr:colOff>
      <xdr:row>16</xdr:row>
      <xdr:rowOff>157404</xdr:rowOff>
    </xdr:to>
    <xdr:cxnSp macro="">
      <xdr:nvCxnSpPr>
        <xdr:cNvPr id="1557" name="SCHEMA_T04_COND_0112">
          <a:extLst>
            <a:ext uri="{FF2B5EF4-FFF2-40B4-BE49-F238E27FC236}">
              <a16:creationId xmlns:a16="http://schemas.microsoft.com/office/drawing/2014/main" id="{689BD481-4307-B4EA-B41A-F1F76B6DC4FB}"/>
            </a:ext>
          </a:extLst>
        </xdr:cNvPr>
        <xdr:cNvCxnSpPr/>
      </xdr:nvCxnSpPr>
      <xdr:spPr>
        <a:xfrm flipV="1">
          <a:off x="6340475" y="4827040"/>
          <a:ext cx="222250" cy="14142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227666</xdr:colOff>
      <xdr:row>15</xdr:row>
      <xdr:rowOff>36420</xdr:rowOff>
    </xdr:from>
    <xdr:to>
      <xdr:col>16</xdr:col>
      <xdr:colOff>113740</xdr:colOff>
      <xdr:row>16</xdr:row>
      <xdr:rowOff>15981</xdr:rowOff>
    </xdr:to>
    <xdr:cxnSp macro="">
      <xdr:nvCxnSpPr>
        <xdr:cNvPr id="1558" name="SCHEMA_T04_COND_0113">
          <a:extLst>
            <a:ext uri="{FF2B5EF4-FFF2-40B4-BE49-F238E27FC236}">
              <a16:creationId xmlns:a16="http://schemas.microsoft.com/office/drawing/2014/main" id="{E61D1985-99EC-AEA8-8AEF-187173FDAF33}"/>
            </a:ext>
          </a:extLst>
        </xdr:cNvPr>
        <xdr:cNvCxnSpPr/>
      </xdr:nvCxnSpPr>
      <xdr:spPr>
        <a:xfrm flipV="1">
          <a:off x="6562725" y="4600949"/>
          <a:ext cx="222250" cy="22609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113740</xdr:colOff>
      <xdr:row>13</xdr:row>
      <xdr:rowOff>218721</xdr:rowOff>
    </xdr:from>
    <xdr:to>
      <xdr:col>16</xdr:col>
      <xdr:colOff>335990</xdr:colOff>
      <xdr:row>15</xdr:row>
      <xdr:rowOff>36420</xdr:rowOff>
    </xdr:to>
    <xdr:cxnSp macro="">
      <xdr:nvCxnSpPr>
        <xdr:cNvPr id="1559" name="SCHEMA_T04_COND_0114">
          <a:extLst>
            <a:ext uri="{FF2B5EF4-FFF2-40B4-BE49-F238E27FC236}">
              <a16:creationId xmlns:a16="http://schemas.microsoft.com/office/drawing/2014/main" id="{97BC7EF1-DFA8-5716-B04F-0D62AC03315A}"/>
            </a:ext>
          </a:extLst>
        </xdr:cNvPr>
        <xdr:cNvCxnSpPr/>
      </xdr:nvCxnSpPr>
      <xdr:spPr>
        <a:xfrm flipV="1">
          <a:off x="6784975" y="4290192"/>
          <a:ext cx="222250" cy="31075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5416</xdr:colOff>
      <xdr:row>16</xdr:row>
      <xdr:rowOff>168381</xdr:rowOff>
    </xdr:from>
    <xdr:to>
      <xdr:col>15</xdr:col>
      <xdr:colOff>227666</xdr:colOff>
      <xdr:row>17</xdr:row>
      <xdr:rowOff>63275</xdr:rowOff>
    </xdr:to>
    <xdr:cxnSp macro="">
      <xdr:nvCxnSpPr>
        <xdr:cNvPr id="1560" name="SCHEMA_T04_COND_0115">
          <a:extLst>
            <a:ext uri="{FF2B5EF4-FFF2-40B4-BE49-F238E27FC236}">
              <a16:creationId xmlns:a16="http://schemas.microsoft.com/office/drawing/2014/main" id="{CC9714BF-ECBB-33C4-1B5E-FD37E8C4CEBA}"/>
            </a:ext>
          </a:extLst>
        </xdr:cNvPr>
        <xdr:cNvCxnSpPr/>
      </xdr:nvCxnSpPr>
      <xdr:spPr>
        <a:xfrm flipV="1">
          <a:off x="6340475" y="4979440"/>
          <a:ext cx="222250" cy="14142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227666</xdr:colOff>
      <xdr:row>15</xdr:row>
      <xdr:rowOff>188820</xdr:rowOff>
    </xdr:from>
    <xdr:to>
      <xdr:col>16</xdr:col>
      <xdr:colOff>113740</xdr:colOff>
      <xdr:row>16</xdr:row>
      <xdr:rowOff>168381</xdr:rowOff>
    </xdr:to>
    <xdr:cxnSp macro="">
      <xdr:nvCxnSpPr>
        <xdr:cNvPr id="1561" name="SCHEMA_T04_COND_0116">
          <a:extLst>
            <a:ext uri="{FF2B5EF4-FFF2-40B4-BE49-F238E27FC236}">
              <a16:creationId xmlns:a16="http://schemas.microsoft.com/office/drawing/2014/main" id="{636EA174-905D-5F78-7511-53A7D703C72F}"/>
            </a:ext>
          </a:extLst>
        </xdr:cNvPr>
        <xdr:cNvCxnSpPr/>
      </xdr:nvCxnSpPr>
      <xdr:spPr>
        <a:xfrm flipV="1">
          <a:off x="6562725" y="4753349"/>
          <a:ext cx="222250" cy="22609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113740</xdr:colOff>
      <xdr:row>14</xdr:row>
      <xdr:rowOff>124592</xdr:rowOff>
    </xdr:from>
    <xdr:to>
      <xdr:col>16</xdr:col>
      <xdr:colOff>335990</xdr:colOff>
      <xdr:row>15</xdr:row>
      <xdr:rowOff>188820</xdr:rowOff>
    </xdr:to>
    <xdr:cxnSp macro="">
      <xdr:nvCxnSpPr>
        <xdr:cNvPr id="1562" name="SCHEMA_T04_COND_0117">
          <a:extLst>
            <a:ext uri="{FF2B5EF4-FFF2-40B4-BE49-F238E27FC236}">
              <a16:creationId xmlns:a16="http://schemas.microsoft.com/office/drawing/2014/main" id="{88228EA1-04CB-523F-8C61-4509EE66B24A}"/>
            </a:ext>
          </a:extLst>
        </xdr:cNvPr>
        <xdr:cNvCxnSpPr/>
      </xdr:nvCxnSpPr>
      <xdr:spPr>
        <a:xfrm flipV="1">
          <a:off x="6784975" y="4442592"/>
          <a:ext cx="222250" cy="31075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5416</xdr:colOff>
      <xdr:row>17</xdr:row>
      <xdr:rowOff>23452</xdr:rowOff>
    </xdr:from>
    <xdr:to>
      <xdr:col>15</xdr:col>
      <xdr:colOff>227666</xdr:colOff>
      <xdr:row>17</xdr:row>
      <xdr:rowOff>164875</xdr:rowOff>
    </xdr:to>
    <xdr:cxnSp macro="">
      <xdr:nvCxnSpPr>
        <xdr:cNvPr id="1563" name="SCHEMA_T04_COND_0118">
          <a:extLst>
            <a:ext uri="{FF2B5EF4-FFF2-40B4-BE49-F238E27FC236}">
              <a16:creationId xmlns:a16="http://schemas.microsoft.com/office/drawing/2014/main" id="{EDDD3EDD-0A2E-03B2-0AD3-7D6F8B23861C}"/>
            </a:ext>
          </a:extLst>
        </xdr:cNvPr>
        <xdr:cNvCxnSpPr/>
      </xdr:nvCxnSpPr>
      <xdr:spPr>
        <a:xfrm flipV="1">
          <a:off x="6340475" y="5081040"/>
          <a:ext cx="222250" cy="14142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227666</xdr:colOff>
      <xdr:row>16</xdr:row>
      <xdr:rowOff>43890</xdr:rowOff>
    </xdr:from>
    <xdr:to>
      <xdr:col>16</xdr:col>
      <xdr:colOff>113740</xdr:colOff>
      <xdr:row>17</xdr:row>
      <xdr:rowOff>23452</xdr:rowOff>
    </xdr:to>
    <xdr:cxnSp macro="">
      <xdr:nvCxnSpPr>
        <xdr:cNvPr id="1564" name="SCHEMA_T04_COND_0119">
          <a:extLst>
            <a:ext uri="{FF2B5EF4-FFF2-40B4-BE49-F238E27FC236}">
              <a16:creationId xmlns:a16="http://schemas.microsoft.com/office/drawing/2014/main" id="{CB7ABB7C-08C0-2077-1AB5-8E844C5F81B8}"/>
            </a:ext>
          </a:extLst>
        </xdr:cNvPr>
        <xdr:cNvCxnSpPr/>
      </xdr:nvCxnSpPr>
      <xdr:spPr>
        <a:xfrm flipV="1">
          <a:off x="6562725" y="4854949"/>
          <a:ext cx="222250" cy="22609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113740</xdr:colOff>
      <xdr:row>14</xdr:row>
      <xdr:rowOff>226192</xdr:rowOff>
    </xdr:from>
    <xdr:to>
      <xdr:col>16</xdr:col>
      <xdr:colOff>335990</xdr:colOff>
      <xdr:row>16</xdr:row>
      <xdr:rowOff>43890</xdr:rowOff>
    </xdr:to>
    <xdr:cxnSp macro="">
      <xdr:nvCxnSpPr>
        <xdr:cNvPr id="1565" name="SCHEMA_T04_COND_0120">
          <a:extLst>
            <a:ext uri="{FF2B5EF4-FFF2-40B4-BE49-F238E27FC236}">
              <a16:creationId xmlns:a16="http://schemas.microsoft.com/office/drawing/2014/main" id="{4B24C3C5-D973-5114-A898-058D66951F34}"/>
            </a:ext>
          </a:extLst>
        </xdr:cNvPr>
        <xdr:cNvCxnSpPr/>
      </xdr:nvCxnSpPr>
      <xdr:spPr>
        <a:xfrm flipV="1">
          <a:off x="6784975" y="4544192"/>
          <a:ext cx="222250" cy="31075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300691</xdr:colOff>
      <xdr:row>25</xdr:row>
      <xdr:rowOff>5976</xdr:rowOff>
    </xdr:from>
    <xdr:to>
      <xdr:col>16</xdr:col>
      <xdr:colOff>40715</xdr:colOff>
      <xdr:row>25</xdr:row>
      <xdr:rowOff>82176</xdr:rowOff>
    </xdr:to>
    <xdr:sp macro="" textlink="">
      <xdr:nvSpPr>
        <xdr:cNvPr id="1566" name="SCHEMA_T04_ATTRAV_08">
          <a:extLst>
            <a:ext uri="{FF2B5EF4-FFF2-40B4-BE49-F238E27FC236}">
              <a16:creationId xmlns:a16="http://schemas.microsoft.com/office/drawing/2014/main" id="{E45C50F6-9B40-D3F4-B6E9-C931325B9C8F}"/>
            </a:ext>
          </a:extLst>
        </xdr:cNvPr>
        <xdr:cNvSpPr/>
      </xdr:nvSpPr>
      <xdr:spPr>
        <a:xfrm>
          <a:off x="6635750" y="7035800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16</xdr:col>
      <xdr:colOff>335990</xdr:colOff>
      <xdr:row>12</xdr:row>
      <xdr:rowOff>198551</xdr:rowOff>
    </xdr:from>
    <xdr:to>
      <xdr:col>17</xdr:col>
      <xdr:colOff>222063</xdr:colOff>
      <xdr:row>13</xdr:row>
      <xdr:rowOff>36688</xdr:rowOff>
    </xdr:to>
    <xdr:cxnSp macro="">
      <xdr:nvCxnSpPr>
        <xdr:cNvPr id="1567" name="SCHEMA_T04_COND_0121">
          <a:extLst>
            <a:ext uri="{FF2B5EF4-FFF2-40B4-BE49-F238E27FC236}">
              <a16:creationId xmlns:a16="http://schemas.microsoft.com/office/drawing/2014/main" id="{B24521FC-CF28-97AC-500F-BAD339550819}"/>
            </a:ext>
          </a:extLst>
        </xdr:cNvPr>
        <xdr:cNvCxnSpPr/>
      </xdr:nvCxnSpPr>
      <xdr:spPr>
        <a:xfrm>
          <a:off x="7007225" y="4023492"/>
          <a:ext cx="222250" cy="84667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222063</xdr:colOff>
      <xdr:row>13</xdr:row>
      <xdr:rowOff>36688</xdr:rowOff>
    </xdr:from>
    <xdr:to>
      <xdr:col>18</xdr:col>
      <xdr:colOff>108137</xdr:colOff>
      <xdr:row>13</xdr:row>
      <xdr:rowOff>36688</xdr:rowOff>
    </xdr:to>
    <xdr:cxnSp macro="">
      <xdr:nvCxnSpPr>
        <xdr:cNvPr id="1568" name="SCHEMA_T04_COND_0122">
          <a:extLst>
            <a:ext uri="{FF2B5EF4-FFF2-40B4-BE49-F238E27FC236}">
              <a16:creationId xmlns:a16="http://schemas.microsoft.com/office/drawing/2014/main" id="{34FAEFE6-AF64-CF5E-69A4-6C0EDF6AFAED}"/>
            </a:ext>
          </a:extLst>
        </xdr:cNvPr>
        <xdr:cNvCxnSpPr/>
      </xdr:nvCxnSpPr>
      <xdr:spPr>
        <a:xfrm>
          <a:off x="7229475" y="4108159"/>
          <a:ext cx="222250" cy="0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108137</xdr:colOff>
      <xdr:row>12</xdr:row>
      <xdr:rowOff>198551</xdr:rowOff>
    </xdr:from>
    <xdr:to>
      <xdr:col>18</xdr:col>
      <xdr:colOff>330387</xdr:colOff>
      <xdr:row>13</xdr:row>
      <xdr:rowOff>36688</xdr:rowOff>
    </xdr:to>
    <xdr:cxnSp macro="">
      <xdr:nvCxnSpPr>
        <xdr:cNvPr id="1569" name="SCHEMA_T04_COND_0123">
          <a:extLst>
            <a:ext uri="{FF2B5EF4-FFF2-40B4-BE49-F238E27FC236}">
              <a16:creationId xmlns:a16="http://schemas.microsoft.com/office/drawing/2014/main" id="{F79C6BAF-2D8D-7005-2638-51521B0866C8}"/>
            </a:ext>
          </a:extLst>
        </xdr:cNvPr>
        <xdr:cNvCxnSpPr/>
      </xdr:nvCxnSpPr>
      <xdr:spPr>
        <a:xfrm flipV="1">
          <a:off x="7451725" y="4023492"/>
          <a:ext cx="222250" cy="84667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335990</xdr:colOff>
      <xdr:row>13</xdr:row>
      <xdr:rowOff>117121</xdr:rowOff>
    </xdr:from>
    <xdr:to>
      <xdr:col>17</xdr:col>
      <xdr:colOff>222063</xdr:colOff>
      <xdr:row>13</xdr:row>
      <xdr:rowOff>201788</xdr:rowOff>
    </xdr:to>
    <xdr:cxnSp macro="">
      <xdr:nvCxnSpPr>
        <xdr:cNvPr id="1570" name="SCHEMA_T04_COND_0124">
          <a:extLst>
            <a:ext uri="{FF2B5EF4-FFF2-40B4-BE49-F238E27FC236}">
              <a16:creationId xmlns:a16="http://schemas.microsoft.com/office/drawing/2014/main" id="{A158903B-4638-8C7C-329E-2BDBAF355F02}"/>
            </a:ext>
          </a:extLst>
        </xdr:cNvPr>
        <xdr:cNvCxnSpPr/>
      </xdr:nvCxnSpPr>
      <xdr:spPr>
        <a:xfrm>
          <a:off x="7007225" y="4188592"/>
          <a:ext cx="222250" cy="8466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222063</xdr:colOff>
      <xdr:row>13</xdr:row>
      <xdr:rowOff>201788</xdr:rowOff>
    </xdr:from>
    <xdr:to>
      <xdr:col>18</xdr:col>
      <xdr:colOff>108137</xdr:colOff>
      <xdr:row>13</xdr:row>
      <xdr:rowOff>201788</xdr:rowOff>
    </xdr:to>
    <xdr:cxnSp macro="">
      <xdr:nvCxnSpPr>
        <xdr:cNvPr id="1571" name="SCHEMA_T04_COND_0125">
          <a:extLst>
            <a:ext uri="{FF2B5EF4-FFF2-40B4-BE49-F238E27FC236}">
              <a16:creationId xmlns:a16="http://schemas.microsoft.com/office/drawing/2014/main" id="{7CA6066C-830A-F4E5-8272-6B6DD9C02098}"/>
            </a:ext>
          </a:extLst>
        </xdr:cNvPr>
        <xdr:cNvCxnSpPr/>
      </xdr:nvCxnSpPr>
      <xdr:spPr>
        <a:xfrm>
          <a:off x="7229475" y="4273259"/>
          <a:ext cx="222250" cy="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108137</xdr:colOff>
      <xdr:row>13</xdr:row>
      <xdr:rowOff>117121</xdr:rowOff>
    </xdr:from>
    <xdr:to>
      <xdr:col>18</xdr:col>
      <xdr:colOff>330387</xdr:colOff>
      <xdr:row>13</xdr:row>
      <xdr:rowOff>201788</xdr:rowOff>
    </xdr:to>
    <xdr:cxnSp macro="">
      <xdr:nvCxnSpPr>
        <xdr:cNvPr id="1572" name="SCHEMA_T04_COND_0126">
          <a:extLst>
            <a:ext uri="{FF2B5EF4-FFF2-40B4-BE49-F238E27FC236}">
              <a16:creationId xmlns:a16="http://schemas.microsoft.com/office/drawing/2014/main" id="{C3BA2916-F98B-C958-3606-C2478359B9FF}"/>
            </a:ext>
          </a:extLst>
        </xdr:cNvPr>
        <xdr:cNvCxnSpPr/>
      </xdr:nvCxnSpPr>
      <xdr:spPr>
        <a:xfrm flipV="1">
          <a:off x="7451725" y="4188592"/>
          <a:ext cx="222250" cy="8466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335990</xdr:colOff>
      <xdr:row>13</xdr:row>
      <xdr:rowOff>218721</xdr:rowOff>
    </xdr:from>
    <xdr:to>
      <xdr:col>17</xdr:col>
      <xdr:colOff>222063</xdr:colOff>
      <xdr:row>14</xdr:row>
      <xdr:rowOff>56859</xdr:rowOff>
    </xdr:to>
    <xdr:cxnSp macro="">
      <xdr:nvCxnSpPr>
        <xdr:cNvPr id="1573" name="SCHEMA_T04_COND_0127">
          <a:extLst>
            <a:ext uri="{FF2B5EF4-FFF2-40B4-BE49-F238E27FC236}">
              <a16:creationId xmlns:a16="http://schemas.microsoft.com/office/drawing/2014/main" id="{2F08A161-809A-84CD-7628-051188F498EB}"/>
            </a:ext>
          </a:extLst>
        </xdr:cNvPr>
        <xdr:cNvCxnSpPr/>
      </xdr:nvCxnSpPr>
      <xdr:spPr>
        <a:xfrm>
          <a:off x="7007225" y="4290192"/>
          <a:ext cx="222250" cy="8466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222063</xdr:colOff>
      <xdr:row>14</xdr:row>
      <xdr:rowOff>56859</xdr:rowOff>
    </xdr:from>
    <xdr:to>
      <xdr:col>18</xdr:col>
      <xdr:colOff>108137</xdr:colOff>
      <xdr:row>14</xdr:row>
      <xdr:rowOff>56859</xdr:rowOff>
    </xdr:to>
    <xdr:cxnSp macro="">
      <xdr:nvCxnSpPr>
        <xdr:cNvPr id="1574" name="SCHEMA_T04_COND_0128">
          <a:extLst>
            <a:ext uri="{FF2B5EF4-FFF2-40B4-BE49-F238E27FC236}">
              <a16:creationId xmlns:a16="http://schemas.microsoft.com/office/drawing/2014/main" id="{B923E3AE-979E-3555-746D-89537FF34EE1}"/>
            </a:ext>
          </a:extLst>
        </xdr:cNvPr>
        <xdr:cNvCxnSpPr/>
      </xdr:nvCxnSpPr>
      <xdr:spPr>
        <a:xfrm>
          <a:off x="7229475" y="4374859"/>
          <a:ext cx="222250" cy="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108137</xdr:colOff>
      <xdr:row>13</xdr:row>
      <xdr:rowOff>218721</xdr:rowOff>
    </xdr:from>
    <xdr:to>
      <xdr:col>18</xdr:col>
      <xdr:colOff>330387</xdr:colOff>
      <xdr:row>14</xdr:row>
      <xdr:rowOff>56859</xdr:rowOff>
    </xdr:to>
    <xdr:cxnSp macro="">
      <xdr:nvCxnSpPr>
        <xdr:cNvPr id="1575" name="SCHEMA_T04_COND_0129">
          <a:extLst>
            <a:ext uri="{FF2B5EF4-FFF2-40B4-BE49-F238E27FC236}">
              <a16:creationId xmlns:a16="http://schemas.microsoft.com/office/drawing/2014/main" id="{19AE76D5-5116-BD88-4340-FE07809641C4}"/>
            </a:ext>
          </a:extLst>
        </xdr:cNvPr>
        <xdr:cNvCxnSpPr/>
      </xdr:nvCxnSpPr>
      <xdr:spPr>
        <a:xfrm flipV="1">
          <a:off x="7451725" y="4290192"/>
          <a:ext cx="222250" cy="8466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335990</xdr:colOff>
      <xdr:row>14</xdr:row>
      <xdr:rowOff>124592</xdr:rowOff>
    </xdr:from>
    <xdr:to>
      <xdr:col>17</xdr:col>
      <xdr:colOff>222063</xdr:colOff>
      <xdr:row>14</xdr:row>
      <xdr:rowOff>209259</xdr:rowOff>
    </xdr:to>
    <xdr:cxnSp macro="">
      <xdr:nvCxnSpPr>
        <xdr:cNvPr id="1576" name="SCHEMA_T04_COND_0130">
          <a:extLst>
            <a:ext uri="{FF2B5EF4-FFF2-40B4-BE49-F238E27FC236}">
              <a16:creationId xmlns:a16="http://schemas.microsoft.com/office/drawing/2014/main" id="{78AD5BDF-1803-90A9-14FC-29CA948F4EAA}"/>
            </a:ext>
          </a:extLst>
        </xdr:cNvPr>
        <xdr:cNvCxnSpPr/>
      </xdr:nvCxnSpPr>
      <xdr:spPr>
        <a:xfrm>
          <a:off x="7007225" y="4442592"/>
          <a:ext cx="222250" cy="8466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222063</xdr:colOff>
      <xdr:row>14</xdr:row>
      <xdr:rowOff>209259</xdr:rowOff>
    </xdr:from>
    <xdr:to>
      <xdr:col>18</xdr:col>
      <xdr:colOff>108137</xdr:colOff>
      <xdr:row>14</xdr:row>
      <xdr:rowOff>209259</xdr:rowOff>
    </xdr:to>
    <xdr:cxnSp macro="">
      <xdr:nvCxnSpPr>
        <xdr:cNvPr id="1577" name="SCHEMA_T04_COND_0131">
          <a:extLst>
            <a:ext uri="{FF2B5EF4-FFF2-40B4-BE49-F238E27FC236}">
              <a16:creationId xmlns:a16="http://schemas.microsoft.com/office/drawing/2014/main" id="{F11B9DE4-C1FF-1B4C-54B4-16317450FD68}"/>
            </a:ext>
          </a:extLst>
        </xdr:cNvPr>
        <xdr:cNvCxnSpPr/>
      </xdr:nvCxnSpPr>
      <xdr:spPr>
        <a:xfrm>
          <a:off x="7229475" y="4527259"/>
          <a:ext cx="222250" cy="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108137</xdr:colOff>
      <xdr:row>14</xdr:row>
      <xdr:rowOff>124592</xdr:rowOff>
    </xdr:from>
    <xdr:to>
      <xdr:col>18</xdr:col>
      <xdr:colOff>330387</xdr:colOff>
      <xdr:row>14</xdr:row>
      <xdr:rowOff>209259</xdr:rowOff>
    </xdr:to>
    <xdr:cxnSp macro="">
      <xdr:nvCxnSpPr>
        <xdr:cNvPr id="1578" name="SCHEMA_T04_COND_0132">
          <a:extLst>
            <a:ext uri="{FF2B5EF4-FFF2-40B4-BE49-F238E27FC236}">
              <a16:creationId xmlns:a16="http://schemas.microsoft.com/office/drawing/2014/main" id="{9FD2024B-27C7-051F-AF52-E1F56513B745}"/>
            </a:ext>
          </a:extLst>
        </xdr:cNvPr>
        <xdr:cNvCxnSpPr/>
      </xdr:nvCxnSpPr>
      <xdr:spPr>
        <a:xfrm flipV="1">
          <a:off x="7451725" y="4442592"/>
          <a:ext cx="222250" cy="8466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335990</xdr:colOff>
      <xdr:row>14</xdr:row>
      <xdr:rowOff>226192</xdr:rowOff>
    </xdr:from>
    <xdr:to>
      <xdr:col>17</xdr:col>
      <xdr:colOff>222063</xdr:colOff>
      <xdr:row>15</xdr:row>
      <xdr:rowOff>64330</xdr:rowOff>
    </xdr:to>
    <xdr:cxnSp macro="">
      <xdr:nvCxnSpPr>
        <xdr:cNvPr id="1579" name="SCHEMA_T04_COND_0133">
          <a:extLst>
            <a:ext uri="{FF2B5EF4-FFF2-40B4-BE49-F238E27FC236}">
              <a16:creationId xmlns:a16="http://schemas.microsoft.com/office/drawing/2014/main" id="{29EEB372-9334-E2F3-65F3-2270BA703E2B}"/>
            </a:ext>
          </a:extLst>
        </xdr:cNvPr>
        <xdr:cNvCxnSpPr/>
      </xdr:nvCxnSpPr>
      <xdr:spPr>
        <a:xfrm>
          <a:off x="7007225" y="4544192"/>
          <a:ext cx="222250" cy="8466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222063</xdr:colOff>
      <xdr:row>15</xdr:row>
      <xdr:rowOff>64330</xdr:rowOff>
    </xdr:from>
    <xdr:to>
      <xdr:col>18</xdr:col>
      <xdr:colOff>108137</xdr:colOff>
      <xdr:row>15</xdr:row>
      <xdr:rowOff>64330</xdr:rowOff>
    </xdr:to>
    <xdr:cxnSp macro="">
      <xdr:nvCxnSpPr>
        <xdr:cNvPr id="1580" name="SCHEMA_T04_COND_0134">
          <a:extLst>
            <a:ext uri="{FF2B5EF4-FFF2-40B4-BE49-F238E27FC236}">
              <a16:creationId xmlns:a16="http://schemas.microsoft.com/office/drawing/2014/main" id="{AAE4CBC2-35F9-E8C3-6AF3-1B856BF90314}"/>
            </a:ext>
          </a:extLst>
        </xdr:cNvPr>
        <xdr:cNvCxnSpPr/>
      </xdr:nvCxnSpPr>
      <xdr:spPr>
        <a:xfrm>
          <a:off x="7229475" y="4628859"/>
          <a:ext cx="222250" cy="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108137</xdr:colOff>
      <xdr:row>14</xdr:row>
      <xdr:rowOff>226192</xdr:rowOff>
    </xdr:from>
    <xdr:to>
      <xdr:col>18</xdr:col>
      <xdr:colOff>330387</xdr:colOff>
      <xdr:row>15</xdr:row>
      <xdr:rowOff>64330</xdr:rowOff>
    </xdr:to>
    <xdr:cxnSp macro="">
      <xdr:nvCxnSpPr>
        <xdr:cNvPr id="1581" name="SCHEMA_T04_COND_0135">
          <a:extLst>
            <a:ext uri="{FF2B5EF4-FFF2-40B4-BE49-F238E27FC236}">
              <a16:creationId xmlns:a16="http://schemas.microsoft.com/office/drawing/2014/main" id="{0B244988-74A7-4061-F0BF-7E0CBCBCD050}"/>
            </a:ext>
          </a:extLst>
        </xdr:cNvPr>
        <xdr:cNvCxnSpPr/>
      </xdr:nvCxnSpPr>
      <xdr:spPr>
        <a:xfrm flipV="1">
          <a:off x="7451725" y="4544192"/>
          <a:ext cx="222250" cy="8466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295088</xdr:colOff>
      <xdr:row>25</xdr:row>
      <xdr:rowOff>5976</xdr:rowOff>
    </xdr:from>
    <xdr:to>
      <xdr:col>18</xdr:col>
      <xdr:colOff>35112</xdr:colOff>
      <xdr:row>25</xdr:row>
      <xdr:rowOff>82176</xdr:rowOff>
    </xdr:to>
    <xdr:sp macro="" textlink="">
      <xdr:nvSpPr>
        <xdr:cNvPr id="1582" name="SCHEMA_T04_ATTRAV_09">
          <a:extLst>
            <a:ext uri="{FF2B5EF4-FFF2-40B4-BE49-F238E27FC236}">
              <a16:creationId xmlns:a16="http://schemas.microsoft.com/office/drawing/2014/main" id="{5EBDABEE-7186-95AB-F1F6-A48F99C76A70}"/>
            </a:ext>
          </a:extLst>
        </xdr:cNvPr>
        <xdr:cNvSpPr/>
      </xdr:nvSpPr>
      <xdr:spPr>
        <a:xfrm>
          <a:off x="7302500" y="7035800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18</xdr:col>
      <xdr:colOff>330387</xdr:colOff>
      <xdr:row>12</xdr:row>
      <xdr:rowOff>198551</xdr:rowOff>
    </xdr:from>
    <xdr:to>
      <xdr:col>19</xdr:col>
      <xdr:colOff>216460</xdr:colOff>
      <xdr:row>13</xdr:row>
      <xdr:rowOff>40013</xdr:rowOff>
    </xdr:to>
    <xdr:cxnSp macro="">
      <xdr:nvCxnSpPr>
        <xdr:cNvPr id="1583" name="SCHEMA_T04_COND_0136">
          <a:extLst>
            <a:ext uri="{FF2B5EF4-FFF2-40B4-BE49-F238E27FC236}">
              <a16:creationId xmlns:a16="http://schemas.microsoft.com/office/drawing/2014/main" id="{F502025A-A3C8-2AD2-7670-B61E6BC24D07}"/>
            </a:ext>
          </a:extLst>
        </xdr:cNvPr>
        <xdr:cNvCxnSpPr/>
      </xdr:nvCxnSpPr>
      <xdr:spPr>
        <a:xfrm>
          <a:off x="7673975" y="4023492"/>
          <a:ext cx="222250" cy="87992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216460</xdr:colOff>
      <xdr:row>13</xdr:row>
      <xdr:rowOff>40013</xdr:rowOff>
    </xdr:from>
    <xdr:to>
      <xdr:col>20</xdr:col>
      <xdr:colOff>102534</xdr:colOff>
      <xdr:row>13</xdr:row>
      <xdr:rowOff>43338</xdr:rowOff>
    </xdr:to>
    <xdr:cxnSp macro="">
      <xdr:nvCxnSpPr>
        <xdr:cNvPr id="1584" name="SCHEMA_T04_COND_0137">
          <a:extLst>
            <a:ext uri="{FF2B5EF4-FFF2-40B4-BE49-F238E27FC236}">
              <a16:creationId xmlns:a16="http://schemas.microsoft.com/office/drawing/2014/main" id="{9C4A4C8D-256F-2AFF-F59A-E0D270494998}"/>
            </a:ext>
          </a:extLst>
        </xdr:cNvPr>
        <xdr:cNvCxnSpPr/>
      </xdr:nvCxnSpPr>
      <xdr:spPr>
        <a:xfrm>
          <a:off x="7896225" y="4111484"/>
          <a:ext cx="222250" cy="3325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102534</xdr:colOff>
      <xdr:row>12</xdr:row>
      <xdr:rowOff>208526</xdr:rowOff>
    </xdr:from>
    <xdr:to>
      <xdr:col>20</xdr:col>
      <xdr:colOff>324784</xdr:colOff>
      <xdr:row>13</xdr:row>
      <xdr:rowOff>43338</xdr:rowOff>
    </xdr:to>
    <xdr:cxnSp macro="">
      <xdr:nvCxnSpPr>
        <xdr:cNvPr id="1585" name="SCHEMA_T04_COND_0138">
          <a:extLst>
            <a:ext uri="{FF2B5EF4-FFF2-40B4-BE49-F238E27FC236}">
              <a16:creationId xmlns:a16="http://schemas.microsoft.com/office/drawing/2014/main" id="{C7BDEF62-CF8D-B96B-96AF-1EA6F86B73A1}"/>
            </a:ext>
          </a:extLst>
        </xdr:cNvPr>
        <xdr:cNvCxnSpPr/>
      </xdr:nvCxnSpPr>
      <xdr:spPr>
        <a:xfrm flipV="1">
          <a:off x="8118475" y="4033467"/>
          <a:ext cx="222250" cy="81342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330387</xdr:colOff>
      <xdr:row>13</xdr:row>
      <xdr:rowOff>117121</xdr:rowOff>
    </xdr:from>
    <xdr:to>
      <xdr:col>19</xdr:col>
      <xdr:colOff>216460</xdr:colOff>
      <xdr:row>13</xdr:row>
      <xdr:rowOff>205113</xdr:rowOff>
    </xdr:to>
    <xdr:cxnSp macro="">
      <xdr:nvCxnSpPr>
        <xdr:cNvPr id="1586" name="SCHEMA_T04_COND_0139">
          <a:extLst>
            <a:ext uri="{FF2B5EF4-FFF2-40B4-BE49-F238E27FC236}">
              <a16:creationId xmlns:a16="http://schemas.microsoft.com/office/drawing/2014/main" id="{6D05255F-1E85-7C24-ACAB-75391DA8D25E}"/>
            </a:ext>
          </a:extLst>
        </xdr:cNvPr>
        <xdr:cNvCxnSpPr/>
      </xdr:nvCxnSpPr>
      <xdr:spPr>
        <a:xfrm>
          <a:off x="7673975" y="4188592"/>
          <a:ext cx="222250" cy="8799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216460</xdr:colOff>
      <xdr:row>13</xdr:row>
      <xdr:rowOff>205113</xdr:rowOff>
    </xdr:from>
    <xdr:to>
      <xdr:col>20</xdr:col>
      <xdr:colOff>102534</xdr:colOff>
      <xdr:row>13</xdr:row>
      <xdr:rowOff>208438</xdr:rowOff>
    </xdr:to>
    <xdr:cxnSp macro="">
      <xdr:nvCxnSpPr>
        <xdr:cNvPr id="1587" name="SCHEMA_T04_COND_0140">
          <a:extLst>
            <a:ext uri="{FF2B5EF4-FFF2-40B4-BE49-F238E27FC236}">
              <a16:creationId xmlns:a16="http://schemas.microsoft.com/office/drawing/2014/main" id="{09371F9C-42D8-4C12-8942-676919609BDE}"/>
            </a:ext>
          </a:extLst>
        </xdr:cNvPr>
        <xdr:cNvCxnSpPr/>
      </xdr:nvCxnSpPr>
      <xdr:spPr>
        <a:xfrm>
          <a:off x="7896225" y="4276584"/>
          <a:ext cx="222250" cy="332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102534</xdr:colOff>
      <xdr:row>13</xdr:row>
      <xdr:rowOff>127096</xdr:rowOff>
    </xdr:from>
    <xdr:to>
      <xdr:col>20</xdr:col>
      <xdr:colOff>324784</xdr:colOff>
      <xdr:row>13</xdr:row>
      <xdr:rowOff>208438</xdr:rowOff>
    </xdr:to>
    <xdr:cxnSp macro="">
      <xdr:nvCxnSpPr>
        <xdr:cNvPr id="1588" name="SCHEMA_T04_COND_0141">
          <a:extLst>
            <a:ext uri="{FF2B5EF4-FFF2-40B4-BE49-F238E27FC236}">
              <a16:creationId xmlns:a16="http://schemas.microsoft.com/office/drawing/2014/main" id="{66CDB2B3-744C-6179-4D4A-98B4197DADEF}"/>
            </a:ext>
          </a:extLst>
        </xdr:cNvPr>
        <xdr:cNvCxnSpPr/>
      </xdr:nvCxnSpPr>
      <xdr:spPr>
        <a:xfrm flipV="1">
          <a:off x="8118475" y="4198567"/>
          <a:ext cx="222250" cy="8134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330387</xdr:colOff>
      <xdr:row>13</xdr:row>
      <xdr:rowOff>218721</xdr:rowOff>
    </xdr:from>
    <xdr:to>
      <xdr:col>19</xdr:col>
      <xdr:colOff>216460</xdr:colOff>
      <xdr:row>14</xdr:row>
      <xdr:rowOff>60184</xdr:rowOff>
    </xdr:to>
    <xdr:cxnSp macro="">
      <xdr:nvCxnSpPr>
        <xdr:cNvPr id="1589" name="SCHEMA_T04_COND_0142">
          <a:extLst>
            <a:ext uri="{FF2B5EF4-FFF2-40B4-BE49-F238E27FC236}">
              <a16:creationId xmlns:a16="http://schemas.microsoft.com/office/drawing/2014/main" id="{52A78974-B8CA-8A6E-BF16-EA04ECBBC5C3}"/>
            </a:ext>
          </a:extLst>
        </xdr:cNvPr>
        <xdr:cNvCxnSpPr/>
      </xdr:nvCxnSpPr>
      <xdr:spPr>
        <a:xfrm>
          <a:off x="7673975" y="4290192"/>
          <a:ext cx="222250" cy="8799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216460</xdr:colOff>
      <xdr:row>14</xdr:row>
      <xdr:rowOff>60184</xdr:rowOff>
    </xdr:from>
    <xdr:to>
      <xdr:col>20</xdr:col>
      <xdr:colOff>102534</xdr:colOff>
      <xdr:row>14</xdr:row>
      <xdr:rowOff>63509</xdr:rowOff>
    </xdr:to>
    <xdr:cxnSp macro="">
      <xdr:nvCxnSpPr>
        <xdr:cNvPr id="1590" name="SCHEMA_T04_COND_0143">
          <a:extLst>
            <a:ext uri="{FF2B5EF4-FFF2-40B4-BE49-F238E27FC236}">
              <a16:creationId xmlns:a16="http://schemas.microsoft.com/office/drawing/2014/main" id="{450D922E-F16E-15B4-92B9-9C6FBD59198D}"/>
            </a:ext>
          </a:extLst>
        </xdr:cNvPr>
        <xdr:cNvCxnSpPr/>
      </xdr:nvCxnSpPr>
      <xdr:spPr>
        <a:xfrm>
          <a:off x="7896225" y="4378184"/>
          <a:ext cx="222250" cy="332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102534</xdr:colOff>
      <xdr:row>13</xdr:row>
      <xdr:rowOff>228696</xdr:rowOff>
    </xdr:from>
    <xdr:to>
      <xdr:col>20</xdr:col>
      <xdr:colOff>324784</xdr:colOff>
      <xdr:row>14</xdr:row>
      <xdr:rowOff>63509</xdr:rowOff>
    </xdr:to>
    <xdr:cxnSp macro="">
      <xdr:nvCxnSpPr>
        <xdr:cNvPr id="1591" name="SCHEMA_T04_COND_0144">
          <a:extLst>
            <a:ext uri="{FF2B5EF4-FFF2-40B4-BE49-F238E27FC236}">
              <a16:creationId xmlns:a16="http://schemas.microsoft.com/office/drawing/2014/main" id="{95CA31B3-237D-F6A3-F9E2-B6E3F0310842}"/>
            </a:ext>
          </a:extLst>
        </xdr:cNvPr>
        <xdr:cNvCxnSpPr/>
      </xdr:nvCxnSpPr>
      <xdr:spPr>
        <a:xfrm flipV="1">
          <a:off x="8118475" y="4300167"/>
          <a:ext cx="222250" cy="8134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330387</xdr:colOff>
      <xdr:row>14</xdr:row>
      <xdr:rowOff>124592</xdr:rowOff>
    </xdr:from>
    <xdr:to>
      <xdr:col>19</xdr:col>
      <xdr:colOff>216460</xdr:colOff>
      <xdr:row>14</xdr:row>
      <xdr:rowOff>212584</xdr:rowOff>
    </xdr:to>
    <xdr:cxnSp macro="">
      <xdr:nvCxnSpPr>
        <xdr:cNvPr id="1592" name="SCHEMA_T04_COND_0145">
          <a:extLst>
            <a:ext uri="{FF2B5EF4-FFF2-40B4-BE49-F238E27FC236}">
              <a16:creationId xmlns:a16="http://schemas.microsoft.com/office/drawing/2014/main" id="{A1F0CE8D-D1B3-0D1D-9AFC-6A9ADC849B82}"/>
            </a:ext>
          </a:extLst>
        </xdr:cNvPr>
        <xdr:cNvCxnSpPr/>
      </xdr:nvCxnSpPr>
      <xdr:spPr>
        <a:xfrm>
          <a:off x="7673975" y="4442592"/>
          <a:ext cx="222250" cy="8799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216460</xdr:colOff>
      <xdr:row>14</xdr:row>
      <xdr:rowOff>212584</xdr:rowOff>
    </xdr:from>
    <xdr:to>
      <xdr:col>20</xdr:col>
      <xdr:colOff>102534</xdr:colOff>
      <xdr:row>14</xdr:row>
      <xdr:rowOff>215909</xdr:rowOff>
    </xdr:to>
    <xdr:cxnSp macro="">
      <xdr:nvCxnSpPr>
        <xdr:cNvPr id="1593" name="SCHEMA_T04_COND_0146">
          <a:extLst>
            <a:ext uri="{FF2B5EF4-FFF2-40B4-BE49-F238E27FC236}">
              <a16:creationId xmlns:a16="http://schemas.microsoft.com/office/drawing/2014/main" id="{8EE65245-CD96-9FEE-A562-E715FB532F9B}"/>
            </a:ext>
          </a:extLst>
        </xdr:cNvPr>
        <xdr:cNvCxnSpPr/>
      </xdr:nvCxnSpPr>
      <xdr:spPr>
        <a:xfrm>
          <a:off x="7896225" y="4530584"/>
          <a:ext cx="222250" cy="332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102534</xdr:colOff>
      <xdr:row>14</xdr:row>
      <xdr:rowOff>134567</xdr:rowOff>
    </xdr:from>
    <xdr:to>
      <xdr:col>20</xdr:col>
      <xdr:colOff>324784</xdr:colOff>
      <xdr:row>14</xdr:row>
      <xdr:rowOff>215909</xdr:rowOff>
    </xdr:to>
    <xdr:cxnSp macro="">
      <xdr:nvCxnSpPr>
        <xdr:cNvPr id="1594" name="SCHEMA_T04_COND_0147">
          <a:extLst>
            <a:ext uri="{FF2B5EF4-FFF2-40B4-BE49-F238E27FC236}">
              <a16:creationId xmlns:a16="http://schemas.microsoft.com/office/drawing/2014/main" id="{472B4E27-217D-41DE-C755-EF1B83908367}"/>
            </a:ext>
          </a:extLst>
        </xdr:cNvPr>
        <xdr:cNvCxnSpPr/>
      </xdr:nvCxnSpPr>
      <xdr:spPr>
        <a:xfrm flipV="1">
          <a:off x="8118475" y="4452567"/>
          <a:ext cx="222250" cy="8134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330387</xdr:colOff>
      <xdr:row>14</xdr:row>
      <xdr:rowOff>226192</xdr:rowOff>
    </xdr:from>
    <xdr:to>
      <xdr:col>19</xdr:col>
      <xdr:colOff>216460</xdr:colOff>
      <xdr:row>15</xdr:row>
      <xdr:rowOff>67655</xdr:rowOff>
    </xdr:to>
    <xdr:cxnSp macro="">
      <xdr:nvCxnSpPr>
        <xdr:cNvPr id="1595" name="SCHEMA_T04_COND_0148">
          <a:extLst>
            <a:ext uri="{FF2B5EF4-FFF2-40B4-BE49-F238E27FC236}">
              <a16:creationId xmlns:a16="http://schemas.microsoft.com/office/drawing/2014/main" id="{2A11B90C-CCA8-3407-7A67-91142CCCAC71}"/>
            </a:ext>
          </a:extLst>
        </xdr:cNvPr>
        <xdr:cNvCxnSpPr/>
      </xdr:nvCxnSpPr>
      <xdr:spPr>
        <a:xfrm>
          <a:off x="7673975" y="4544192"/>
          <a:ext cx="222250" cy="8799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216460</xdr:colOff>
      <xdr:row>15</xdr:row>
      <xdr:rowOff>67655</xdr:rowOff>
    </xdr:from>
    <xdr:to>
      <xdr:col>20</xdr:col>
      <xdr:colOff>102534</xdr:colOff>
      <xdr:row>15</xdr:row>
      <xdr:rowOff>70980</xdr:rowOff>
    </xdr:to>
    <xdr:cxnSp macro="">
      <xdr:nvCxnSpPr>
        <xdr:cNvPr id="1596" name="SCHEMA_T04_COND_0149">
          <a:extLst>
            <a:ext uri="{FF2B5EF4-FFF2-40B4-BE49-F238E27FC236}">
              <a16:creationId xmlns:a16="http://schemas.microsoft.com/office/drawing/2014/main" id="{120CC7C2-49F5-E1DB-4EC0-4E55C8AFD2DA}"/>
            </a:ext>
          </a:extLst>
        </xdr:cNvPr>
        <xdr:cNvCxnSpPr/>
      </xdr:nvCxnSpPr>
      <xdr:spPr>
        <a:xfrm>
          <a:off x="7896225" y="4632184"/>
          <a:ext cx="222250" cy="332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102534</xdr:colOff>
      <xdr:row>14</xdr:row>
      <xdr:rowOff>236167</xdr:rowOff>
    </xdr:from>
    <xdr:to>
      <xdr:col>20</xdr:col>
      <xdr:colOff>324784</xdr:colOff>
      <xdr:row>15</xdr:row>
      <xdr:rowOff>70980</xdr:rowOff>
    </xdr:to>
    <xdr:cxnSp macro="">
      <xdr:nvCxnSpPr>
        <xdr:cNvPr id="1597" name="SCHEMA_T04_COND_0150">
          <a:extLst>
            <a:ext uri="{FF2B5EF4-FFF2-40B4-BE49-F238E27FC236}">
              <a16:creationId xmlns:a16="http://schemas.microsoft.com/office/drawing/2014/main" id="{0B16DE72-C8F0-4154-AA07-E2EA362EBE5E}"/>
            </a:ext>
          </a:extLst>
        </xdr:cNvPr>
        <xdr:cNvCxnSpPr/>
      </xdr:nvCxnSpPr>
      <xdr:spPr>
        <a:xfrm flipV="1">
          <a:off x="8118475" y="4554167"/>
          <a:ext cx="222250" cy="8134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289485</xdr:colOff>
      <xdr:row>25</xdr:row>
      <xdr:rowOff>5976</xdr:rowOff>
    </xdr:from>
    <xdr:to>
      <xdr:col>20</xdr:col>
      <xdr:colOff>29509</xdr:colOff>
      <xdr:row>25</xdr:row>
      <xdr:rowOff>82176</xdr:rowOff>
    </xdr:to>
    <xdr:sp macro="" textlink="">
      <xdr:nvSpPr>
        <xdr:cNvPr id="1598" name="SCHEMA_T04_ATTRAV_10">
          <a:extLst>
            <a:ext uri="{FF2B5EF4-FFF2-40B4-BE49-F238E27FC236}">
              <a16:creationId xmlns:a16="http://schemas.microsoft.com/office/drawing/2014/main" id="{5E3EF303-1516-FFCC-B7AF-7036AC4B0B0C}"/>
            </a:ext>
          </a:extLst>
        </xdr:cNvPr>
        <xdr:cNvSpPr/>
      </xdr:nvSpPr>
      <xdr:spPr>
        <a:xfrm>
          <a:off x="7969250" y="7035800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20</xdr:col>
      <xdr:colOff>324784</xdr:colOff>
      <xdr:row>12</xdr:row>
      <xdr:rowOff>208526</xdr:rowOff>
    </xdr:from>
    <xdr:to>
      <xdr:col>21</xdr:col>
      <xdr:colOff>210857</xdr:colOff>
      <xdr:row>13</xdr:row>
      <xdr:rowOff>229530</xdr:rowOff>
    </xdr:to>
    <xdr:cxnSp macro="">
      <xdr:nvCxnSpPr>
        <xdr:cNvPr id="1599" name="SCHEMA_T04_COND_0151">
          <a:extLst>
            <a:ext uri="{FF2B5EF4-FFF2-40B4-BE49-F238E27FC236}">
              <a16:creationId xmlns:a16="http://schemas.microsoft.com/office/drawing/2014/main" id="{077A3056-39EF-01CB-FD83-EEC3A1991E99}"/>
            </a:ext>
          </a:extLst>
        </xdr:cNvPr>
        <xdr:cNvCxnSpPr/>
      </xdr:nvCxnSpPr>
      <xdr:spPr>
        <a:xfrm>
          <a:off x="8340725" y="4033467"/>
          <a:ext cx="222250" cy="267534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210857</xdr:colOff>
      <xdr:row>13</xdr:row>
      <xdr:rowOff>229530</xdr:rowOff>
    </xdr:from>
    <xdr:to>
      <xdr:col>22</xdr:col>
      <xdr:colOff>96931</xdr:colOff>
      <xdr:row>14</xdr:row>
      <xdr:rowOff>165868</xdr:rowOff>
    </xdr:to>
    <xdr:cxnSp macro="">
      <xdr:nvCxnSpPr>
        <xdr:cNvPr id="1600" name="SCHEMA_T04_COND_0152">
          <a:extLst>
            <a:ext uri="{FF2B5EF4-FFF2-40B4-BE49-F238E27FC236}">
              <a16:creationId xmlns:a16="http://schemas.microsoft.com/office/drawing/2014/main" id="{F85B984E-5C92-4271-F1F7-16F7A05D27C2}"/>
            </a:ext>
          </a:extLst>
        </xdr:cNvPr>
        <xdr:cNvCxnSpPr/>
      </xdr:nvCxnSpPr>
      <xdr:spPr>
        <a:xfrm>
          <a:off x="8562975" y="4301001"/>
          <a:ext cx="222250" cy="182867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96931</xdr:colOff>
      <xdr:row>14</xdr:row>
      <xdr:rowOff>165868</xdr:rowOff>
    </xdr:from>
    <xdr:to>
      <xdr:col>22</xdr:col>
      <xdr:colOff>319181</xdr:colOff>
      <xdr:row>15</xdr:row>
      <xdr:rowOff>17539</xdr:rowOff>
    </xdr:to>
    <xdr:cxnSp macro="">
      <xdr:nvCxnSpPr>
        <xdr:cNvPr id="1601" name="SCHEMA_T04_COND_0153">
          <a:extLst>
            <a:ext uri="{FF2B5EF4-FFF2-40B4-BE49-F238E27FC236}">
              <a16:creationId xmlns:a16="http://schemas.microsoft.com/office/drawing/2014/main" id="{2B94CA2F-3B46-8B3A-000C-3C2A7CA46BC4}"/>
            </a:ext>
          </a:extLst>
        </xdr:cNvPr>
        <xdr:cNvCxnSpPr/>
      </xdr:nvCxnSpPr>
      <xdr:spPr>
        <a:xfrm>
          <a:off x="8785225" y="4483868"/>
          <a:ext cx="222250" cy="98200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324784</xdr:colOff>
      <xdr:row>13</xdr:row>
      <xdr:rowOff>127096</xdr:rowOff>
    </xdr:from>
    <xdr:to>
      <xdr:col>21</xdr:col>
      <xdr:colOff>210857</xdr:colOff>
      <xdr:row>14</xdr:row>
      <xdr:rowOff>148101</xdr:rowOff>
    </xdr:to>
    <xdr:cxnSp macro="">
      <xdr:nvCxnSpPr>
        <xdr:cNvPr id="1602" name="SCHEMA_T04_COND_0154">
          <a:extLst>
            <a:ext uri="{FF2B5EF4-FFF2-40B4-BE49-F238E27FC236}">
              <a16:creationId xmlns:a16="http://schemas.microsoft.com/office/drawing/2014/main" id="{2EE26119-DD50-D05B-BCC6-C5B93D7F9C3E}"/>
            </a:ext>
          </a:extLst>
        </xdr:cNvPr>
        <xdr:cNvCxnSpPr/>
      </xdr:nvCxnSpPr>
      <xdr:spPr>
        <a:xfrm>
          <a:off x="8340725" y="4198567"/>
          <a:ext cx="222250" cy="267534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210857</xdr:colOff>
      <xdr:row>14</xdr:row>
      <xdr:rowOff>148101</xdr:rowOff>
    </xdr:from>
    <xdr:to>
      <xdr:col>22</xdr:col>
      <xdr:colOff>96931</xdr:colOff>
      <xdr:row>15</xdr:row>
      <xdr:rowOff>84439</xdr:rowOff>
    </xdr:to>
    <xdr:cxnSp macro="">
      <xdr:nvCxnSpPr>
        <xdr:cNvPr id="1603" name="SCHEMA_T04_COND_0155">
          <a:extLst>
            <a:ext uri="{FF2B5EF4-FFF2-40B4-BE49-F238E27FC236}">
              <a16:creationId xmlns:a16="http://schemas.microsoft.com/office/drawing/2014/main" id="{F04A6046-ECF0-2BDF-BB0A-135C35E355DC}"/>
            </a:ext>
          </a:extLst>
        </xdr:cNvPr>
        <xdr:cNvCxnSpPr/>
      </xdr:nvCxnSpPr>
      <xdr:spPr>
        <a:xfrm>
          <a:off x="8562975" y="4466101"/>
          <a:ext cx="222250" cy="18286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96931</xdr:colOff>
      <xdr:row>15</xdr:row>
      <xdr:rowOff>84439</xdr:rowOff>
    </xdr:from>
    <xdr:to>
      <xdr:col>22</xdr:col>
      <xdr:colOff>319181</xdr:colOff>
      <xdr:row>15</xdr:row>
      <xdr:rowOff>182639</xdr:rowOff>
    </xdr:to>
    <xdr:cxnSp macro="">
      <xdr:nvCxnSpPr>
        <xdr:cNvPr id="1604" name="SCHEMA_T04_COND_0156">
          <a:extLst>
            <a:ext uri="{FF2B5EF4-FFF2-40B4-BE49-F238E27FC236}">
              <a16:creationId xmlns:a16="http://schemas.microsoft.com/office/drawing/2014/main" id="{8CF21F46-0FE2-ADF2-88CD-66D1A2FCD68E}"/>
            </a:ext>
          </a:extLst>
        </xdr:cNvPr>
        <xdr:cNvCxnSpPr/>
      </xdr:nvCxnSpPr>
      <xdr:spPr>
        <a:xfrm>
          <a:off x="8785225" y="4648968"/>
          <a:ext cx="222250" cy="9820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324784</xdr:colOff>
      <xdr:row>13</xdr:row>
      <xdr:rowOff>228696</xdr:rowOff>
    </xdr:from>
    <xdr:to>
      <xdr:col>21</xdr:col>
      <xdr:colOff>210857</xdr:colOff>
      <xdr:row>15</xdr:row>
      <xdr:rowOff>3172</xdr:rowOff>
    </xdr:to>
    <xdr:cxnSp macro="">
      <xdr:nvCxnSpPr>
        <xdr:cNvPr id="1605" name="SCHEMA_T04_COND_0157">
          <a:extLst>
            <a:ext uri="{FF2B5EF4-FFF2-40B4-BE49-F238E27FC236}">
              <a16:creationId xmlns:a16="http://schemas.microsoft.com/office/drawing/2014/main" id="{A539C340-4538-1878-85E6-2F84458FC082}"/>
            </a:ext>
          </a:extLst>
        </xdr:cNvPr>
        <xdr:cNvCxnSpPr/>
      </xdr:nvCxnSpPr>
      <xdr:spPr>
        <a:xfrm>
          <a:off x="8340725" y="4300167"/>
          <a:ext cx="222250" cy="267534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210857</xdr:colOff>
      <xdr:row>15</xdr:row>
      <xdr:rowOff>3172</xdr:rowOff>
    </xdr:from>
    <xdr:to>
      <xdr:col>22</xdr:col>
      <xdr:colOff>96931</xdr:colOff>
      <xdr:row>15</xdr:row>
      <xdr:rowOff>186039</xdr:rowOff>
    </xdr:to>
    <xdr:cxnSp macro="">
      <xdr:nvCxnSpPr>
        <xdr:cNvPr id="1606" name="SCHEMA_T04_COND_0158">
          <a:extLst>
            <a:ext uri="{FF2B5EF4-FFF2-40B4-BE49-F238E27FC236}">
              <a16:creationId xmlns:a16="http://schemas.microsoft.com/office/drawing/2014/main" id="{616EE84F-22AE-4EFE-41CF-7DA0BAD0BD6B}"/>
            </a:ext>
          </a:extLst>
        </xdr:cNvPr>
        <xdr:cNvCxnSpPr/>
      </xdr:nvCxnSpPr>
      <xdr:spPr>
        <a:xfrm>
          <a:off x="8562975" y="4567701"/>
          <a:ext cx="222250" cy="18286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96931</xdr:colOff>
      <xdr:row>15</xdr:row>
      <xdr:rowOff>186039</xdr:rowOff>
    </xdr:from>
    <xdr:to>
      <xdr:col>22</xdr:col>
      <xdr:colOff>319181</xdr:colOff>
      <xdr:row>16</xdr:row>
      <xdr:rowOff>37709</xdr:rowOff>
    </xdr:to>
    <xdr:cxnSp macro="">
      <xdr:nvCxnSpPr>
        <xdr:cNvPr id="1607" name="SCHEMA_T04_COND_0159">
          <a:extLst>
            <a:ext uri="{FF2B5EF4-FFF2-40B4-BE49-F238E27FC236}">
              <a16:creationId xmlns:a16="http://schemas.microsoft.com/office/drawing/2014/main" id="{A687BBB0-3E95-EF27-4002-49CAA515863C}"/>
            </a:ext>
          </a:extLst>
        </xdr:cNvPr>
        <xdr:cNvCxnSpPr/>
      </xdr:nvCxnSpPr>
      <xdr:spPr>
        <a:xfrm>
          <a:off x="8785225" y="4750568"/>
          <a:ext cx="222250" cy="9820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324784</xdr:colOff>
      <xdr:row>14</xdr:row>
      <xdr:rowOff>134567</xdr:rowOff>
    </xdr:from>
    <xdr:to>
      <xdr:col>21</xdr:col>
      <xdr:colOff>210857</xdr:colOff>
      <xdr:row>15</xdr:row>
      <xdr:rowOff>155572</xdr:rowOff>
    </xdr:to>
    <xdr:cxnSp macro="">
      <xdr:nvCxnSpPr>
        <xdr:cNvPr id="1608" name="SCHEMA_T04_COND_0160">
          <a:extLst>
            <a:ext uri="{FF2B5EF4-FFF2-40B4-BE49-F238E27FC236}">
              <a16:creationId xmlns:a16="http://schemas.microsoft.com/office/drawing/2014/main" id="{5F8E842A-0E4C-322F-A4CA-BD88A3B4EBD9}"/>
            </a:ext>
          </a:extLst>
        </xdr:cNvPr>
        <xdr:cNvCxnSpPr/>
      </xdr:nvCxnSpPr>
      <xdr:spPr>
        <a:xfrm>
          <a:off x="8340725" y="4452567"/>
          <a:ext cx="222250" cy="267534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210857</xdr:colOff>
      <xdr:row>15</xdr:row>
      <xdr:rowOff>155572</xdr:rowOff>
    </xdr:from>
    <xdr:to>
      <xdr:col>22</xdr:col>
      <xdr:colOff>96931</xdr:colOff>
      <xdr:row>16</xdr:row>
      <xdr:rowOff>91909</xdr:rowOff>
    </xdr:to>
    <xdr:cxnSp macro="">
      <xdr:nvCxnSpPr>
        <xdr:cNvPr id="1609" name="SCHEMA_T04_COND_0161">
          <a:extLst>
            <a:ext uri="{FF2B5EF4-FFF2-40B4-BE49-F238E27FC236}">
              <a16:creationId xmlns:a16="http://schemas.microsoft.com/office/drawing/2014/main" id="{0F504B9F-8E96-3931-688A-E353DB4064C0}"/>
            </a:ext>
          </a:extLst>
        </xdr:cNvPr>
        <xdr:cNvCxnSpPr/>
      </xdr:nvCxnSpPr>
      <xdr:spPr>
        <a:xfrm>
          <a:off x="8562975" y="4720101"/>
          <a:ext cx="222250" cy="18286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96931</xdr:colOff>
      <xdr:row>16</xdr:row>
      <xdr:rowOff>91909</xdr:rowOff>
    </xdr:from>
    <xdr:to>
      <xdr:col>22</xdr:col>
      <xdr:colOff>319181</xdr:colOff>
      <xdr:row>16</xdr:row>
      <xdr:rowOff>190109</xdr:rowOff>
    </xdr:to>
    <xdr:cxnSp macro="">
      <xdr:nvCxnSpPr>
        <xdr:cNvPr id="1610" name="SCHEMA_T04_COND_0162">
          <a:extLst>
            <a:ext uri="{FF2B5EF4-FFF2-40B4-BE49-F238E27FC236}">
              <a16:creationId xmlns:a16="http://schemas.microsoft.com/office/drawing/2014/main" id="{A97F0AAC-69D2-8D2B-88C3-C758E23FA10B}"/>
            </a:ext>
          </a:extLst>
        </xdr:cNvPr>
        <xdr:cNvCxnSpPr/>
      </xdr:nvCxnSpPr>
      <xdr:spPr>
        <a:xfrm>
          <a:off x="8785225" y="4902968"/>
          <a:ext cx="222250" cy="9820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324784</xdr:colOff>
      <xdr:row>14</xdr:row>
      <xdr:rowOff>236167</xdr:rowOff>
    </xdr:from>
    <xdr:to>
      <xdr:col>21</xdr:col>
      <xdr:colOff>210857</xdr:colOff>
      <xdr:row>16</xdr:row>
      <xdr:rowOff>10642</xdr:rowOff>
    </xdr:to>
    <xdr:cxnSp macro="">
      <xdr:nvCxnSpPr>
        <xdr:cNvPr id="1611" name="SCHEMA_T04_COND_0163">
          <a:extLst>
            <a:ext uri="{FF2B5EF4-FFF2-40B4-BE49-F238E27FC236}">
              <a16:creationId xmlns:a16="http://schemas.microsoft.com/office/drawing/2014/main" id="{736DC855-D6B0-8529-84A4-782802AAA9E9}"/>
            </a:ext>
          </a:extLst>
        </xdr:cNvPr>
        <xdr:cNvCxnSpPr/>
      </xdr:nvCxnSpPr>
      <xdr:spPr>
        <a:xfrm>
          <a:off x="8340725" y="4554167"/>
          <a:ext cx="222250" cy="267534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210857</xdr:colOff>
      <xdr:row>16</xdr:row>
      <xdr:rowOff>10642</xdr:rowOff>
    </xdr:from>
    <xdr:to>
      <xdr:col>22</xdr:col>
      <xdr:colOff>96931</xdr:colOff>
      <xdr:row>16</xdr:row>
      <xdr:rowOff>193509</xdr:rowOff>
    </xdr:to>
    <xdr:cxnSp macro="">
      <xdr:nvCxnSpPr>
        <xdr:cNvPr id="1612" name="SCHEMA_T04_COND_0164">
          <a:extLst>
            <a:ext uri="{FF2B5EF4-FFF2-40B4-BE49-F238E27FC236}">
              <a16:creationId xmlns:a16="http://schemas.microsoft.com/office/drawing/2014/main" id="{205A1871-8ADB-63DF-3B98-8A8E7B072ACF}"/>
            </a:ext>
          </a:extLst>
        </xdr:cNvPr>
        <xdr:cNvCxnSpPr/>
      </xdr:nvCxnSpPr>
      <xdr:spPr>
        <a:xfrm>
          <a:off x="8562975" y="4821701"/>
          <a:ext cx="222250" cy="18286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96931</xdr:colOff>
      <xdr:row>16</xdr:row>
      <xdr:rowOff>193509</xdr:rowOff>
    </xdr:from>
    <xdr:to>
      <xdr:col>22</xdr:col>
      <xdr:colOff>319181</xdr:colOff>
      <xdr:row>17</xdr:row>
      <xdr:rowOff>45180</xdr:rowOff>
    </xdr:to>
    <xdr:cxnSp macro="">
      <xdr:nvCxnSpPr>
        <xdr:cNvPr id="1613" name="SCHEMA_T04_COND_0165">
          <a:extLst>
            <a:ext uri="{FF2B5EF4-FFF2-40B4-BE49-F238E27FC236}">
              <a16:creationId xmlns:a16="http://schemas.microsoft.com/office/drawing/2014/main" id="{62E5567E-6CA0-BB89-4823-864E4C566AE8}"/>
            </a:ext>
          </a:extLst>
        </xdr:cNvPr>
        <xdr:cNvCxnSpPr/>
      </xdr:nvCxnSpPr>
      <xdr:spPr>
        <a:xfrm>
          <a:off x="8785225" y="5004568"/>
          <a:ext cx="222250" cy="9820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283882</xdr:colOff>
      <xdr:row>25</xdr:row>
      <xdr:rowOff>5976</xdr:rowOff>
    </xdr:from>
    <xdr:to>
      <xdr:col>22</xdr:col>
      <xdr:colOff>23906</xdr:colOff>
      <xdr:row>25</xdr:row>
      <xdr:rowOff>82176</xdr:rowOff>
    </xdr:to>
    <xdr:sp macro="" textlink="">
      <xdr:nvSpPr>
        <xdr:cNvPr id="1614" name="SCHEMA_T04_ATTRAV_11">
          <a:extLst>
            <a:ext uri="{FF2B5EF4-FFF2-40B4-BE49-F238E27FC236}">
              <a16:creationId xmlns:a16="http://schemas.microsoft.com/office/drawing/2014/main" id="{932E7514-1552-40A9-AAE7-03B63728DCB7}"/>
            </a:ext>
          </a:extLst>
        </xdr:cNvPr>
        <xdr:cNvSpPr/>
      </xdr:nvSpPr>
      <xdr:spPr>
        <a:xfrm>
          <a:off x="8636000" y="7035800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22</xdr:col>
      <xdr:colOff>319181</xdr:colOff>
      <xdr:row>15</xdr:row>
      <xdr:rowOff>9110</xdr:rowOff>
    </xdr:from>
    <xdr:to>
      <xdr:col>23</xdr:col>
      <xdr:colOff>205254</xdr:colOff>
      <xdr:row>15</xdr:row>
      <xdr:rowOff>17539</xdr:rowOff>
    </xdr:to>
    <xdr:cxnSp macro="">
      <xdr:nvCxnSpPr>
        <xdr:cNvPr id="1615" name="SCHEMA_T04_COND_0166">
          <a:extLst>
            <a:ext uri="{FF2B5EF4-FFF2-40B4-BE49-F238E27FC236}">
              <a16:creationId xmlns:a16="http://schemas.microsoft.com/office/drawing/2014/main" id="{391049F4-16D7-341F-9FB1-2300FAB8887D}"/>
            </a:ext>
          </a:extLst>
        </xdr:cNvPr>
        <xdr:cNvCxnSpPr/>
      </xdr:nvCxnSpPr>
      <xdr:spPr>
        <a:xfrm flipV="1">
          <a:off x="9007475" y="4573639"/>
          <a:ext cx="222250" cy="8429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205254</xdr:colOff>
      <xdr:row>14</xdr:row>
      <xdr:rowOff>162543</xdr:rowOff>
    </xdr:from>
    <xdr:to>
      <xdr:col>24</xdr:col>
      <xdr:colOff>91328</xdr:colOff>
      <xdr:row>15</xdr:row>
      <xdr:rowOff>9110</xdr:rowOff>
    </xdr:to>
    <xdr:cxnSp macro="">
      <xdr:nvCxnSpPr>
        <xdr:cNvPr id="1616" name="SCHEMA_T04_COND_0167">
          <a:extLst>
            <a:ext uri="{FF2B5EF4-FFF2-40B4-BE49-F238E27FC236}">
              <a16:creationId xmlns:a16="http://schemas.microsoft.com/office/drawing/2014/main" id="{F701C70D-4180-4E50-35C2-3F3F90671FFE}"/>
            </a:ext>
          </a:extLst>
        </xdr:cNvPr>
        <xdr:cNvCxnSpPr/>
      </xdr:nvCxnSpPr>
      <xdr:spPr>
        <a:xfrm flipV="1">
          <a:off x="9229725" y="4480543"/>
          <a:ext cx="222250" cy="93096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91328</xdr:colOff>
      <xdr:row>13</xdr:row>
      <xdr:rowOff>231309</xdr:rowOff>
    </xdr:from>
    <xdr:to>
      <xdr:col>24</xdr:col>
      <xdr:colOff>313578</xdr:colOff>
      <xdr:row>14</xdr:row>
      <xdr:rowOff>162543</xdr:rowOff>
    </xdr:to>
    <xdr:cxnSp macro="">
      <xdr:nvCxnSpPr>
        <xdr:cNvPr id="1617" name="SCHEMA_T04_COND_0168">
          <a:extLst>
            <a:ext uri="{FF2B5EF4-FFF2-40B4-BE49-F238E27FC236}">
              <a16:creationId xmlns:a16="http://schemas.microsoft.com/office/drawing/2014/main" id="{A8D5B05C-CC80-C7B4-13D3-C868FE4F096E}"/>
            </a:ext>
          </a:extLst>
        </xdr:cNvPr>
        <xdr:cNvCxnSpPr/>
      </xdr:nvCxnSpPr>
      <xdr:spPr>
        <a:xfrm flipV="1">
          <a:off x="9451975" y="4302780"/>
          <a:ext cx="222250" cy="177763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319181</xdr:colOff>
      <xdr:row>15</xdr:row>
      <xdr:rowOff>174210</xdr:rowOff>
    </xdr:from>
    <xdr:to>
      <xdr:col>23</xdr:col>
      <xdr:colOff>205254</xdr:colOff>
      <xdr:row>15</xdr:row>
      <xdr:rowOff>182639</xdr:rowOff>
    </xdr:to>
    <xdr:cxnSp macro="">
      <xdr:nvCxnSpPr>
        <xdr:cNvPr id="1618" name="SCHEMA_T04_COND_0169">
          <a:extLst>
            <a:ext uri="{FF2B5EF4-FFF2-40B4-BE49-F238E27FC236}">
              <a16:creationId xmlns:a16="http://schemas.microsoft.com/office/drawing/2014/main" id="{E1174A44-E6EA-349E-A302-4434024B4441}"/>
            </a:ext>
          </a:extLst>
        </xdr:cNvPr>
        <xdr:cNvCxnSpPr/>
      </xdr:nvCxnSpPr>
      <xdr:spPr>
        <a:xfrm flipV="1">
          <a:off x="9007475" y="4738739"/>
          <a:ext cx="222250" cy="842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205254</xdr:colOff>
      <xdr:row>15</xdr:row>
      <xdr:rowOff>81114</xdr:rowOff>
    </xdr:from>
    <xdr:to>
      <xdr:col>24</xdr:col>
      <xdr:colOff>91328</xdr:colOff>
      <xdr:row>15</xdr:row>
      <xdr:rowOff>174210</xdr:rowOff>
    </xdr:to>
    <xdr:cxnSp macro="">
      <xdr:nvCxnSpPr>
        <xdr:cNvPr id="1619" name="SCHEMA_T04_COND_0170">
          <a:extLst>
            <a:ext uri="{FF2B5EF4-FFF2-40B4-BE49-F238E27FC236}">
              <a16:creationId xmlns:a16="http://schemas.microsoft.com/office/drawing/2014/main" id="{1BD78EC7-EF78-D961-942B-6C0206F43FCA}"/>
            </a:ext>
          </a:extLst>
        </xdr:cNvPr>
        <xdr:cNvCxnSpPr/>
      </xdr:nvCxnSpPr>
      <xdr:spPr>
        <a:xfrm flipV="1">
          <a:off x="9229725" y="4645643"/>
          <a:ext cx="222250" cy="9309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91328</xdr:colOff>
      <xdr:row>14</xdr:row>
      <xdr:rowOff>149880</xdr:rowOff>
    </xdr:from>
    <xdr:to>
      <xdr:col>24</xdr:col>
      <xdr:colOff>313578</xdr:colOff>
      <xdr:row>15</xdr:row>
      <xdr:rowOff>81114</xdr:rowOff>
    </xdr:to>
    <xdr:cxnSp macro="">
      <xdr:nvCxnSpPr>
        <xdr:cNvPr id="1620" name="SCHEMA_T04_COND_0171">
          <a:extLst>
            <a:ext uri="{FF2B5EF4-FFF2-40B4-BE49-F238E27FC236}">
              <a16:creationId xmlns:a16="http://schemas.microsoft.com/office/drawing/2014/main" id="{BBD6645C-A252-EE20-4CD0-24F00BB038A4}"/>
            </a:ext>
          </a:extLst>
        </xdr:cNvPr>
        <xdr:cNvCxnSpPr/>
      </xdr:nvCxnSpPr>
      <xdr:spPr>
        <a:xfrm flipV="1">
          <a:off x="9451975" y="4467880"/>
          <a:ext cx="222250" cy="17776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319181</xdr:colOff>
      <xdr:row>16</xdr:row>
      <xdr:rowOff>29280</xdr:rowOff>
    </xdr:from>
    <xdr:to>
      <xdr:col>23</xdr:col>
      <xdr:colOff>205254</xdr:colOff>
      <xdr:row>16</xdr:row>
      <xdr:rowOff>37709</xdr:rowOff>
    </xdr:to>
    <xdr:cxnSp macro="">
      <xdr:nvCxnSpPr>
        <xdr:cNvPr id="1621" name="SCHEMA_T04_COND_0172">
          <a:extLst>
            <a:ext uri="{FF2B5EF4-FFF2-40B4-BE49-F238E27FC236}">
              <a16:creationId xmlns:a16="http://schemas.microsoft.com/office/drawing/2014/main" id="{9D696E93-AAAF-A894-21B5-2664CBD1808D}"/>
            </a:ext>
          </a:extLst>
        </xdr:cNvPr>
        <xdr:cNvCxnSpPr/>
      </xdr:nvCxnSpPr>
      <xdr:spPr>
        <a:xfrm flipV="1">
          <a:off x="9007475" y="4840339"/>
          <a:ext cx="222250" cy="842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205254</xdr:colOff>
      <xdr:row>15</xdr:row>
      <xdr:rowOff>182714</xdr:rowOff>
    </xdr:from>
    <xdr:to>
      <xdr:col>24</xdr:col>
      <xdr:colOff>91328</xdr:colOff>
      <xdr:row>16</xdr:row>
      <xdr:rowOff>29280</xdr:rowOff>
    </xdr:to>
    <xdr:cxnSp macro="">
      <xdr:nvCxnSpPr>
        <xdr:cNvPr id="1622" name="SCHEMA_T04_COND_0173">
          <a:extLst>
            <a:ext uri="{FF2B5EF4-FFF2-40B4-BE49-F238E27FC236}">
              <a16:creationId xmlns:a16="http://schemas.microsoft.com/office/drawing/2014/main" id="{B733DBF5-DC5D-8DC2-A269-F53C0D6F3693}"/>
            </a:ext>
          </a:extLst>
        </xdr:cNvPr>
        <xdr:cNvCxnSpPr/>
      </xdr:nvCxnSpPr>
      <xdr:spPr>
        <a:xfrm flipV="1">
          <a:off x="9229725" y="4747243"/>
          <a:ext cx="222250" cy="9309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91328</xdr:colOff>
      <xdr:row>15</xdr:row>
      <xdr:rowOff>4951</xdr:rowOff>
    </xdr:from>
    <xdr:to>
      <xdr:col>24</xdr:col>
      <xdr:colOff>313578</xdr:colOff>
      <xdr:row>15</xdr:row>
      <xdr:rowOff>182714</xdr:rowOff>
    </xdr:to>
    <xdr:cxnSp macro="">
      <xdr:nvCxnSpPr>
        <xdr:cNvPr id="1623" name="SCHEMA_T04_COND_0174">
          <a:extLst>
            <a:ext uri="{FF2B5EF4-FFF2-40B4-BE49-F238E27FC236}">
              <a16:creationId xmlns:a16="http://schemas.microsoft.com/office/drawing/2014/main" id="{8379C2C2-7A89-8F8D-C2DD-AC13D74FA355}"/>
            </a:ext>
          </a:extLst>
        </xdr:cNvPr>
        <xdr:cNvCxnSpPr/>
      </xdr:nvCxnSpPr>
      <xdr:spPr>
        <a:xfrm flipV="1">
          <a:off x="9451975" y="4569480"/>
          <a:ext cx="222250" cy="17776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319181</xdr:colOff>
      <xdr:row>16</xdr:row>
      <xdr:rowOff>181680</xdr:rowOff>
    </xdr:from>
    <xdr:to>
      <xdr:col>23</xdr:col>
      <xdr:colOff>205254</xdr:colOff>
      <xdr:row>16</xdr:row>
      <xdr:rowOff>190109</xdr:rowOff>
    </xdr:to>
    <xdr:cxnSp macro="">
      <xdr:nvCxnSpPr>
        <xdr:cNvPr id="1624" name="SCHEMA_T04_COND_0175">
          <a:extLst>
            <a:ext uri="{FF2B5EF4-FFF2-40B4-BE49-F238E27FC236}">
              <a16:creationId xmlns:a16="http://schemas.microsoft.com/office/drawing/2014/main" id="{0CFBAC38-B65B-576B-5278-A83CC14E0D7C}"/>
            </a:ext>
          </a:extLst>
        </xdr:cNvPr>
        <xdr:cNvCxnSpPr/>
      </xdr:nvCxnSpPr>
      <xdr:spPr>
        <a:xfrm flipV="1">
          <a:off x="9007475" y="4992739"/>
          <a:ext cx="222250" cy="842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205254</xdr:colOff>
      <xdr:row>16</xdr:row>
      <xdr:rowOff>88584</xdr:rowOff>
    </xdr:from>
    <xdr:to>
      <xdr:col>24</xdr:col>
      <xdr:colOff>91328</xdr:colOff>
      <xdr:row>16</xdr:row>
      <xdr:rowOff>181680</xdr:rowOff>
    </xdr:to>
    <xdr:cxnSp macro="">
      <xdr:nvCxnSpPr>
        <xdr:cNvPr id="1625" name="SCHEMA_T04_COND_0176">
          <a:extLst>
            <a:ext uri="{FF2B5EF4-FFF2-40B4-BE49-F238E27FC236}">
              <a16:creationId xmlns:a16="http://schemas.microsoft.com/office/drawing/2014/main" id="{F037A16B-0F46-B9E7-20EE-EFA4BBAD1D42}"/>
            </a:ext>
          </a:extLst>
        </xdr:cNvPr>
        <xdr:cNvCxnSpPr/>
      </xdr:nvCxnSpPr>
      <xdr:spPr>
        <a:xfrm flipV="1">
          <a:off x="9229725" y="4899643"/>
          <a:ext cx="222250" cy="9309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91328</xdr:colOff>
      <xdr:row>15</xdr:row>
      <xdr:rowOff>157351</xdr:rowOff>
    </xdr:from>
    <xdr:to>
      <xdr:col>24</xdr:col>
      <xdr:colOff>313578</xdr:colOff>
      <xdr:row>16</xdr:row>
      <xdr:rowOff>88584</xdr:rowOff>
    </xdr:to>
    <xdr:cxnSp macro="">
      <xdr:nvCxnSpPr>
        <xdr:cNvPr id="1626" name="SCHEMA_T04_COND_0177">
          <a:extLst>
            <a:ext uri="{FF2B5EF4-FFF2-40B4-BE49-F238E27FC236}">
              <a16:creationId xmlns:a16="http://schemas.microsoft.com/office/drawing/2014/main" id="{EDFE18B5-1FD9-FCD9-E7E5-A6369FA334EF}"/>
            </a:ext>
          </a:extLst>
        </xdr:cNvPr>
        <xdr:cNvCxnSpPr/>
      </xdr:nvCxnSpPr>
      <xdr:spPr>
        <a:xfrm flipV="1">
          <a:off x="9451975" y="4721880"/>
          <a:ext cx="222250" cy="17776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319181</xdr:colOff>
      <xdr:row>17</xdr:row>
      <xdr:rowOff>36751</xdr:rowOff>
    </xdr:from>
    <xdr:to>
      <xdr:col>23</xdr:col>
      <xdr:colOff>205254</xdr:colOff>
      <xdr:row>17</xdr:row>
      <xdr:rowOff>45180</xdr:rowOff>
    </xdr:to>
    <xdr:cxnSp macro="">
      <xdr:nvCxnSpPr>
        <xdr:cNvPr id="1627" name="SCHEMA_T04_COND_0178">
          <a:extLst>
            <a:ext uri="{FF2B5EF4-FFF2-40B4-BE49-F238E27FC236}">
              <a16:creationId xmlns:a16="http://schemas.microsoft.com/office/drawing/2014/main" id="{28206E12-675B-CF0F-6CDB-5AB1F9AF13CA}"/>
            </a:ext>
          </a:extLst>
        </xdr:cNvPr>
        <xdr:cNvCxnSpPr/>
      </xdr:nvCxnSpPr>
      <xdr:spPr>
        <a:xfrm flipV="1">
          <a:off x="9007475" y="5094339"/>
          <a:ext cx="222250" cy="842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205254</xdr:colOff>
      <xdr:row>16</xdr:row>
      <xdr:rowOff>190184</xdr:rowOff>
    </xdr:from>
    <xdr:to>
      <xdr:col>24</xdr:col>
      <xdr:colOff>91328</xdr:colOff>
      <xdr:row>17</xdr:row>
      <xdr:rowOff>36751</xdr:rowOff>
    </xdr:to>
    <xdr:cxnSp macro="">
      <xdr:nvCxnSpPr>
        <xdr:cNvPr id="1628" name="SCHEMA_T04_COND_0179">
          <a:extLst>
            <a:ext uri="{FF2B5EF4-FFF2-40B4-BE49-F238E27FC236}">
              <a16:creationId xmlns:a16="http://schemas.microsoft.com/office/drawing/2014/main" id="{18694A48-B1E1-AD01-3DB1-78A5AF52BA29}"/>
            </a:ext>
          </a:extLst>
        </xdr:cNvPr>
        <xdr:cNvCxnSpPr/>
      </xdr:nvCxnSpPr>
      <xdr:spPr>
        <a:xfrm flipV="1">
          <a:off x="9229725" y="5001243"/>
          <a:ext cx="222250" cy="9309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91328</xdr:colOff>
      <xdr:row>16</xdr:row>
      <xdr:rowOff>12421</xdr:rowOff>
    </xdr:from>
    <xdr:to>
      <xdr:col>24</xdr:col>
      <xdr:colOff>313578</xdr:colOff>
      <xdr:row>16</xdr:row>
      <xdr:rowOff>190184</xdr:rowOff>
    </xdr:to>
    <xdr:cxnSp macro="">
      <xdr:nvCxnSpPr>
        <xdr:cNvPr id="1629" name="SCHEMA_T04_COND_0180">
          <a:extLst>
            <a:ext uri="{FF2B5EF4-FFF2-40B4-BE49-F238E27FC236}">
              <a16:creationId xmlns:a16="http://schemas.microsoft.com/office/drawing/2014/main" id="{8086B98C-0F44-5AE6-6FCE-08271A1C9F0D}"/>
            </a:ext>
          </a:extLst>
        </xdr:cNvPr>
        <xdr:cNvCxnSpPr/>
      </xdr:nvCxnSpPr>
      <xdr:spPr>
        <a:xfrm flipV="1">
          <a:off x="9451975" y="4823480"/>
          <a:ext cx="222250" cy="17776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313578</xdr:colOff>
      <xdr:row>13</xdr:row>
      <xdr:rowOff>231309</xdr:rowOff>
    </xdr:from>
    <xdr:to>
      <xdr:col>25</xdr:col>
      <xdr:colOff>199651</xdr:colOff>
      <xdr:row>14</xdr:row>
      <xdr:rowOff>202442</xdr:rowOff>
    </xdr:to>
    <xdr:cxnSp macro="">
      <xdr:nvCxnSpPr>
        <xdr:cNvPr id="1630" name="SCHEMA_T04_COND_0181">
          <a:extLst>
            <a:ext uri="{FF2B5EF4-FFF2-40B4-BE49-F238E27FC236}">
              <a16:creationId xmlns:a16="http://schemas.microsoft.com/office/drawing/2014/main" id="{99A9027E-417E-EC4A-21EB-B104AE2AC1E9}"/>
            </a:ext>
          </a:extLst>
        </xdr:cNvPr>
        <xdr:cNvCxnSpPr/>
      </xdr:nvCxnSpPr>
      <xdr:spPr>
        <a:xfrm>
          <a:off x="9674225" y="4302780"/>
          <a:ext cx="222250" cy="217662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199651</xdr:colOff>
      <xdr:row>14</xdr:row>
      <xdr:rowOff>202442</xdr:rowOff>
    </xdr:from>
    <xdr:to>
      <xdr:col>26</xdr:col>
      <xdr:colOff>85725</xdr:colOff>
      <xdr:row>15</xdr:row>
      <xdr:rowOff>88907</xdr:rowOff>
    </xdr:to>
    <xdr:cxnSp macro="">
      <xdr:nvCxnSpPr>
        <xdr:cNvPr id="1631" name="SCHEMA_T04_COND_0182">
          <a:extLst>
            <a:ext uri="{FF2B5EF4-FFF2-40B4-BE49-F238E27FC236}">
              <a16:creationId xmlns:a16="http://schemas.microsoft.com/office/drawing/2014/main" id="{FD8673F4-C040-A313-864E-806C1A57EAD2}"/>
            </a:ext>
          </a:extLst>
        </xdr:cNvPr>
        <xdr:cNvCxnSpPr/>
      </xdr:nvCxnSpPr>
      <xdr:spPr>
        <a:xfrm>
          <a:off x="9896475" y="4520442"/>
          <a:ext cx="222250" cy="132994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85725</xdr:colOff>
      <xdr:row>15</xdr:row>
      <xdr:rowOff>88907</xdr:rowOff>
    </xdr:from>
    <xdr:to>
      <xdr:col>26</xdr:col>
      <xdr:colOff>307975</xdr:colOff>
      <xdr:row>15</xdr:row>
      <xdr:rowOff>137234</xdr:rowOff>
    </xdr:to>
    <xdr:cxnSp macro="">
      <xdr:nvCxnSpPr>
        <xdr:cNvPr id="1632" name="SCHEMA_T04_COND_0183">
          <a:extLst>
            <a:ext uri="{FF2B5EF4-FFF2-40B4-BE49-F238E27FC236}">
              <a16:creationId xmlns:a16="http://schemas.microsoft.com/office/drawing/2014/main" id="{B5067E9B-C5DA-A827-A7AA-1C785F01C880}"/>
            </a:ext>
          </a:extLst>
        </xdr:cNvPr>
        <xdr:cNvCxnSpPr/>
      </xdr:nvCxnSpPr>
      <xdr:spPr>
        <a:xfrm>
          <a:off x="10118725" y="4653436"/>
          <a:ext cx="222250" cy="48327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313578</xdr:colOff>
      <xdr:row>14</xdr:row>
      <xdr:rowOff>149880</xdr:rowOff>
    </xdr:from>
    <xdr:to>
      <xdr:col>25</xdr:col>
      <xdr:colOff>199651</xdr:colOff>
      <xdr:row>15</xdr:row>
      <xdr:rowOff>121013</xdr:rowOff>
    </xdr:to>
    <xdr:cxnSp macro="">
      <xdr:nvCxnSpPr>
        <xdr:cNvPr id="1633" name="SCHEMA_T04_COND_0184">
          <a:extLst>
            <a:ext uri="{FF2B5EF4-FFF2-40B4-BE49-F238E27FC236}">
              <a16:creationId xmlns:a16="http://schemas.microsoft.com/office/drawing/2014/main" id="{5CE6C40D-99A9-7B3B-0BA5-2918F13E8D5F}"/>
            </a:ext>
          </a:extLst>
        </xdr:cNvPr>
        <xdr:cNvCxnSpPr/>
      </xdr:nvCxnSpPr>
      <xdr:spPr>
        <a:xfrm>
          <a:off x="9674225" y="4467880"/>
          <a:ext cx="222250" cy="21766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199651</xdr:colOff>
      <xdr:row>15</xdr:row>
      <xdr:rowOff>121013</xdr:rowOff>
    </xdr:from>
    <xdr:to>
      <xdr:col>26</xdr:col>
      <xdr:colOff>85725</xdr:colOff>
      <xdr:row>16</xdr:row>
      <xdr:rowOff>7477</xdr:rowOff>
    </xdr:to>
    <xdr:cxnSp macro="">
      <xdr:nvCxnSpPr>
        <xdr:cNvPr id="1634" name="SCHEMA_T04_COND_0185">
          <a:extLst>
            <a:ext uri="{FF2B5EF4-FFF2-40B4-BE49-F238E27FC236}">
              <a16:creationId xmlns:a16="http://schemas.microsoft.com/office/drawing/2014/main" id="{3EB2D218-0E3F-12D1-EDD1-9FE9F0A6EC0C}"/>
            </a:ext>
          </a:extLst>
        </xdr:cNvPr>
        <xdr:cNvCxnSpPr/>
      </xdr:nvCxnSpPr>
      <xdr:spPr>
        <a:xfrm>
          <a:off x="9896475" y="4685542"/>
          <a:ext cx="222250" cy="132994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85725</xdr:colOff>
      <xdr:row>16</xdr:row>
      <xdr:rowOff>7477</xdr:rowOff>
    </xdr:from>
    <xdr:to>
      <xdr:col>26</xdr:col>
      <xdr:colOff>307975</xdr:colOff>
      <xdr:row>16</xdr:row>
      <xdr:rowOff>55804</xdr:rowOff>
    </xdr:to>
    <xdr:cxnSp macro="">
      <xdr:nvCxnSpPr>
        <xdr:cNvPr id="1635" name="SCHEMA_T04_COND_0186">
          <a:extLst>
            <a:ext uri="{FF2B5EF4-FFF2-40B4-BE49-F238E27FC236}">
              <a16:creationId xmlns:a16="http://schemas.microsoft.com/office/drawing/2014/main" id="{D64B38AC-745C-D31B-663C-8D9338EFB0EC}"/>
            </a:ext>
          </a:extLst>
        </xdr:cNvPr>
        <xdr:cNvCxnSpPr/>
      </xdr:nvCxnSpPr>
      <xdr:spPr>
        <a:xfrm>
          <a:off x="10118725" y="4818536"/>
          <a:ext cx="222250" cy="4832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313578</xdr:colOff>
      <xdr:row>15</xdr:row>
      <xdr:rowOff>4951</xdr:rowOff>
    </xdr:from>
    <xdr:to>
      <xdr:col>25</xdr:col>
      <xdr:colOff>199651</xdr:colOff>
      <xdr:row>15</xdr:row>
      <xdr:rowOff>222613</xdr:rowOff>
    </xdr:to>
    <xdr:cxnSp macro="">
      <xdr:nvCxnSpPr>
        <xdr:cNvPr id="1636" name="SCHEMA_T04_COND_0187">
          <a:extLst>
            <a:ext uri="{FF2B5EF4-FFF2-40B4-BE49-F238E27FC236}">
              <a16:creationId xmlns:a16="http://schemas.microsoft.com/office/drawing/2014/main" id="{19F2787A-2933-48AC-CB6C-F5CFBA3EDDEA}"/>
            </a:ext>
          </a:extLst>
        </xdr:cNvPr>
        <xdr:cNvCxnSpPr/>
      </xdr:nvCxnSpPr>
      <xdr:spPr>
        <a:xfrm>
          <a:off x="9674225" y="4569480"/>
          <a:ext cx="222250" cy="21766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199651</xdr:colOff>
      <xdr:row>15</xdr:row>
      <xdr:rowOff>222613</xdr:rowOff>
    </xdr:from>
    <xdr:to>
      <xdr:col>26</xdr:col>
      <xdr:colOff>85725</xdr:colOff>
      <xdr:row>16</xdr:row>
      <xdr:rowOff>109077</xdr:rowOff>
    </xdr:to>
    <xdr:cxnSp macro="">
      <xdr:nvCxnSpPr>
        <xdr:cNvPr id="1637" name="SCHEMA_T04_COND_0188">
          <a:extLst>
            <a:ext uri="{FF2B5EF4-FFF2-40B4-BE49-F238E27FC236}">
              <a16:creationId xmlns:a16="http://schemas.microsoft.com/office/drawing/2014/main" id="{5AC59EBD-18C3-714E-A9F1-BE2F67EA2996}"/>
            </a:ext>
          </a:extLst>
        </xdr:cNvPr>
        <xdr:cNvCxnSpPr/>
      </xdr:nvCxnSpPr>
      <xdr:spPr>
        <a:xfrm>
          <a:off x="9896475" y="4787142"/>
          <a:ext cx="222250" cy="132994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85725</xdr:colOff>
      <xdr:row>16</xdr:row>
      <xdr:rowOff>109077</xdr:rowOff>
    </xdr:from>
    <xdr:to>
      <xdr:col>26</xdr:col>
      <xdr:colOff>307975</xdr:colOff>
      <xdr:row>16</xdr:row>
      <xdr:rowOff>157404</xdr:rowOff>
    </xdr:to>
    <xdr:cxnSp macro="">
      <xdr:nvCxnSpPr>
        <xdr:cNvPr id="1638" name="SCHEMA_T04_COND_0189">
          <a:extLst>
            <a:ext uri="{FF2B5EF4-FFF2-40B4-BE49-F238E27FC236}">
              <a16:creationId xmlns:a16="http://schemas.microsoft.com/office/drawing/2014/main" id="{7157B98B-5DF3-7146-8509-D72BBA3C9E98}"/>
            </a:ext>
          </a:extLst>
        </xdr:cNvPr>
        <xdr:cNvCxnSpPr/>
      </xdr:nvCxnSpPr>
      <xdr:spPr>
        <a:xfrm>
          <a:off x="10118725" y="4920136"/>
          <a:ext cx="222250" cy="4832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313578</xdr:colOff>
      <xdr:row>15</xdr:row>
      <xdr:rowOff>157351</xdr:rowOff>
    </xdr:from>
    <xdr:to>
      <xdr:col>25</xdr:col>
      <xdr:colOff>199651</xdr:colOff>
      <xdr:row>16</xdr:row>
      <xdr:rowOff>128483</xdr:rowOff>
    </xdr:to>
    <xdr:cxnSp macro="">
      <xdr:nvCxnSpPr>
        <xdr:cNvPr id="1639" name="SCHEMA_T04_COND_0190">
          <a:extLst>
            <a:ext uri="{FF2B5EF4-FFF2-40B4-BE49-F238E27FC236}">
              <a16:creationId xmlns:a16="http://schemas.microsoft.com/office/drawing/2014/main" id="{CA642679-71A0-E89E-C68A-9AE045148469}"/>
            </a:ext>
          </a:extLst>
        </xdr:cNvPr>
        <xdr:cNvCxnSpPr/>
      </xdr:nvCxnSpPr>
      <xdr:spPr>
        <a:xfrm>
          <a:off x="9674225" y="4721880"/>
          <a:ext cx="222250" cy="21766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199651</xdr:colOff>
      <xdr:row>16</xdr:row>
      <xdr:rowOff>128483</xdr:rowOff>
    </xdr:from>
    <xdr:to>
      <xdr:col>26</xdr:col>
      <xdr:colOff>85725</xdr:colOff>
      <xdr:row>17</xdr:row>
      <xdr:rowOff>14948</xdr:rowOff>
    </xdr:to>
    <xdr:cxnSp macro="">
      <xdr:nvCxnSpPr>
        <xdr:cNvPr id="1640" name="SCHEMA_T04_COND_0191">
          <a:extLst>
            <a:ext uri="{FF2B5EF4-FFF2-40B4-BE49-F238E27FC236}">
              <a16:creationId xmlns:a16="http://schemas.microsoft.com/office/drawing/2014/main" id="{FD9BAA06-AEEB-4E27-679E-659DA600CD4D}"/>
            </a:ext>
          </a:extLst>
        </xdr:cNvPr>
        <xdr:cNvCxnSpPr/>
      </xdr:nvCxnSpPr>
      <xdr:spPr>
        <a:xfrm>
          <a:off x="9896475" y="4939542"/>
          <a:ext cx="222250" cy="132994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85725</xdr:colOff>
      <xdr:row>17</xdr:row>
      <xdr:rowOff>14948</xdr:rowOff>
    </xdr:from>
    <xdr:to>
      <xdr:col>26</xdr:col>
      <xdr:colOff>307975</xdr:colOff>
      <xdr:row>17</xdr:row>
      <xdr:rowOff>63275</xdr:rowOff>
    </xdr:to>
    <xdr:cxnSp macro="">
      <xdr:nvCxnSpPr>
        <xdr:cNvPr id="1641" name="SCHEMA_T04_COND_0192">
          <a:extLst>
            <a:ext uri="{FF2B5EF4-FFF2-40B4-BE49-F238E27FC236}">
              <a16:creationId xmlns:a16="http://schemas.microsoft.com/office/drawing/2014/main" id="{BE9417A2-B59E-F189-250F-BE730802F3F2}"/>
            </a:ext>
          </a:extLst>
        </xdr:cNvPr>
        <xdr:cNvCxnSpPr/>
      </xdr:nvCxnSpPr>
      <xdr:spPr>
        <a:xfrm>
          <a:off x="10118725" y="5072536"/>
          <a:ext cx="222250" cy="4832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313578</xdr:colOff>
      <xdr:row>16</xdr:row>
      <xdr:rowOff>12421</xdr:rowOff>
    </xdr:from>
    <xdr:to>
      <xdr:col>25</xdr:col>
      <xdr:colOff>199651</xdr:colOff>
      <xdr:row>16</xdr:row>
      <xdr:rowOff>230083</xdr:rowOff>
    </xdr:to>
    <xdr:cxnSp macro="">
      <xdr:nvCxnSpPr>
        <xdr:cNvPr id="1642" name="SCHEMA_T04_COND_0193">
          <a:extLst>
            <a:ext uri="{FF2B5EF4-FFF2-40B4-BE49-F238E27FC236}">
              <a16:creationId xmlns:a16="http://schemas.microsoft.com/office/drawing/2014/main" id="{B5089160-8BE2-F1BC-CDC8-7C21367ADFE3}"/>
            </a:ext>
          </a:extLst>
        </xdr:cNvPr>
        <xdr:cNvCxnSpPr/>
      </xdr:nvCxnSpPr>
      <xdr:spPr>
        <a:xfrm>
          <a:off x="9674225" y="4823480"/>
          <a:ext cx="222250" cy="21766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199651</xdr:colOff>
      <xdr:row>16</xdr:row>
      <xdr:rowOff>230083</xdr:rowOff>
    </xdr:from>
    <xdr:to>
      <xdr:col>26</xdr:col>
      <xdr:colOff>85725</xdr:colOff>
      <xdr:row>17</xdr:row>
      <xdr:rowOff>116548</xdr:rowOff>
    </xdr:to>
    <xdr:cxnSp macro="">
      <xdr:nvCxnSpPr>
        <xdr:cNvPr id="1643" name="SCHEMA_T04_COND_0194">
          <a:extLst>
            <a:ext uri="{FF2B5EF4-FFF2-40B4-BE49-F238E27FC236}">
              <a16:creationId xmlns:a16="http://schemas.microsoft.com/office/drawing/2014/main" id="{057C91CC-52B1-152D-D6DC-57C64DB52C63}"/>
            </a:ext>
          </a:extLst>
        </xdr:cNvPr>
        <xdr:cNvCxnSpPr/>
      </xdr:nvCxnSpPr>
      <xdr:spPr>
        <a:xfrm>
          <a:off x="9896475" y="5041142"/>
          <a:ext cx="222250" cy="132994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85725</xdr:colOff>
      <xdr:row>17</xdr:row>
      <xdr:rowOff>116548</xdr:rowOff>
    </xdr:from>
    <xdr:to>
      <xdr:col>26</xdr:col>
      <xdr:colOff>307975</xdr:colOff>
      <xdr:row>17</xdr:row>
      <xdr:rowOff>164875</xdr:rowOff>
    </xdr:to>
    <xdr:cxnSp macro="">
      <xdr:nvCxnSpPr>
        <xdr:cNvPr id="1644" name="SCHEMA_T04_COND_0195">
          <a:extLst>
            <a:ext uri="{FF2B5EF4-FFF2-40B4-BE49-F238E27FC236}">
              <a16:creationId xmlns:a16="http://schemas.microsoft.com/office/drawing/2014/main" id="{A7F9AF09-03ED-70F6-8FC6-ED4288AE6D23}"/>
            </a:ext>
          </a:extLst>
        </xdr:cNvPr>
        <xdr:cNvCxnSpPr/>
      </xdr:nvCxnSpPr>
      <xdr:spPr>
        <a:xfrm>
          <a:off x="10118725" y="5174136"/>
          <a:ext cx="222250" cy="4832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307975</xdr:colOff>
      <xdr:row>15</xdr:row>
      <xdr:rowOff>137234</xdr:rowOff>
    </xdr:from>
    <xdr:to>
      <xdr:col>27</xdr:col>
      <xdr:colOff>194049</xdr:colOff>
      <xdr:row>15</xdr:row>
      <xdr:rowOff>218576</xdr:rowOff>
    </xdr:to>
    <xdr:cxnSp macro="">
      <xdr:nvCxnSpPr>
        <xdr:cNvPr id="1645" name="SCHEMA_T04_COND_0196">
          <a:extLst>
            <a:ext uri="{FF2B5EF4-FFF2-40B4-BE49-F238E27FC236}">
              <a16:creationId xmlns:a16="http://schemas.microsoft.com/office/drawing/2014/main" id="{2A89D73C-A8C0-8C58-73A9-BD2F987283F7}"/>
            </a:ext>
          </a:extLst>
        </xdr:cNvPr>
        <xdr:cNvCxnSpPr/>
      </xdr:nvCxnSpPr>
      <xdr:spPr>
        <a:xfrm>
          <a:off x="10340975" y="4701763"/>
          <a:ext cx="222250" cy="81342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194049</xdr:colOff>
      <xdr:row>15</xdr:row>
      <xdr:rowOff>215251</xdr:rowOff>
    </xdr:from>
    <xdr:to>
      <xdr:col>28</xdr:col>
      <xdr:colOff>80122</xdr:colOff>
      <xdr:row>15</xdr:row>
      <xdr:rowOff>218576</xdr:rowOff>
    </xdr:to>
    <xdr:cxnSp macro="">
      <xdr:nvCxnSpPr>
        <xdr:cNvPr id="1646" name="SCHEMA_T04_COND_0197">
          <a:extLst>
            <a:ext uri="{FF2B5EF4-FFF2-40B4-BE49-F238E27FC236}">
              <a16:creationId xmlns:a16="http://schemas.microsoft.com/office/drawing/2014/main" id="{A43252AD-1BD7-9D83-F9AC-37E2FADFA837}"/>
            </a:ext>
          </a:extLst>
        </xdr:cNvPr>
        <xdr:cNvCxnSpPr/>
      </xdr:nvCxnSpPr>
      <xdr:spPr>
        <a:xfrm flipV="1">
          <a:off x="10563225" y="4779780"/>
          <a:ext cx="222250" cy="3325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80122</xdr:colOff>
      <xdr:row>15</xdr:row>
      <xdr:rowOff>127260</xdr:rowOff>
    </xdr:from>
    <xdr:to>
      <xdr:col>28</xdr:col>
      <xdr:colOff>302372</xdr:colOff>
      <xdr:row>15</xdr:row>
      <xdr:rowOff>215251</xdr:rowOff>
    </xdr:to>
    <xdr:cxnSp macro="">
      <xdr:nvCxnSpPr>
        <xdr:cNvPr id="1647" name="SCHEMA_T04_COND_0198">
          <a:extLst>
            <a:ext uri="{FF2B5EF4-FFF2-40B4-BE49-F238E27FC236}">
              <a16:creationId xmlns:a16="http://schemas.microsoft.com/office/drawing/2014/main" id="{2A598993-06E6-9A62-8902-22CE6191345E}"/>
            </a:ext>
          </a:extLst>
        </xdr:cNvPr>
        <xdr:cNvCxnSpPr/>
      </xdr:nvCxnSpPr>
      <xdr:spPr>
        <a:xfrm flipV="1">
          <a:off x="10785475" y="4691789"/>
          <a:ext cx="222250" cy="87991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307975</xdr:colOff>
      <xdr:row>16</xdr:row>
      <xdr:rowOff>55804</xdr:rowOff>
    </xdr:from>
    <xdr:to>
      <xdr:col>27</xdr:col>
      <xdr:colOff>194049</xdr:colOff>
      <xdr:row>16</xdr:row>
      <xdr:rowOff>137146</xdr:rowOff>
    </xdr:to>
    <xdr:cxnSp macro="">
      <xdr:nvCxnSpPr>
        <xdr:cNvPr id="1648" name="SCHEMA_T04_COND_0199">
          <a:extLst>
            <a:ext uri="{FF2B5EF4-FFF2-40B4-BE49-F238E27FC236}">
              <a16:creationId xmlns:a16="http://schemas.microsoft.com/office/drawing/2014/main" id="{8AC9240E-8840-6C76-DC3C-7E02663B5FE8}"/>
            </a:ext>
          </a:extLst>
        </xdr:cNvPr>
        <xdr:cNvCxnSpPr/>
      </xdr:nvCxnSpPr>
      <xdr:spPr>
        <a:xfrm>
          <a:off x="10340975" y="4866863"/>
          <a:ext cx="222250" cy="8134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194049</xdr:colOff>
      <xdr:row>16</xdr:row>
      <xdr:rowOff>133821</xdr:rowOff>
    </xdr:from>
    <xdr:to>
      <xdr:col>28</xdr:col>
      <xdr:colOff>80122</xdr:colOff>
      <xdr:row>16</xdr:row>
      <xdr:rowOff>137146</xdr:rowOff>
    </xdr:to>
    <xdr:cxnSp macro="">
      <xdr:nvCxnSpPr>
        <xdr:cNvPr id="1649" name="SCHEMA_T04_COND_0200">
          <a:extLst>
            <a:ext uri="{FF2B5EF4-FFF2-40B4-BE49-F238E27FC236}">
              <a16:creationId xmlns:a16="http://schemas.microsoft.com/office/drawing/2014/main" id="{8F127DF1-B07E-334C-57FA-8180B64DF8DB}"/>
            </a:ext>
          </a:extLst>
        </xdr:cNvPr>
        <xdr:cNvCxnSpPr/>
      </xdr:nvCxnSpPr>
      <xdr:spPr>
        <a:xfrm flipV="1">
          <a:off x="10563225" y="4944880"/>
          <a:ext cx="222250" cy="332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80122</xdr:colOff>
      <xdr:row>16</xdr:row>
      <xdr:rowOff>45830</xdr:rowOff>
    </xdr:from>
    <xdr:to>
      <xdr:col>28</xdr:col>
      <xdr:colOff>302372</xdr:colOff>
      <xdr:row>16</xdr:row>
      <xdr:rowOff>133821</xdr:rowOff>
    </xdr:to>
    <xdr:cxnSp macro="">
      <xdr:nvCxnSpPr>
        <xdr:cNvPr id="1650" name="SCHEMA_T04_COND_0201">
          <a:extLst>
            <a:ext uri="{FF2B5EF4-FFF2-40B4-BE49-F238E27FC236}">
              <a16:creationId xmlns:a16="http://schemas.microsoft.com/office/drawing/2014/main" id="{FE38B106-7FFD-CAEA-1B90-4D0F56D6EAEE}"/>
            </a:ext>
          </a:extLst>
        </xdr:cNvPr>
        <xdr:cNvCxnSpPr/>
      </xdr:nvCxnSpPr>
      <xdr:spPr>
        <a:xfrm flipV="1">
          <a:off x="10785475" y="4856889"/>
          <a:ext cx="222250" cy="8799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307975</xdr:colOff>
      <xdr:row>16</xdr:row>
      <xdr:rowOff>157404</xdr:rowOff>
    </xdr:from>
    <xdr:to>
      <xdr:col>27</xdr:col>
      <xdr:colOff>194049</xdr:colOff>
      <xdr:row>16</xdr:row>
      <xdr:rowOff>238746</xdr:rowOff>
    </xdr:to>
    <xdr:cxnSp macro="">
      <xdr:nvCxnSpPr>
        <xdr:cNvPr id="1651" name="SCHEMA_T04_COND_0202">
          <a:extLst>
            <a:ext uri="{FF2B5EF4-FFF2-40B4-BE49-F238E27FC236}">
              <a16:creationId xmlns:a16="http://schemas.microsoft.com/office/drawing/2014/main" id="{DD464DA8-5441-6D11-A0E9-5837EAB2214C}"/>
            </a:ext>
          </a:extLst>
        </xdr:cNvPr>
        <xdr:cNvCxnSpPr/>
      </xdr:nvCxnSpPr>
      <xdr:spPr>
        <a:xfrm>
          <a:off x="10340975" y="4968463"/>
          <a:ext cx="222250" cy="8134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194049</xdr:colOff>
      <xdr:row>16</xdr:row>
      <xdr:rowOff>235421</xdr:rowOff>
    </xdr:from>
    <xdr:to>
      <xdr:col>28</xdr:col>
      <xdr:colOff>80122</xdr:colOff>
      <xdr:row>16</xdr:row>
      <xdr:rowOff>238746</xdr:rowOff>
    </xdr:to>
    <xdr:cxnSp macro="">
      <xdr:nvCxnSpPr>
        <xdr:cNvPr id="1652" name="SCHEMA_T04_COND_0203">
          <a:extLst>
            <a:ext uri="{FF2B5EF4-FFF2-40B4-BE49-F238E27FC236}">
              <a16:creationId xmlns:a16="http://schemas.microsoft.com/office/drawing/2014/main" id="{0356AFEF-ECB1-2B6E-5BCC-0810BABCCC14}"/>
            </a:ext>
          </a:extLst>
        </xdr:cNvPr>
        <xdr:cNvCxnSpPr/>
      </xdr:nvCxnSpPr>
      <xdr:spPr>
        <a:xfrm flipV="1">
          <a:off x="10563225" y="5046480"/>
          <a:ext cx="222250" cy="332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80122</xdr:colOff>
      <xdr:row>16</xdr:row>
      <xdr:rowOff>147430</xdr:rowOff>
    </xdr:from>
    <xdr:to>
      <xdr:col>28</xdr:col>
      <xdr:colOff>302372</xdr:colOff>
      <xdr:row>16</xdr:row>
      <xdr:rowOff>235421</xdr:rowOff>
    </xdr:to>
    <xdr:cxnSp macro="">
      <xdr:nvCxnSpPr>
        <xdr:cNvPr id="1653" name="SCHEMA_T04_COND_0204">
          <a:extLst>
            <a:ext uri="{FF2B5EF4-FFF2-40B4-BE49-F238E27FC236}">
              <a16:creationId xmlns:a16="http://schemas.microsoft.com/office/drawing/2014/main" id="{86704F10-D12D-CF79-C3E3-4F8761956CDB}"/>
            </a:ext>
          </a:extLst>
        </xdr:cNvPr>
        <xdr:cNvCxnSpPr/>
      </xdr:nvCxnSpPr>
      <xdr:spPr>
        <a:xfrm flipV="1">
          <a:off x="10785475" y="4958489"/>
          <a:ext cx="222250" cy="8799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307975</xdr:colOff>
      <xdr:row>17</xdr:row>
      <xdr:rowOff>63275</xdr:rowOff>
    </xdr:from>
    <xdr:to>
      <xdr:col>27</xdr:col>
      <xdr:colOff>194049</xdr:colOff>
      <xdr:row>17</xdr:row>
      <xdr:rowOff>144617</xdr:rowOff>
    </xdr:to>
    <xdr:cxnSp macro="">
      <xdr:nvCxnSpPr>
        <xdr:cNvPr id="1654" name="SCHEMA_T04_COND_0205">
          <a:extLst>
            <a:ext uri="{FF2B5EF4-FFF2-40B4-BE49-F238E27FC236}">
              <a16:creationId xmlns:a16="http://schemas.microsoft.com/office/drawing/2014/main" id="{CFF4D611-614D-5582-9622-2C11D3750176}"/>
            </a:ext>
          </a:extLst>
        </xdr:cNvPr>
        <xdr:cNvCxnSpPr/>
      </xdr:nvCxnSpPr>
      <xdr:spPr>
        <a:xfrm>
          <a:off x="10340975" y="5120863"/>
          <a:ext cx="222250" cy="8134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194049</xdr:colOff>
      <xdr:row>17</xdr:row>
      <xdr:rowOff>141292</xdr:rowOff>
    </xdr:from>
    <xdr:to>
      <xdr:col>28</xdr:col>
      <xdr:colOff>80122</xdr:colOff>
      <xdr:row>17</xdr:row>
      <xdr:rowOff>144617</xdr:rowOff>
    </xdr:to>
    <xdr:cxnSp macro="">
      <xdr:nvCxnSpPr>
        <xdr:cNvPr id="1655" name="SCHEMA_T04_COND_0206">
          <a:extLst>
            <a:ext uri="{FF2B5EF4-FFF2-40B4-BE49-F238E27FC236}">
              <a16:creationId xmlns:a16="http://schemas.microsoft.com/office/drawing/2014/main" id="{80F16D37-1851-AD07-AE1E-A50575565614}"/>
            </a:ext>
          </a:extLst>
        </xdr:cNvPr>
        <xdr:cNvCxnSpPr/>
      </xdr:nvCxnSpPr>
      <xdr:spPr>
        <a:xfrm flipV="1">
          <a:off x="10563225" y="5198880"/>
          <a:ext cx="222250" cy="332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80122</xdr:colOff>
      <xdr:row>17</xdr:row>
      <xdr:rowOff>53301</xdr:rowOff>
    </xdr:from>
    <xdr:to>
      <xdr:col>28</xdr:col>
      <xdr:colOff>302372</xdr:colOff>
      <xdr:row>17</xdr:row>
      <xdr:rowOff>141292</xdr:rowOff>
    </xdr:to>
    <xdr:cxnSp macro="">
      <xdr:nvCxnSpPr>
        <xdr:cNvPr id="1656" name="SCHEMA_T04_COND_0207">
          <a:extLst>
            <a:ext uri="{FF2B5EF4-FFF2-40B4-BE49-F238E27FC236}">
              <a16:creationId xmlns:a16="http://schemas.microsoft.com/office/drawing/2014/main" id="{9BF4ADE5-3BBC-7DA8-1959-754874975202}"/>
            </a:ext>
          </a:extLst>
        </xdr:cNvPr>
        <xdr:cNvCxnSpPr/>
      </xdr:nvCxnSpPr>
      <xdr:spPr>
        <a:xfrm flipV="1">
          <a:off x="10785475" y="5110889"/>
          <a:ext cx="222250" cy="8799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307975</xdr:colOff>
      <xdr:row>17</xdr:row>
      <xdr:rowOff>164875</xdr:rowOff>
    </xdr:from>
    <xdr:to>
      <xdr:col>27</xdr:col>
      <xdr:colOff>194049</xdr:colOff>
      <xdr:row>17</xdr:row>
      <xdr:rowOff>246217</xdr:rowOff>
    </xdr:to>
    <xdr:cxnSp macro="">
      <xdr:nvCxnSpPr>
        <xdr:cNvPr id="1657" name="SCHEMA_T04_COND_0208">
          <a:extLst>
            <a:ext uri="{FF2B5EF4-FFF2-40B4-BE49-F238E27FC236}">
              <a16:creationId xmlns:a16="http://schemas.microsoft.com/office/drawing/2014/main" id="{0A8E95EA-387B-65C3-DBA5-99463BA7B304}"/>
            </a:ext>
          </a:extLst>
        </xdr:cNvPr>
        <xdr:cNvCxnSpPr/>
      </xdr:nvCxnSpPr>
      <xdr:spPr>
        <a:xfrm>
          <a:off x="10340975" y="5222463"/>
          <a:ext cx="222250" cy="8134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194049</xdr:colOff>
      <xdr:row>17</xdr:row>
      <xdr:rowOff>242892</xdr:rowOff>
    </xdr:from>
    <xdr:to>
      <xdr:col>28</xdr:col>
      <xdr:colOff>80122</xdr:colOff>
      <xdr:row>17</xdr:row>
      <xdr:rowOff>246217</xdr:rowOff>
    </xdr:to>
    <xdr:cxnSp macro="">
      <xdr:nvCxnSpPr>
        <xdr:cNvPr id="1658" name="SCHEMA_T04_COND_0209">
          <a:extLst>
            <a:ext uri="{FF2B5EF4-FFF2-40B4-BE49-F238E27FC236}">
              <a16:creationId xmlns:a16="http://schemas.microsoft.com/office/drawing/2014/main" id="{C9DBFD87-375D-25B3-F0EF-3F024D6C2764}"/>
            </a:ext>
          </a:extLst>
        </xdr:cNvPr>
        <xdr:cNvCxnSpPr/>
      </xdr:nvCxnSpPr>
      <xdr:spPr>
        <a:xfrm flipV="1">
          <a:off x="10563225" y="5300480"/>
          <a:ext cx="222250" cy="332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80122</xdr:colOff>
      <xdr:row>17</xdr:row>
      <xdr:rowOff>154901</xdr:rowOff>
    </xdr:from>
    <xdr:to>
      <xdr:col>28</xdr:col>
      <xdr:colOff>302372</xdr:colOff>
      <xdr:row>17</xdr:row>
      <xdr:rowOff>242892</xdr:rowOff>
    </xdr:to>
    <xdr:cxnSp macro="">
      <xdr:nvCxnSpPr>
        <xdr:cNvPr id="1659" name="SCHEMA_T04_COND_0210">
          <a:extLst>
            <a:ext uri="{FF2B5EF4-FFF2-40B4-BE49-F238E27FC236}">
              <a16:creationId xmlns:a16="http://schemas.microsoft.com/office/drawing/2014/main" id="{81AD5F2A-9865-CF86-450C-1D2A094AC64C}"/>
            </a:ext>
          </a:extLst>
        </xdr:cNvPr>
        <xdr:cNvCxnSpPr/>
      </xdr:nvCxnSpPr>
      <xdr:spPr>
        <a:xfrm flipV="1">
          <a:off x="10785475" y="5212489"/>
          <a:ext cx="222250" cy="8799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267074</xdr:colOff>
      <xdr:row>25</xdr:row>
      <xdr:rowOff>5976</xdr:rowOff>
    </xdr:from>
    <xdr:to>
      <xdr:col>28</xdr:col>
      <xdr:colOff>7097</xdr:colOff>
      <xdr:row>25</xdr:row>
      <xdr:rowOff>82176</xdr:rowOff>
    </xdr:to>
    <xdr:sp macro="" textlink="">
      <xdr:nvSpPr>
        <xdr:cNvPr id="1660" name="SCHEMA_T04_ATTRAV_14">
          <a:extLst>
            <a:ext uri="{FF2B5EF4-FFF2-40B4-BE49-F238E27FC236}">
              <a16:creationId xmlns:a16="http://schemas.microsoft.com/office/drawing/2014/main" id="{C83B671B-2C36-2D11-1DAA-7157034BC747}"/>
            </a:ext>
          </a:extLst>
        </xdr:cNvPr>
        <xdr:cNvSpPr/>
      </xdr:nvSpPr>
      <xdr:spPr>
        <a:xfrm>
          <a:off x="10636250" y="7035800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28</xdr:col>
      <xdr:colOff>302372</xdr:colOff>
      <xdr:row>15</xdr:row>
      <xdr:rowOff>127260</xdr:rowOff>
    </xdr:from>
    <xdr:to>
      <xdr:col>29</xdr:col>
      <xdr:colOff>188446</xdr:colOff>
      <xdr:row>15</xdr:row>
      <xdr:rowOff>132130</xdr:rowOff>
    </xdr:to>
    <xdr:cxnSp macro="">
      <xdr:nvCxnSpPr>
        <xdr:cNvPr id="1661" name="SCHEMA_T04_COND_0211">
          <a:extLst>
            <a:ext uri="{FF2B5EF4-FFF2-40B4-BE49-F238E27FC236}">
              <a16:creationId xmlns:a16="http://schemas.microsoft.com/office/drawing/2014/main" id="{AF4C37DD-33C4-5D16-0754-02B3BCCDB335}"/>
            </a:ext>
          </a:extLst>
        </xdr:cNvPr>
        <xdr:cNvCxnSpPr/>
      </xdr:nvCxnSpPr>
      <xdr:spPr>
        <a:xfrm>
          <a:off x="11007725" y="4691789"/>
          <a:ext cx="222250" cy="4870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188446</xdr:colOff>
      <xdr:row>15</xdr:row>
      <xdr:rowOff>52333</xdr:rowOff>
    </xdr:from>
    <xdr:to>
      <xdr:col>30</xdr:col>
      <xdr:colOff>74519</xdr:colOff>
      <xdr:row>15</xdr:row>
      <xdr:rowOff>132130</xdr:rowOff>
    </xdr:to>
    <xdr:cxnSp macro="">
      <xdr:nvCxnSpPr>
        <xdr:cNvPr id="1662" name="SCHEMA_T04_COND_0212">
          <a:extLst>
            <a:ext uri="{FF2B5EF4-FFF2-40B4-BE49-F238E27FC236}">
              <a16:creationId xmlns:a16="http://schemas.microsoft.com/office/drawing/2014/main" id="{3E0249CE-5BB6-BCB2-82ED-13E037E28BD0}"/>
            </a:ext>
          </a:extLst>
        </xdr:cNvPr>
        <xdr:cNvCxnSpPr/>
      </xdr:nvCxnSpPr>
      <xdr:spPr>
        <a:xfrm flipV="1">
          <a:off x="11229975" y="4616862"/>
          <a:ext cx="222250" cy="79797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74519</xdr:colOff>
      <xdr:row>14</xdr:row>
      <xdr:rowOff>134399</xdr:rowOff>
    </xdr:from>
    <xdr:to>
      <xdr:col>30</xdr:col>
      <xdr:colOff>296769</xdr:colOff>
      <xdr:row>15</xdr:row>
      <xdr:rowOff>52333</xdr:rowOff>
    </xdr:to>
    <xdr:cxnSp macro="">
      <xdr:nvCxnSpPr>
        <xdr:cNvPr id="1663" name="SCHEMA_T04_COND_0213">
          <a:extLst>
            <a:ext uri="{FF2B5EF4-FFF2-40B4-BE49-F238E27FC236}">
              <a16:creationId xmlns:a16="http://schemas.microsoft.com/office/drawing/2014/main" id="{9EF1A8E2-73A4-125C-8C4F-D779A136FFC6}"/>
            </a:ext>
          </a:extLst>
        </xdr:cNvPr>
        <xdr:cNvCxnSpPr/>
      </xdr:nvCxnSpPr>
      <xdr:spPr>
        <a:xfrm flipV="1">
          <a:off x="11452225" y="4452399"/>
          <a:ext cx="222250" cy="164463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302372</xdr:colOff>
      <xdr:row>16</xdr:row>
      <xdr:rowOff>45830</xdr:rowOff>
    </xdr:from>
    <xdr:to>
      <xdr:col>29</xdr:col>
      <xdr:colOff>188446</xdr:colOff>
      <xdr:row>16</xdr:row>
      <xdr:rowOff>50700</xdr:rowOff>
    </xdr:to>
    <xdr:cxnSp macro="">
      <xdr:nvCxnSpPr>
        <xdr:cNvPr id="1664" name="SCHEMA_T04_COND_0214">
          <a:extLst>
            <a:ext uri="{FF2B5EF4-FFF2-40B4-BE49-F238E27FC236}">
              <a16:creationId xmlns:a16="http://schemas.microsoft.com/office/drawing/2014/main" id="{B25F3360-03C1-6750-6E3D-CC19787A77EC}"/>
            </a:ext>
          </a:extLst>
        </xdr:cNvPr>
        <xdr:cNvCxnSpPr/>
      </xdr:nvCxnSpPr>
      <xdr:spPr>
        <a:xfrm>
          <a:off x="11007725" y="4856889"/>
          <a:ext cx="222250" cy="487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188446</xdr:colOff>
      <xdr:row>15</xdr:row>
      <xdr:rowOff>217433</xdr:rowOff>
    </xdr:from>
    <xdr:to>
      <xdr:col>30</xdr:col>
      <xdr:colOff>74519</xdr:colOff>
      <xdr:row>16</xdr:row>
      <xdr:rowOff>50700</xdr:rowOff>
    </xdr:to>
    <xdr:cxnSp macro="">
      <xdr:nvCxnSpPr>
        <xdr:cNvPr id="1665" name="SCHEMA_T04_COND_0215">
          <a:extLst>
            <a:ext uri="{FF2B5EF4-FFF2-40B4-BE49-F238E27FC236}">
              <a16:creationId xmlns:a16="http://schemas.microsoft.com/office/drawing/2014/main" id="{371D9AC9-3F80-1F46-F588-67947D7FABD6}"/>
            </a:ext>
          </a:extLst>
        </xdr:cNvPr>
        <xdr:cNvCxnSpPr/>
      </xdr:nvCxnSpPr>
      <xdr:spPr>
        <a:xfrm flipV="1">
          <a:off x="11229975" y="4781962"/>
          <a:ext cx="222250" cy="7979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74519</xdr:colOff>
      <xdr:row>15</xdr:row>
      <xdr:rowOff>52970</xdr:rowOff>
    </xdr:from>
    <xdr:to>
      <xdr:col>30</xdr:col>
      <xdr:colOff>296769</xdr:colOff>
      <xdr:row>15</xdr:row>
      <xdr:rowOff>217433</xdr:rowOff>
    </xdr:to>
    <xdr:cxnSp macro="">
      <xdr:nvCxnSpPr>
        <xdr:cNvPr id="1666" name="SCHEMA_T04_COND_0216">
          <a:extLst>
            <a:ext uri="{FF2B5EF4-FFF2-40B4-BE49-F238E27FC236}">
              <a16:creationId xmlns:a16="http://schemas.microsoft.com/office/drawing/2014/main" id="{92B5567F-7959-2DD4-AA94-5E9B73909FD1}"/>
            </a:ext>
          </a:extLst>
        </xdr:cNvPr>
        <xdr:cNvCxnSpPr/>
      </xdr:nvCxnSpPr>
      <xdr:spPr>
        <a:xfrm flipV="1">
          <a:off x="11452225" y="4617499"/>
          <a:ext cx="222250" cy="16446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302372</xdr:colOff>
      <xdr:row>16</xdr:row>
      <xdr:rowOff>147430</xdr:rowOff>
    </xdr:from>
    <xdr:to>
      <xdr:col>29</xdr:col>
      <xdr:colOff>188446</xdr:colOff>
      <xdr:row>16</xdr:row>
      <xdr:rowOff>152300</xdr:rowOff>
    </xdr:to>
    <xdr:cxnSp macro="">
      <xdr:nvCxnSpPr>
        <xdr:cNvPr id="1667" name="SCHEMA_T04_COND_0217">
          <a:extLst>
            <a:ext uri="{FF2B5EF4-FFF2-40B4-BE49-F238E27FC236}">
              <a16:creationId xmlns:a16="http://schemas.microsoft.com/office/drawing/2014/main" id="{363ACD5E-3E71-857F-9B46-3C7DD9821E5F}"/>
            </a:ext>
          </a:extLst>
        </xdr:cNvPr>
        <xdr:cNvCxnSpPr/>
      </xdr:nvCxnSpPr>
      <xdr:spPr>
        <a:xfrm>
          <a:off x="11007725" y="4958489"/>
          <a:ext cx="222250" cy="487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188446</xdr:colOff>
      <xdr:row>16</xdr:row>
      <xdr:rowOff>72503</xdr:rowOff>
    </xdr:from>
    <xdr:to>
      <xdr:col>30</xdr:col>
      <xdr:colOff>74519</xdr:colOff>
      <xdr:row>16</xdr:row>
      <xdr:rowOff>152300</xdr:rowOff>
    </xdr:to>
    <xdr:cxnSp macro="">
      <xdr:nvCxnSpPr>
        <xdr:cNvPr id="1668" name="SCHEMA_T04_COND_0218">
          <a:extLst>
            <a:ext uri="{FF2B5EF4-FFF2-40B4-BE49-F238E27FC236}">
              <a16:creationId xmlns:a16="http://schemas.microsoft.com/office/drawing/2014/main" id="{64A08F72-F3FD-2FE3-E698-098020DE5129}"/>
            </a:ext>
          </a:extLst>
        </xdr:cNvPr>
        <xdr:cNvCxnSpPr/>
      </xdr:nvCxnSpPr>
      <xdr:spPr>
        <a:xfrm flipV="1">
          <a:off x="11229975" y="4883562"/>
          <a:ext cx="222250" cy="7979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74519</xdr:colOff>
      <xdr:row>15</xdr:row>
      <xdr:rowOff>154570</xdr:rowOff>
    </xdr:from>
    <xdr:to>
      <xdr:col>30</xdr:col>
      <xdr:colOff>296769</xdr:colOff>
      <xdr:row>16</xdr:row>
      <xdr:rowOff>72503</xdr:rowOff>
    </xdr:to>
    <xdr:cxnSp macro="">
      <xdr:nvCxnSpPr>
        <xdr:cNvPr id="1669" name="SCHEMA_T04_COND_0219">
          <a:extLst>
            <a:ext uri="{FF2B5EF4-FFF2-40B4-BE49-F238E27FC236}">
              <a16:creationId xmlns:a16="http://schemas.microsoft.com/office/drawing/2014/main" id="{830BFD7B-771F-FDAC-04C4-3E8A460E1C4F}"/>
            </a:ext>
          </a:extLst>
        </xdr:cNvPr>
        <xdr:cNvCxnSpPr/>
      </xdr:nvCxnSpPr>
      <xdr:spPr>
        <a:xfrm flipV="1">
          <a:off x="11452225" y="4719099"/>
          <a:ext cx="222250" cy="16446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302372</xdr:colOff>
      <xdr:row>17</xdr:row>
      <xdr:rowOff>53301</xdr:rowOff>
    </xdr:from>
    <xdr:to>
      <xdr:col>29</xdr:col>
      <xdr:colOff>188446</xdr:colOff>
      <xdr:row>17</xdr:row>
      <xdr:rowOff>58171</xdr:rowOff>
    </xdr:to>
    <xdr:cxnSp macro="">
      <xdr:nvCxnSpPr>
        <xdr:cNvPr id="1670" name="SCHEMA_T04_COND_0220">
          <a:extLst>
            <a:ext uri="{FF2B5EF4-FFF2-40B4-BE49-F238E27FC236}">
              <a16:creationId xmlns:a16="http://schemas.microsoft.com/office/drawing/2014/main" id="{86EE2978-7AD9-B5C6-63DB-EDE45ECC8341}"/>
            </a:ext>
          </a:extLst>
        </xdr:cNvPr>
        <xdr:cNvCxnSpPr/>
      </xdr:nvCxnSpPr>
      <xdr:spPr>
        <a:xfrm>
          <a:off x="11007725" y="5110889"/>
          <a:ext cx="222250" cy="487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188446</xdr:colOff>
      <xdr:row>16</xdr:row>
      <xdr:rowOff>224903</xdr:rowOff>
    </xdr:from>
    <xdr:to>
      <xdr:col>30</xdr:col>
      <xdr:colOff>74519</xdr:colOff>
      <xdr:row>17</xdr:row>
      <xdr:rowOff>58171</xdr:rowOff>
    </xdr:to>
    <xdr:cxnSp macro="">
      <xdr:nvCxnSpPr>
        <xdr:cNvPr id="1671" name="SCHEMA_T04_COND_0221">
          <a:extLst>
            <a:ext uri="{FF2B5EF4-FFF2-40B4-BE49-F238E27FC236}">
              <a16:creationId xmlns:a16="http://schemas.microsoft.com/office/drawing/2014/main" id="{D93B61D2-EA84-EC8D-F779-D40664A67F4F}"/>
            </a:ext>
          </a:extLst>
        </xdr:cNvPr>
        <xdr:cNvCxnSpPr/>
      </xdr:nvCxnSpPr>
      <xdr:spPr>
        <a:xfrm flipV="1">
          <a:off x="11229975" y="5035962"/>
          <a:ext cx="222250" cy="7979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74519</xdr:colOff>
      <xdr:row>16</xdr:row>
      <xdr:rowOff>60440</xdr:rowOff>
    </xdr:from>
    <xdr:to>
      <xdr:col>30</xdr:col>
      <xdr:colOff>296769</xdr:colOff>
      <xdr:row>16</xdr:row>
      <xdr:rowOff>224903</xdr:rowOff>
    </xdr:to>
    <xdr:cxnSp macro="">
      <xdr:nvCxnSpPr>
        <xdr:cNvPr id="1672" name="SCHEMA_T04_COND_0222">
          <a:extLst>
            <a:ext uri="{FF2B5EF4-FFF2-40B4-BE49-F238E27FC236}">
              <a16:creationId xmlns:a16="http://schemas.microsoft.com/office/drawing/2014/main" id="{A37E6E46-AFFD-47AA-23E2-31D48CC98829}"/>
            </a:ext>
          </a:extLst>
        </xdr:cNvPr>
        <xdr:cNvCxnSpPr/>
      </xdr:nvCxnSpPr>
      <xdr:spPr>
        <a:xfrm flipV="1">
          <a:off x="11452225" y="4871499"/>
          <a:ext cx="222250" cy="16446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302372</xdr:colOff>
      <xdr:row>17</xdr:row>
      <xdr:rowOff>154901</xdr:rowOff>
    </xdr:from>
    <xdr:to>
      <xdr:col>29</xdr:col>
      <xdr:colOff>188446</xdr:colOff>
      <xdr:row>17</xdr:row>
      <xdr:rowOff>159771</xdr:rowOff>
    </xdr:to>
    <xdr:cxnSp macro="">
      <xdr:nvCxnSpPr>
        <xdr:cNvPr id="1673" name="SCHEMA_T04_COND_0223">
          <a:extLst>
            <a:ext uri="{FF2B5EF4-FFF2-40B4-BE49-F238E27FC236}">
              <a16:creationId xmlns:a16="http://schemas.microsoft.com/office/drawing/2014/main" id="{F47836DF-3D66-8A84-B669-BF68CAE49DFF}"/>
            </a:ext>
          </a:extLst>
        </xdr:cNvPr>
        <xdr:cNvCxnSpPr/>
      </xdr:nvCxnSpPr>
      <xdr:spPr>
        <a:xfrm>
          <a:off x="11007725" y="5212489"/>
          <a:ext cx="222250" cy="487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188446</xdr:colOff>
      <xdr:row>17</xdr:row>
      <xdr:rowOff>79974</xdr:rowOff>
    </xdr:from>
    <xdr:to>
      <xdr:col>30</xdr:col>
      <xdr:colOff>74519</xdr:colOff>
      <xdr:row>17</xdr:row>
      <xdr:rowOff>159771</xdr:rowOff>
    </xdr:to>
    <xdr:cxnSp macro="">
      <xdr:nvCxnSpPr>
        <xdr:cNvPr id="1674" name="SCHEMA_T04_COND_0224">
          <a:extLst>
            <a:ext uri="{FF2B5EF4-FFF2-40B4-BE49-F238E27FC236}">
              <a16:creationId xmlns:a16="http://schemas.microsoft.com/office/drawing/2014/main" id="{E368CFF5-FA5E-4CBE-6837-2C814DAA579B}"/>
            </a:ext>
          </a:extLst>
        </xdr:cNvPr>
        <xdr:cNvCxnSpPr/>
      </xdr:nvCxnSpPr>
      <xdr:spPr>
        <a:xfrm flipV="1">
          <a:off x="11229975" y="5137562"/>
          <a:ext cx="222250" cy="7979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74519</xdr:colOff>
      <xdr:row>16</xdr:row>
      <xdr:rowOff>162040</xdr:rowOff>
    </xdr:from>
    <xdr:to>
      <xdr:col>30</xdr:col>
      <xdr:colOff>296769</xdr:colOff>
      <xdr:row>17</xdr:row>
      <xdr:rowOff>79974</xdr:rowOff>
    </xdr:to>
    <xdr:cxnSp macro="">
      <xdr:nvCxnSpPr>
        <xdr:cNvPr id="1675" name="SCHEMA_T04_COND_0225">
          <a:extLst>
            <a:ext uri="{FF2B5EF4-FFF2-40B4-BE49-F238E27FC236}">
              <a16:creationId xmlns:a16="http://schemas.microsoft.com/office/drawing/2014/main" id="{110078AC-B9E4-7CBB-5E2C-94EE6AAC4221}"/>
            </a:ext>
          </a:extLst>
        </xdr:cNvPr>
        <xdr:cNvCxnSpPr/>
      </xdr:nvCxnSpPr>
      <xdr:spPr>
        <a:xfrm flipV="1">
          <a:off x="11452225" y="4973099"/>
          <a:ext cx="222250" cy="16446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261471</xdr:colOff>
      <xdr:row>25</xdr:row>
      <xdr:rowOff>5976</xdr:rowOff>
    </xdr:from>
    <xdr:to>
      <xdr:col>30</xdr:col>
      <xdr:colOff>1494</xdr:colOff>
      <xdr:row>25</xdr:row>
      <xdr:rowOff>82176</xdr:rowOff>
    </xdr:to>
    <xdr:sp macro="" textlink="">
      <xdr:nvSpPr>
        <xdr:cNvPr id="1676" name="SCHEMA_T04_ATTRAV_15">
          <a:extLst>
            <a:ext uri="{FF2B5EF4-FFF2-40B4-BE49-F238E27FC236}">
              <a16:creationId xmlns:a16="http://schemas.microsoft.com/office/drawing/2014/main" id="{A4D820C7-6600-3860-695E-F57964857592}"/>
            </a:ext>
          </a:extLst>
        </xdr:cNvPr>
        <xdr:cNvSpPr/>
      </xdr:nvSpPr>
      <xdr:spPr>
        <a:xfrm>
          <a:off x="11303000" y="7035800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30</xdr:col>
      <xdr:colOff>296769</xdr:colOff>
      <xdr:row>14</xdr:row>
      <xdr:rowOff>134399</xdr:rowOff>
    </xdr:from>
    <xdr:to>
      <xdr:col>31</xdr:col>
      <xdr:colOff>182843</xdr:colOff>
      <xdr:row>15</xdr:row>
      <xdr:rowOff>55658</xdr:rowOff>
    </xdr:to>
    <xdr:cxnSp macro="">
      <xdr:nvCxnSpPr>
        <xdr:cNvPr id="1677" name="SCHEMA_T04_COND_0226">
          <a:extLst>
            <a:ext uri="{FF2B5EF4-FFF2-40B4-BE49-F238E27FC236}">
              <a16:creationId xmlns:a16="http://schemas.microsoft.com/office/drawing/2014/main" id="{78A85AF6-54A5-5F80-64DE-42F47B6A8CA5}"/>
            </a:ext>
          </a:extLst>
        </xdr:cNvPr>
        <xdr:cNvCxnSpPr/>
      </xdr:nvCxnSpPr>
      <xdr:spPr>
        <a:xfrm>
          <a:off x="11674475" y="4452399"/>
          <a:ext cx="222250" cy="167788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182843</xdr:colOff>
      <xdr:row>15</xdr:row>
      <xdr:rowOff>55658</xdr:rowOff>
    </xdr:from>
    <xdr:to>
      <xdr:col>32</xdr:col>
      <xdr:colOff>68916</xdr:colOff>
      <xdr:row>15</xdr:row>
      <xdr:rowOff>138780</xdr:rowOff>
    </xdr:to>
    <xdr:cxnSp macro="">
      <xdr:nvCxnSpPr>
        <xdr:cNvPr id="1678" name="SCHEMA_T04_COND_0227">
          <a:extLst>
            <a:ext uri="{FF2B5EF4-FFF2-40B4-BE49-F238E27FC236}">
              <a16:creationId xmlns:a16="http://schemas.microsoft.com/office/drawing/2014/main" id="{F20370CF-B33D-CBA6-1A8C-7A5EB8E8456F}"/>
            </a:ext>
          </a:extLst>
        </xdr:cNvPr>
        <xdr:cNvCxnSpPr/>
      </xdr:nvCxnSpPr>
      <xdr:spPr>
        <a:xfrm>
          <a:off x="11896725" y="4620187"/>
          <a:ext cx="222250" cy="83122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68916</xdr:colOff>
      <xdr:row>15</xdr:row>
      <xdr:rowOff>137234</xdr:rowOff>
    </xdr:from>
    <xdr:to>
      <xdr:col>32</xdr:col>
      <xdr:colOff>291166</xdr:colOff>
      <xdr:row>15</xdr:row>
      <xdr:rowOff>138780</xdr:rowOff>
    </xdr:to>
    <xdr:cxnSp macro="">
      <xdr:nvCxnSpPr>
        <xdr:cNvPr id="1679" name="SCHEMA_T04_COND_0228">
          <a:extLst>
            <a:ext uri="{FF2B5EF4-FFF2-40B4-BE49-F238E27FC236}">
              <a16:creationId xmlns:a16="http://schemas.microsoft.com/office/drawing/2014/main" id="{4A738453-BF42-E349-7DFD-A037BC79513E}"/>
            </a:ext>
          </a:extLst>
        </xdr:cNvPr>
        <xdr:cNvCxnSpPr/>
      </xdr:nvCxnSpPr>
      <xdr:spPr>
        <a:xfrm flipV="1">
          <a:off x="12118975" y="4701763"/>
          <a:ext cx="222250" cy="1546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296769</xdr:colOff>
      <xdr:row>15</xdr:row>
      <xdr:rowOff>52970</xdr:rowOff>
    </xdr:from>
    <xdr:to>
      <xdr:col>31</xdr:col>
      <xdr:colOff>182843</xdr:colOff>
      <xdr:row>15</xdr:row>
      <xdr:rowOff>220758</xdr:rowOff>
    </xdr:to>
    <xdr:cxnSp macro="">
      <xdr:nvCxnSpPr>
        <xdr:cNvPr id="1680" name="SCHEMA_T04_COND_0229">
          <a:extLst>
            <a:ext uri="{FF2B5EF4-FFF2-40B4-BE49-F238E27FC236}">
              <a16:creationId xmlns:a16="http://schemas.microsoft.com/office/drawing/2014/main" id="{92DAF38F-9459-936C-90FA-AAEAEC4DAF15}"/>
            </a:ext>
          </a:extLst>
        </xdr:cNvPr>
        <xdr:cNvCxnSpPr/>
      </xdr:nvCxnSpPr>
      <xdr:spPr>
        <a:xfrm>
          <a:off x="11674475" y="4617499"/>
          <a:ext cx="222250" cy="16778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182843</xdr:colOff>
      <xdr:row>15</xdr:row>
      <xdr:rowOff>220758</xdr:rowOff>
    </xdr:from>
    <xdr:to>
      <xdr:col>32</xdr:col>
      <xdr:colOff>68916</xdr:colOff>
      <xdr:row>16</xdr:row>
      <xdr:rowOff>57350</xdr:rowOff>
    </xdr:to>
    <xdr:cxnSp macro="">
      <xdr:nvCxnSpPr>
        <xdr:cNvPr id="1681" name="SCHEMA_T04_COND_0230">
          <a:extLst>
            <a:ext uri="{FF2B5EF4-FFF2-40B4-BE49-F238E27FC236}">
              <a16:creationId xmlns:a16="http://schemas.microsoft.com/office/drawing/2014/main" id="{03AB68ED-B246-7CCC-DD68-6BFB2A8CE397}"/>
            </a:ext>
          </a:extLst>
        </xdr:cNvPr>
        <xdr:cNvCxnSpPr/>
      </xdr:nvCxnSpPr>
      <xdr:spPr>
        <a:xfrm>
          <a:off x="11896725" y="4785287"/>
          <a:ext cx="222250" cy="8312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68916</xdr:colOff>
      <xdr:row>16</xdr:row>
      <xdr:rowOff>55804</xdr:rowOff>
    </xdr:from>
    <xdr:to>
      <xdr:col>32</xdr:col>
      <xdr:colOff>291166</xdr:colOff>
      <xdr:row>16</xdr:row>
      <xdr:rowOff>57350</xdr:rowOff>
    </xdr:to>
    <xdr:cxnSp macro="">
      <xdr:nvCxnSpPr>
        <xdr:cNvPr id="1682" name="SCHEMA_T04_COND_0231">
          <a:extLst>
            <a:ext uri="{FF2B5EF4-FFF2-40B4-BE49-F238E27FC236}">
              <a16:creationId xmlns:a16="http://schemas.microsoft.com/office/drawing/2014/main" id="{F4360116-A2FC-DFB1-D5EF-B39373FB9469}"/>
            </a:ext>
          </a:extLst>
        </xdr:cNvPr>
        <xdr:cNvCxnSpPr/>
      </xdr:nvCxnSpPr>
      <xdr:spPr>
        <a:xfrm flipV="1">
          <a:off x="12118975" y="4866863"/>
          <a:ext cx="222250" cy="154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296769</xdr:colOff>
      <xdr:row>15</xdr:row>
      <xdr:rowOff>154570</xdr:rowOff>
    </xdr:from>
    <xdr:to>
      <xdr:col>31</xdr:col>
      <xdr:colOff>182843</xdr:colOff>
      <xdr:row>16</xdr:row>
      <xdr:rowOff>75828</xdr:rowOff>
    </xdr:to>
    <xdr:cxnSp macro="">
      <xdr:nvCxnSpPr>
        <xdr:cNvPr id="1683" name="SCHEMA_T04_COND_0232">
          <a:extLst>
            <a:ext uri="{FF2B5EF4-FFF2-40B4-BE49-F238E27FC236}">
              <a16:creationId xmlns:a16="http://schemas.microsoft.com/office/drawing/2014/main" id="{235D1553-5A54-AC6E-F18B-C6A750865912}"/>
            </a:ext>
          </a:extLst>
        </xdr:cNvPr>
        <xdr:cNvCxnSpPr/>
      </xdr:nvCxnSpPr>
      <xdr:spPr>
        <a:xfrm>
          <a:off x="11674475" y="4719099"/>
          <a:ext cx="222250" cy="16778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182843</xdr:colOff>
      <xdr:row>16</xdr:row>
      <xdr:rowOff>75828</xdr:rowOff>
    </xdr:from>
    <xdr:to>
      <xdr:col>32</xdr:col>
      <xdr:colOff>68916</xdr:colOff>
      <xdr:row>16</xdr:row>
      <xdr:rowOff>158950</xdr:rowOff>
    </xdr:to>
    <xdr:cxnSp macro="">
      <xdr:nvCxnSpPr>
        <xdr:cNvPr id="1684" name="SCHEMA_T04_COND_0233">
          <a:extLst>
            <a:ext uri="{FF2B5EF4-FFF2-40B4-BE49-F238E27FC236}">
              <a16:creationId xmlns:a16="http://schemas.microsoft.com/office/drawing/2014/main" id="{954E1F53-AB60-2687-82FC-774AE5134ABE}"/>
            </a:ext>
          </a:extLst>
        </xdr:cNvPr>
        <xdr:cNvCxnSpPr/>
      </xdr:nvCxnSpPr>
      <xdr:spPr>
        <a:xfrm>
          <a:off x="11896725" y="4886887"/>
          <a:ext cx="222250" cy="8312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68916</xdr:colOff>
      <xdr:row>16</xdr:row>
      <xdr:rowOff>157404</xdr:rowOff>
    </xdr:from>
    <xdr:to>
      <xdr:col>32</xdr:col>
      <xdr:colOff>291166</xdr:colOff>
      <xdr:row>16</xdr:row>
      <xdr:rowOff>158950</xdr:rowOff>
    </xdr:to>
    <xdr:cxnSp macro="">
      <xdr:nvCxnSpPr>
        <xdr:cNvPr id="1685" name="SCHEMA_T04_COND_0234">
          <a:extLst>
            <a:ext uri="{FF2B5EF4-FFF2-40B4-BE49-F238E27FC236}">
              <a16:creationId xmlns:a16="http://schemas.microsoft.com/office/drawing/2014/main" id="{E6FE07AA-D450-C490-7E3A-EEDAE91A1FFF}"/>
            </a:ext>
          </a:extLst>
        </xdr:cNvPr>
        <xdr:cNvCxnSpPr/>
      </xdr:nvCxnSpPr>
      <xdr:spPr>
        <a:xfrm flipV="1">
          <a:off x="12118975" y="4968463"/>
          <a:ext cx="222250" cy="154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296769</xdr:colOff>
      <xdr:row>16</xdr:row>
      <xdr:rowOff>60440</xdr:rowOff>
    </xdr:from>
    <xdr:to>
      <xdr:col>31</xdr:col>
      <xdr:colOff>182843</xdr:colOff>
      <xdr:row>16</xdr:row>
      <xdr:rowOff>228228</xdr:rowOff>
    </xdr:to>
    <xdr:cxnSp macro="">
      <xdr:nvCxnSpPr>
        <xdr:cNvPr id="1686" name="SCHEMA_T04_COND_0235">
          <a:extLst>
            <a:ext uri="{FF2B5EF4-FFF2-40B4-BE49-F238E27FC236}">
              <a16:creationId xmlns:a16="http://schemas.microsoft.com/office/drawing/2014/main" id="{FDC67BCD-8573-9835-5A20-643682C9BB18}"/>
            </a:ext>
          </a:extLst>
        </xdr:cNvPr>
        <xdr:cNvCxnSpPr/>
      </xdr:nvCxnSpPr>
      <xdr:spPr>
        <a:xfrm>
          <a:off x="11674475" y="4871499"/>
          <a:ext cx="222250" cy="16778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182843</xdr:colOff>
      <xdr:row>16</xdr:row>
      <xdr:rowOff>228228</xdr:rowOff>
    </xdr:from>
    <xdr:to>
      <xdr:col>32</xdr:col>
      <xdr:colOff>68916</xdr:colOff>
      <xdr:row>17</xdr:row>
      <xdr:rowOff>64821</xdr:rowOff>
    </xdr:to>
    <xdr:cxnSp macro="">
      <xdr:nvCxnSpPr>
        <xdr:cNvPr id="1687" name="SCHEMA_T04_COND_0236">
          <a:extLst>
            <a:ext uri="{FF2B5EF4-FFF2-40B4-BE49-F238E27FC236}">
              <a16:creationId xmlns:a16="http://schemas.microsoft.com/office/drawing/2014/main" id="{0869F63D-61E8-C194-6A5C-0698CC8FA9C0}"/>
            </a:ext>
          </a:extLst>
        </xdr:cNvPr>
        <xdr:cNvCxnSpPr/>
      </xdr:nvCxnSpPr>
      <xdr:spPr>
        <a:xfrm>
          <a:off x="11896725" y="5039287"/>
          <a:ext cx="222250" cy="8312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68916</xdr:colOff>
      <xdr:row>17</xdr:row>
      <xdr:rowOff>63275</xdr:rowOff>
    </xdr:from>
    <xdr:to>
      <xdr:col>32</xdr:col>
      <xdr:colOff>291166</xdr:colOff>
      <xdr:row>17</xdr:row>
      <xdr:rowOff>64821</xdr:rowOff>
    </xdr:to>
    <xdr:cxnSp macro="">
      <xdr:nvCxnSpPr>
        <xdr:cNvPr id="1688" name="SCHEMA_T04_COND_0237">
          <a:extLst>
            <a:ext uri="{FF2B5EF4-FFF2-40B4-BE49-F238E27FC236}">
              <a16:creationId xmlns:a16="http://schemas.microsoft.com/office/drawing/2014/main" id="{69C7D084-D1A8-961B-CAD1-4726BED51191}"/>
            </a:ext>
          </a:extLst>
        </xdr:cNvPr>
        <xdr:cNvCxnSpPr/>
      </xdr:nvCxnSpPr>
      <xdr:spPr>
        <a:xfrm flipV="1">
          <a:off x="12118975" y="5120863"/>
          <a:ext cx="222250" cy="154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296769</xdr:colOff>
      <xdr:row>16</xdr:row>
      <xdr:rowOff>162040</xdr:rowOff>
    </xdr:from>
    <xdr:to>
      <xdr:col>31</xdr:col>
      <xdr:colOff>182843</xdr:colOff>
      <xdr:row>17</xdr:row>
      <xdr:rowOff>83299</xdr:rowOff>
    </xdr:to>
    <xdr:cxnSp macro="">
      <xdr:nvCxnSpPr>
        <xdr:cNvPr id="1689" name="SCHEMA_T04_COND_0238">
          <a:extLst>
            <a:ext uri="{FF2B5EF4-FFF2-40B4-BE49-F238E27FC236}">
              <a16:creationId xmlns:a16="http://schemas.microsoft.com/office/drawing/2014/main" id="{6BE0AA08-4F5D-3D23-A868-913F958B51E4}"/>
            </a:ext>
          </a:extLst>
        </xdr:cNvPr>
        <xdr:cNvCxnSpPr/>
      </xdr:nvCxnSpPr>
      <xdr:spPr>
        <a:xfrm>
          <a:off x="11674475" y="4973099"/>
          <a:ext cx="222250" cy="16778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182843</xdr:colOff>
      <xdr:row>17</xdr:row>
      <xdr:rowOff>83299</xdr:rowOff>
    </xdr:from>
    <xdr:to>
      <xdr:col>32</xdr:col>
      <xdr:colOff>68916</xdr:colOff>
      <xdr:row>17</xdr:row>
      <xdr:rowOff>166421</xdr:rowOff>
    </xdr:to>
    <xdr:cxnSp macro="">
      <xdr:nvCxnSpPr>
        <xdr:cNvPr id="1690" name="SCHEMA_T04_COND_0239">
          <a:extLst>
            <a:ext uri="{FF2B5EF4-FFF2-40B4-BE49-F238E27FC236}">
              <a16:creationId xmlns:a16="http://schemas.microsoft.com/office/drawing/2014/main" id="{3A962701-4A0C-8D0E-BB48-AAB41BE3A889}"/>
            </a:ext>
          </a:extLst>
        </xdr:cNvPr>
        <xdr:cNvCxnSpPr/>
      </xdr:nvCxnSpPr>
      <xdr:spPr>
        <a:xfrm>
          <a:off x="11896725" y="5140887"/>
          <a:ext cx="222250" cy="8312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68916</xdr:colOff>
      <xdr:row>17</xdr:row>
      <xdr:rowOff>164875</xdr:rowOff>
    </xdr:from>
    <xdr:to>
      <xdr:col>32</xdr:col>
      <xdr:colOff>291166</xdr:colOff>
      <xdr:row>17</xdr:row>
      <xdr:rowOff>166421</xdr:rowOff>
    </xdr:to>
    <xdr:cxnSp macro="">
      <xdr:nvCxnSpPr>
        <xdr:cNvPr id="1691" name="SCHEMA_T04_COND_0240">
          <a:extLst>
            <a:ext uri="{FF2B5EF4-FFF2-40B4-BE49-F238E27FC236}">
              <a16:creationId xmlns:a16="http://schemas.microsoft.com/office/drawing/2014/main" id="{1337C633-B255-1A06-F98D-F5F57EF864DA}"/>
            </a:ext>
          </a:extLst>
        </xdr:cNvPr>
        <xdr:cNvCxnSpPr/>
      </xdr:nvCxnSpPr>
      <xdr:spPr>
        <a:xfrm flipV="1">
          <a:off x="12118975" y="5222463"/>
          <a:ext cx="222250" cy="154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255868</xdr:colOff>
      <xdr:row>25</xdr:row>
      <xdr:rowOff>5976</xdr:rowOff>
    </xdr:from>
    <xdr:to>
      <xdr:col>31</xdr:col>
      <xdr:colOff>332068</xdr:colOff>
      <xdr:row>25</xdr:row>
      <xdr:rowOff>82176</xdr:rowOff>
    </xdr:to>
    <xdr:sp macro="" textlink="">
      <xdr:nvSpPr>
        <xdr:cNvPr id="1692" name="SCHEMA_T04_ATTRAV_16">
          <a:extLst>
            <a:ext uri="{FF2B5EF4-FFF2-40B4-BE49-F238E27FC236}">
              <a16:creationId xmlns:a16="http://schemas.microsoft.com/office/drawing/2014/main" id="{69B9783E-7A5A-3ECE-9AA2-83B7770DB54D}"/>
            </a:ext>
          </a:extLst>
        </xdr:cNvPr>
        <xdr:cNvSpPr/>
      </xdr:nvSpPr>
      <xdr:spPr>
        <a:xfrm>
          <a:off x="11969750" y="7035800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32</xdr:col>
      <xdr:colOff>291166</xdr:colOff>
      <xdr:row>15</xdr:row>
      <xdr:rowOff>137234</xdr:rowOff>
    </xdr:from>
    <xdr:to>
      <xdr:col>33</xdr:col>
      <xdr:colOff>177240</xdr:colOff>
      <xdr:row>15</xdr:row>
      <xdr:rowOff>241850</xdr:rowOff>
    </xdr:to>
    <xdr:cxnSp macro="">
      <xdr:nvCxnSpPr>
        <xdr:cNvPr id="1693" name="SCHEMA_T04_COND_0241">
          <a:extLst>
            <a:ext uri="{FF2B5EF4-FFF2-40B4-BE49-F238E27FC236}">
              <a16:creationId xmlns:a16="http://schemas.microsoft.com/office/drawing/2014/main" id="{2DA8DD51-7F54-0BAA-9AFB-A088831F4F25}"/>
            </a:ext>
          </a:extLst>
        </xdr:cNvPr>
        <xdr:cNvCxnSpPr/>
      </xdr:nvCxnSpPr>
      <xdr:spPr>
        <a:xfrm>
          <a:off x="12341225" y="4701763"/>
          <a:ext cx="222250" cy="104616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177240</xdr:colOff>
      <xdr:row>15</xdr:row>
      <xdr:rowOff>241850</xdr:rowOff>
    </xdr:from>
    <xdr:to>
      <xdr:col>34</xdr:col>
      <xdr:colOff>63313</xdr:colOff>
      <xdr:row>16</xdr:row>
      <xdr:rowOff>15270</xdr:rowOff>
    </xdr:to>
    <xdr:cxnSp macro="">
      <xdr:nvCxnSpPr>
        <xdr:cNvPr id="1694" name="SCHEMA_T04_COND_0242">
          <a:extLst>
            <a:ext uri="{FF2B5EF4-FFF2-40B4-BE49-F238E27FC236}">
              <a16:creationId xmlns:a16="http://schemas.microsoft.com/office/drawing/2014/main" id="{7F03EE2A-6803-142D-ED49-5134D7B6BACA}"/>
            </a:ext>
          </a:extLst>
        </xdr:cNvPr>
        <xdr:cNvCxnSpPr/>
      </xdr:nvCxnSpPr>
      <xdr:spPr>
        <a:xfrm>
          <a:off x="12563475" y="4806379"/>
          <a:ext cx="222250" cy="19950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63313</xdr:colOff>
      <xdr:row>15</xdr:row>
      <xdr:rowOff>197082</xdr:rowOff>
    </xdr:from>
    <xdr:to>
      <xdr:col>34</xdr:col>
      <xdr:colOff>285563</xdr:colOff>
      <xdr:row>16</xdr:row>
      <xdr:rowOff>15270</xdr:rowOff>
    </xdr:to>
    <xdr:cxnSp macro="">
      <xdr:nvCxnSpPr>
        <xdr:cNvPr id="1695" name="SCHEMA_T04_COND_0243">
          <a:extLst>
            <a:ext uri="{FF2B5EF4-FFF2-40B4-BE49-F238E27FC236}">
              <a16:creationId xmlns:a16="http://schemas.microsoft.com/office/drawing/2014/main" id="{1CC3203F-9683-659F-462F-B0938FA4B579}"/>
            </a:ext>
          </a:extLst>
        </xdr:cNvPr>
        <xdr:cNvCxnSpPr/>
      </xdr:nvCxnSpPr>
      <xdr:spPr>
        <a:xfrm flipV="1">
          <a:off x="12785725" y="4761611"/>
          <a:ext cx="222250" cy="64718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291166</xdr:colOff>
      <xdr:row>16</xdr:row>
      <xdr:rowOff>55804</xdr:rowOff>
    </xdr:from>
    <xdr:to>
      <xdr:col>33</xdr:col>
      <xdr:colOff>177240</xdr:colOff>
      <xdr:row>16</xdr:row>
      <xdr:rowOff>160420</xdr:rowOff>
    </xdr:to>
    <xdr:cxnSp macro="">
      <xdr:nvCxnSpPr>
        <xdr:cNvPr id="1696" name="SCHEMA_T04_COND_0244">
          <a:extLst>
            <a:ext uri="{FF2B5EF4-FFF2-40B4-BE49-F238E27FC236}">
              <a16:creationId xmlns:a16="http://schemas.microsoft.com/office/drawing/2014/main" id="{DC326B07-D39E-E23A-FAC1-5C0BA3435F7C}"/>
            </a:ext>
          </a:extLst>
        </xdr:cNvPr>
        <xdr:cNvCxnSpPr/>
      </xdr:nvCxnSpPr>
      <xdr:spPr>
        <a:xfrm>
          <a:off x="12341225" y="4866863"/>
          <a:ext cx="222250" cy="10461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177240</xdr:colOff>
      <xdr:row>16</xdr:row>
      <xdr:rowOff>160420</xdr:rowOff>
    </xdr:from>
    <xdr:to>
      <xdr:col>34</xdr:col>
      <xdr:colOff>63313</xdr:colOff>
      <xdr:row>16</xdr:row>
      <xdr:rowOff>180370</xdr:rowOff>
    </xdr:to>
    <xdr:cxnSp macro="">
      <xdr:nvCxnSpPr>
        <xdr:cNvPr id="1697" name="SCHEMA_T04_COND_0245">
          <a:extLst>
            <a:ext uri="{FF2B5EF4-FFF2-40B4-BE49-F238E27FC236}">
              <a16:creationId xmlns:a16="http://schemas.microsoft.com/office/drawing/2014/main" id="{7C183794-230E-D38B-5D7A-1B5C0F9DDC27}"/>
            </a:ext>
          </a:extLst>
        </xdr:cNvPr>
        <xdr:cNvCxnSpPr/>
      </xdr:nvCxnSpPr>
      <xdr:spPr>
        <a:xfrm>
          <a:off x="12563475" y="4971479"/>
          <a:ext cx="222250" cy="1995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63313</xdr:colOff>
      <xdr:row>16</xdr:row>
      <xdr:rowOff>115652</xdr:rowOff>
    </xdr:from>
    <xdr:to>
      <xdr:col>34</xdr:col>
      <xdr:colOff>285563</xdr:colOff>
      <xdr:row>16</xdr:row>
      <xdr:rowOff>180370</xdr:rowOff>
    </xdr:to>
    <xdr:cxnSp macro="">
      <xdr:nvCxnSpPr>
        <xdr:cNvPr id="1698" name="SCHEMA_T04_COND_0246">
          <a:extLst>
            <a:ext uri="{FF2B5EF4-FFF2-40B4-BE49-F238E27FC236}">
              <a16:creationId xmlns:a16="http://schemas.microsoft.com/office/drawing/2014/main" id="{DA04F895-1B26-BBD7-C360-A3C9797F8F69}"/>
            </a:ext>
          </a:extLst>
        </xdr:cNvPr>
        <xdr:cNvCxnSpPr/>
      </xdr:nvCxnSpPr>
      <xdr:spPr>
        <a:xfrm flipV="1">
          <a:off x="12785725" y="4926711"/>
          <a:ext cx="222250" cy="6471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291166</xdr:colOff>
      <xdr:row>16</xdr:row>
      <xdr:rowOff>157404</xdr:rowOff>
    </xdr:from>
    <xdr:to>
      <xdr:col>33</xdr:col>
      <xdr:colOff>177240</xdr:colOff>
      <xdr:row>17</xdr:row>
      <xdr:rowOff>15491</xdr:rowOff>
    </xdr:to>
    <xdr:cxnSp macro="">
      <xdr:nvCxnSpPr>
        <xdr:cNvPr id="1699" name="SCHEMA_T04_COND_0247">
          <a:extLst>
            <a:ext uri="{FF2B5EF4-FFF2-40B4-BE49-F238E27FC236}">
              <a16:creationId xmlns:a16="http://schemas.microsoft.com/office/drawing/2014/main" id="{726E1095-F0FE-AC8F-2062-E073E43CCAEE}"/>
            </a:ext>
          </a:extLst>
        </xdr:cNvPr>
        <xdr:cNvCxnSpPr/>
      </xdr:nvCxnSpPr>
      <xdr:spPr>
        <a:xfrm>
          <a:off x="12341225" y="4968463"/>
          <a:ext cx="222250" cy="10461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177240</xdr:colOff>
      <xdr:row>17</xdr:row>
      <xdr:rowOff>15491</xdr:rowOff>
    </xdr:from>
    <xdr:to>
      <xdr:col>34</xdr:col>
      <xdr:colOff>63313</xdr:colOff>
      <xdr:row>17</xdr:row>
      <xdr:rowOff>35441</xdr:rowOff>
    </xdr:to>
    <xdr:cxnSp macro="">
      <xdr:nvCxnSpPr>
        <xdr:cNvPr id="1700" name="SCHEMA_T04_COND_0248">
          <a:extLst>
            <a:ext uri="{FF2B5EF4-FFF2-40B4-BE49-F238E27FC236}">
              <a16:creationId xmlns:a16="http://schemas.microsoft.com/office/drawing/2014/main" id="{68B39A2A-E629-BAC8-8D18-1550E14B4A12}"/>
            </a:ext>
          </a:extLst>
        </xdr:cNvPr>
        <xdr:cNvCxnSpPr/>
      </xdr:nvCxnSpPr>
      <xdr:spPr>
        <a:xfrm>
          <a:off x="12563475" y="5073079"/>
          <a:ext cx="222250" cy="1995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63313</xdr:colOff>
      <xdr:row>16</xdr:row>
      <xdr:rowOff>217252</xdr:rowOff>
    </xdr:from>
    <xdr:to>
      <xdr:col>34</xdr:col>
      <xdr:colOff>285563</xdr:colOff>
      <xdr:row>17</xdr:row>
      <xdr:rowOff>35441</xdr:rowOff>
    </xdr:to>
    <xdr:cxnSp macro="">
      <xdr:nvCxnSpPr>
        <xdr:cNvPr id="1701" name="SCHEMA_T04_COND_0249">
          <a:extLst>
            <a:ext uri="{FF2B5EF4-FFF2-40B4-BE49-F238E27FC236}">
              <a16:creationId xmlns:a16="http://schemas.microsoft.com/office/drawing/2014/main" id="{ACCDB351-BF77-9A81-5C54-62B818ECFD46}"/>
            </a:ext>
          </a:extLst>
        </xdr:cNvPr>
        <xdr:cNvCxnSpPr/>
      </xdr:nvCxnSpPr>
      <xdr:spPr>
        <a:xfrm flipV="1">
          <a:off x="12785725" y="5028311"/>
          <a:ext cx="222250" cy="6471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291166</xdr:colOff>
      <xdr:row>17</xdr:row>
      <xdr:rowOff>63275</xdr:rowOff>
    </xdr:from>
    <xdr:to>
      <xdr:col>33</xdr:col>
      <xdr:colOff>177240</xdr:colOff>
      <xdr:row>17</xdr:row>
      <xdr:rowOff>167891</xdr:rowOff>
    </xdr:to>
    <xdr:cxnSp macro="">
      <xdr:nvCxnSpPr>
        <xdr:cNvPr id="1702" name="SCHEMA_T04_COND_0250">
          <a:extLst>
            <a:ext uri="{FF2B5EF4-FFF2-40B4-BE49-F238E27FC236}">
              <a16:creationId xmlns:a16="http://schemas.microsoft.com/office/drawing/2014/main" id="{8D37479B-AA33-1EF7-CC88-F3D6F8DFAF35}"/>
            </a:ext>
          </a:extLst>
        </xdr:cNvPr>
        <xdr:cNvCxnSpPr/>
      </xdr:nvCxnSpPr>
      <xdr:spPr>
        <a:xfrm>
          <a:off x="12341225" y="5120863"/>
          <a:ext cx="222250" cy="10461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177240</xdr:colOff>
      <xdr:row>17</xdr:row>
      <xdr:rowOff>167891</xdr:rowOff>
    </xdr:from>
    <xdr:to>
      <xdr:col>34</xdr:col>
      <xdr:colOff>63313</xdr:colOff>
      <xdr:row>17</xdr:row>
      <xdr:rowOff>187841</xdr:rowOff>
    </xdr:to>
    <xdr:cxnSp macro="">
      <xdr:nvCxnSpPr>
        <xdr:cNvPr id="1703" name="SCHEMA_T04_COND_0251">
          <a:extLst>
            <a:ext uri="{FF2B5EF4-FFF2-40B4-BE49-F238E27FC236}">
              <a16:creationId xmlns:a16="http://schemas.microsoft.com/office/drawing/2014/main" id="{4ACDB8D9-1917-7E1C-11B5-9EB963DB08C4}"/>
            </a:ext>
          </a:extLst>
        </xdr:cNvPr>
        <xdr:cNvCxnSpPr/>
      </xdr:nvCxnSpPr>
      <xdr:spPr>
        <a:xfrm>
          <a:off x="12563475" y="5225479"/>
          <a:ext cx="222250" cy="1995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63313</xdr:colOff>
      <xdr:row>17</xdr:row>
      <xdr:rowOff>123123</xdr:rowOff>
    </xdr:from>
    <xdr:to>
      <xdr:col>34</xdr:col>
      <xdr:colOff>285563</xdr:colOff>
      <xdr:row>17</xdr:row>
      <xdr:rowOff>187841</xdr:rowOff>
    </xdr:to>
    <xdr:cxnSp macro="">
      <xdr:nvCxnSpPr>
        <xdr:cNvPr id="1704" name="SCHEMA_T04_COND_0252">
          <a:extLst>
            <a:ext uri="{FF2B5EF4-FFF2-40B4-BE49-F238E27FC236}">
              <a16:creationId xmlns:a16="http://schemas.microsoft.com/office/drawing/2014/main" id="{5E5C35A4-CAE4-7E74-55B3-5B8F82B559BD}"/>
            </a:ext>
          </a:extLst>
        </xdr:cNvPr>
        <xdr:cNvCxnSpPr/>
      </xdr:nvCxnSpPr>
      <xdr:spPr>
        <a:xfrm flipV="1">
          <a:off x="12785725" y="5180711"/>
          <a:ext cx="222250" cy="6471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291166</xdr:colOff>
      <xdr:row>17</xdr:row>
      <xdr:rowOff>164875</xdr:rowOff>
    </xdr:from>
    <xdr:to>
      <xdr:col>33</xdr:col>
      <xdr:colOff>177240</xdr:colOff>
      <xdr:row>18</xdr:row>
      <xdr:rowOff>22961</xdr:rowOff>
    </xdr:to>
    <xdr:cxnSp macro="">
      <xdr:nvCxnSpPr>
        <xdr:cNvPr id="1705" name="SCHEMA_T04_COND_0253">
          <a:extLst>
            <a:ext uri="{FF2B5EF4-FFF2-40B4-BE49-F238E27FC236}">
              <a16:creationId xmlns:a16="http://schemas.microsoft.com/office/drawing/2014/main" id="{00FAD6F8-0765-BB1B-5AA5-5AA490453DD2}"/>
            </a:ext>
          </a:extLst>
        </xdr:cNvPr>
        <xdr:cNvCxnSpPr/>
      </xdr:nvCxnSpPr>
      <xdr:spPr>
        <a:xfrm>
          <a:off x="12341225" y="5222463"/>
          <a:ext cx="222250" cy="10461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177240</xdr:colOff>
      <xdr:row>18</xdr:row>
      <xdr:rowOff>22961</xdr:rowOff>
    </xdr:from>
    <xdr:to>
      <xdr:col>34</xdr:col>
      <xdr:colOff>63313</xdr:colOff>
      <xdr:row>18</xdr:row>
      <xdr:rowOff>42911</xdr:rowOff>
    </xdr:to>
    <xdr:cxnSp macro="">
      <xdr:nvCxnSpPr>
        <xdr:cNvPr id="1706" name="SCHEMA_T04_COND_0254">
          <a:extLst>
            <a:ext uri="{FF2B5EF4-FFF2-40B4-BE49-F238E27FC236}">
              <a16:creationId xmlns:a16="http://schemas.microsoft.com/office/drawing/2014/main" id="{13E3E12A-D4D7-AE74-3D72-938F9F4F818C}"/>
            </a:ext>
          </a:extLst>
        </xdr:cNvPr>
        <xdr:cNvCxnSpPr/>
      </xdr:nvCxnSpPr>
      <xdr:spPr>
        <a:xfrm>
          <a:off x="12563475" y="5327079"/>
          <a:ext cx="222250" cy="1995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63313</xdr:colOff>
      <xdr:row>17</xdr:row>
      <xdr:rowOff>224723</xdr:rowOff>
    </xdr:from>
    <xdr:to>
      <xdr:col>34</xdr:col>
      <xdr:colOff>285563</xdr:colOff>
      <xdr:row>18</xdr:row>
      <xdr:rowOff>42911</xdr:rowOff>
    </xdr:to>
    <xdr:cxnSp macro="">
      <xdr:nvCxnSpPr>
        <xdr:cNvPr id="1707" name="SCHEMA_T04_COND_0255">
          <a:extLst>
            <a:ext uri="{FF2B5EF4-FFF2-40B4-BE49-F238E27FC236}">
              <a16:creationId xmlns:a16="http://schemas.microsoft.com/office/drawing/2014/main" id="{2BD2A6CB-2339-87EE-A16C-1D1D07AB575D}"/>
            </a:ext>
          </a:extLst>
        </xdr:cNvPr>
        <xdr:cNvCxnSpPr/>
      </xdr:nvCxnSpPr>
      <xdr:spPr>
        <a:xfrm flipV="1">
          <a:off x="12785725" y="5282311"/>
          <a:ext cx="222250" cy="6471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250265</xdr:colOff>
      <xdr:row>25</xdr:row>
      <xdr:rowOff>5976</xdr:rowOff>
    </xdr:from>
    <xdr:to>
      <xdr:col>33</xdr:col>
      <xdr:colOff>326465</xdr:colOff>
      <xdr:row>25</xdr:row>
      <xdr:rowOff>82176</xdr:rowOff>
    </xdr:to>
    <xdr:sp macro="" textlink="">
      <xdr:nvSpPr>
        <xdr:cNvPr id="1708" name="SCHEMA_T04_ATTRAV_17">
          <a:extLst>
            <a:ext uri="{FF2B5EF4-FFF2-40B4-BE49-F238E27FC236}">
              <a16:creationId xmlns:a16="http://schemas.microsoft.com/office/drawing/2014/main" id="{C333709A-D019-243E-FF8F-AB5CEA90BB11}"/>
            </a:ext>
          </a:extLst>
        </xdr:cNvPr>
        <xdr:cNvSpPr/>
      </xdr:nvSpPr>
      <xdr:spPr>
        <a:xfrm>
          <a:off x="12636500" y="7035800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34</xdr:col>
      <xdr:colOff>285563</xdr:colOff>
      <xdr:row>15</xdr:row>
      <xdr:rowOff>197082</xdr:rowOff>
    </xdr:from>
    <xdr:to>
      <xdr:col>35</xdr:col>
      <xdr:colOff>171637</xdr:colOff>
      <xdr:row>16</xdr:row>
      <xdr:rowOff>15270</xdr:rowOff>
    </xdr:to>
    <xdr:cxnSp macro="">
      <xdr:nvCxnSpPr>
        <xdr:cNvPr id="1709" name="SCHEMA_T04_COND_0256">
          <a:extLst>
            <a:ext uri="{FF2B5EF4-FFF2-40B4-BE49-F238E27FC236}">
              <a16:creationId xmlns:a16="http://schemas.microsoft.com/office/drawing/2014/main" id="{0EA5DC72-CA2C-E63F-4187-A7A113B4DF56}"/>
            </a:ext>
          </a:extLst>
        </xdr:cNvPr>
        <xdr:cNvCxnSpPr/>
      </xdr:nvCxnSpPr>
      <xdr:spPr>
        <a:xfrm>
          <a:off x="13007975" y="4761611"/>
          <a:ext cx="222250" cy="64718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171637</xdr:colOff>
      <xdr:row>15</xdr:row>
      <xdr:rowOff>241850</xdr:rowOff>
    </xdr:from>
    <xdr:to>
      <xdr:col>36</xdr:col>
      <xdr:colOff>57710</xdr:colOff>
      <xdr:row>16</xdr:row>
      <xdr:rowOff>15270</xdr:rowOff>
    </xdr:to>
    <xdr:cxnSp macro="">
      <xdr:nvCxnSpPr>
        <xdr:cNvPr id="1710" name="SCHEMA_T04_COND_0257">
          <a:extLst>
            <a:ext uri="{FF2B5EF4-FFF2-40B4-BE49-F238E27FC236}">
              <a16:creationId xmlns:a16="http://schemas.microsoft.com/office/drawing/2014/main" id="{5390CCA7-E27D-50FD-0516-6D1A38D5722A}"/>
            </a:ext>
          </a:extLst>
        </xdr:cNvPr>
        <xdr:cNvCxnSpPr/>
      </xdr:nvCxnSpPr>
      <xdr:spPr>
        <a:xfrm flipV="1">
          <a:off x="13230225" y="4806379"/>
          <a:ext cx="222250" cy="19950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57710</xdr:colOff>
      <xdr:row>15</xdr:row>
      <xdr:rowOff>137234</xdr:rowOff>
    </xdr:from>
    <xdr:to>
      <xdr:col>36</xdr:col>
      <xdr:colOff>279960</xdr:colOff>
      <xdr:row>15</xdr:row>
      <xdr:rowOff>241850</xdr:rowOff>
    </xdr:to>
    <xdr:cxnSp macro="">
      <xdr:nvCxnSpPr>
        <xdr:cNvPr id="1711" name="SCHEMA_T04_COND_0258">
          <a:extLst>
            <a:ext uri="{FF2B5EF4-FFF2-40B4-BE49-F238E27FC236}">
              <a16:creationId xmlns:a16="http://schemas.microsoft.com/office/drawing/2014/main" id="{77AFCA48-D111-EF26-6526-F1D04980C54E}"/>
            </a:ext>
          </a:extLst>
        </xdr:cNvPr>
        <xdr:cNvCxnSpPr/>
      </xdr:nvCxnSpPr>
      <xdr:spPr>
        <a:xfrm flipV="1">
          <a:off x="13452475" y="4701763"/>
          <a:ext cx="222250" cy="104616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285563</xdr:colOff>
      <xdr:row>16</xdr:row>
      <xdr:rowOff>115652</xdr:rowOff>
    </xdr:from>
    <xdr:to>
      <xdr:col>35</xdr:col>
      <xdr:colOff>171637</xdr:colOff>
      <xdr:row>16</xdr:row>
      <xdr:rowOff>180370</xdr:rowOff>
    </xdr:to>
    <xdr:cxnSp macro="">
      <xdr:nvCxnSpPr>
        <xdr:cNvPr id="1712" name="SCHEMA_T04_COND_0259">
          <a:extLst>
            <a:ext uri="{FF2B5EF4-FFF2-40B4-BE49-F238E27FC236}">
              <a16:creationId xmlns:a16="http://schemas.microsoft.com/office/drawing/2014/main" id="{849AD8A3-397A-83E0-3E39-006F55B47DC1}"/>
            </a:ext>
          </a:extLst>
        </xdr:cNvPr>
        <xdr:cNvCxnSpPr/>
      </xdr:nvCxnSpPr>
      <xdr:spPr>
        <a:xfrm>
          <a:off x="13007975" y="4926711"/>
          <a:ext cx="222250" cy="6471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171637</xdr:colOff>
      <xdr:row>16</xdr:row>
      <xdr:rowOff>160420</xdr:rowOff>
    </xdr:from>
    <xdr:to>
      <xdr:col>36</xdr:col>
      <xdr:colOff>57710</xdr:colOff>
      <xdr:row>16</xdr:row>
      <xdr:rowOff>180370</xdr:rowOff>
    </xdr:to>
    <xdr:cxnSp macro="">
      <xdr:nvCxnSpPr>
        <xdr:cNvPr id="1713" name="SCHEMA_T04_COND_0260">
          <a:extLst>
            <a:ext uri="{FF2B5EF4-FFF2-40B4-BE49-F238E27FC236}">
              <a16:creationId xmlns:a16="http://schemas.microsoft.com/office/drawing/2014/main" id="{A43EA2C9-BD5F-4DF9-7EB3-E50B2AF9994F}"/>
            </a:ext>
          </a:extLst>
        </xdr:cNvPr>
        <xdr:cNvCxnSpPr/>
      </xdr:nvCxnSpPr>
      <xdr:spPr>
        <a:xfrm flipV="1">
          <a:off x="13230225" y="4971479"/>
          <a:ext cx="222250" cy="1995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57710</xdr:colOff>
      <xdr:row>16</xdr:row>
      <xdr:rowOff>55804</xdr:rowOff>
    </xdr:from>
    <xdr:to>
      <xdr:col>36</xdr:col>
      <xdr:colOff>279960</xdr:colOff>
      <xdr:row>16</xdr:row>
      <xdr:rowOff>160420</xdr:rowOff>
    </xdr:to>
    <xdr:cxnSp macro="">
      <xdr:nvCxnSpPr>
        <xdr:cNvPr id="1714" name="SCHEMA_T04_COND_0261">
          <a:extLst>
            <a:ext uri="{FF2B5EF4-FFF2-40B4-BE49-F238E27FC236}">
              <a16:creationId xmlns:a16="http://schemas.microsoft.com/office/drawing/2014/main" id="{38B8D907-B463-E956-9714-CE3AD4C70E5A}"/>
            </a:ext>
          </a:extLst>
        </xdr:cNvPr>
        <xdr:cNvCxnSpPr/>
      </xdr:nvCxnSpPr>
      <xdr:spPr>
        <a:xfrm flipV="1">
          <a:off x="13452475" y="4866863"/>
          <a:ext cx="222250" cy="10461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285563</xdr:colOff>
      <xdr:row>16</xdr:row>
      <xdr:rowOff>217252</xdr:rowOff>
    </xdr:from>
    <xdr:to>
      <xdr:col>35</xdr:col>
      <xdr:colOff>171637</xdr:colOff>
      <xdr:row>17</xdr:row>
      <xdr:rowOff>35441</xdr:rowOff>
    </xdr:to>
    <xdr:cxnSp macro="">
      <xdr:nvCxnSpPr>
        <xdr:cNvPr id="1715" name="SCHEMA_T04_COND_0262">
          <a:extLst>
            <a:ext uri="{FF2B5EF4-FFF2-40B4-BE49-F238E27FC236}">
              <a16:creationId xmlns:a16="http://schemas.microsoft.com/office/drawing/2014/main" id="{18C56879-2803-2AE9-9936-96D19B6BFE0E}"/>
            </a:ext>
          </a:extLst>
        </xdr:cNvPr>
        <xdr:cNvCxnSpPr/>
      </xdr:nvCxnSpPr>
      <xdr:spPr>
        <a:xfrm>
          <a:off x="13007975" y="5028311"/>
          <a:ext cx="222250" cy="6471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171637</xdr:colOff>
      <xdr:row>17</xdr:row>
      <xdr:rowOff>15491</xdr:rowOff>
    </xdr:from>
    <xdr:to>
      <xdr:col>36</xdr:col>
      <xdr:colOff>57710</xdr:colOff>
      <xdr:row>17</xdr:row>
      <xdr:rowOff>35441</xdr:rowOff>
    </xdr:to>
    <xdr:cxnSp macro="">
      <xdr:nvCxnSpPr>
        <xdr:cNvPr id="1716" name="SCHEMA_T04_COND_0263">
          <a:extLst>
            <a:ext uri="{FF2B5EF4-FFF2-40B4-BE49-F238E27FC236}">
              <a16:creationId xmlns:a16="http://schemas.microsoft.com/office/drawing/2014/main" id="{41A33C73-2AD1-F0FF-23F4-24212B1D30D2}"/>
            </a:ext>
          </a:extLst>
        </xdr:cNvPr>
        <xdr:cNvCxnSpPr/>
      </xdr:nvCxnSpPr>
      <xdr:spPr>
        <a:xfrm flipV="1">
          <a:off x="13230225" y="5073079"/>
          <a:ext cx="222250" cy="1995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57710</xdr:colOff>
      <xdr:row>16</xdr:row>
      <xdr:rowOff>157404</xdr:rowOff>
    </xdr:from>
    <xdr:to>
      <xdr:col>36</xdr:col>
      <xdr:colOff>279960</xdr:colOff>
      <xdr:row>17</xdr:row>
      <xdr:rowOff>15491</xdr:rowOff>
    </xdr:to>
    <xdr:cxnSp macro="">
      <xdr:nvCxnSpPr>
        <xdr:cNvPr id="1717" name="SCHEMA_T04_COND_0264">
          <a:extLst>
            <a:ext uri="{FF2B5EF4-FFF2-40B4-BE49-F238E27FC236}">
              <a16:creationId xmlns:a16="http://schemas.microsoft.com/office/drawing/2014/main" id="{93E48CFF-9C5D-C285-C07C-F775D1A47362}"/>
            </a:ext>
          </a:extLst>
        </xdr:cNvPr>
        <xdr:cNvCxnSpPr/>
      </xdr:nvCxnSpPr>
      <xdr:spPr>
        <a:xfrm flipV="1">
          <a:off x="13452475" y="4968463"/>
          <a:ext cx="222250" cy="10461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285563</xdr:colOff>
      <xdr:row>17</xdr:row>
      <xdr:rowOff>123123</xdr:rowOff>
    </xdr:from>
    <xdr:to>
      <xdr:col>35</xdr:col>
      <xdr:colOff>171637</xdr:colOff>
      <xdr:row>17</xdr:row>
      <xdr:rowOff>187841</xdr:rowOff>
    </xdr:to>
    <xdr:cxnSp macro="">
      <xdr:nvCxnSpPr>
        <xdr:cNvPr id="1718" name="SCHEMA_T04_COND_0265">
          <a:extLst>
            <a:ext uri="{FF2B5EF4-FFF2-40B4-BE49-F238E27FC236}">
              <a16:creationId xmlns:a16="http://schemas.microsoft.com/office/drawing/2014/main" id="{9BC21EEC-B8FA-F17C-FF41-829F596331FC}"/>
            </a:ext>
          </a:extLst>
        </xdr:cNvPr>
        <xdr:cNvCxnSpPr/>
      </xdr:nvCxnSpPr>
      <xdr:spPr>
        <a:xfrm>
          <a:off x="13007975" y="5180711"/>
          <a:ext cx="222250" cy="6471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171637</xdr:colOff>
      <xdr:row>17</xdr:row>
      <xdr:rowOff>167891</xdr:rowOff>
    </xdr:from>
    <xdr:to>
      <xdr:col>36</xdr:col>
      <xdr:colOff>57710</xdr:colOff>
      <xdr:row>17</xdr:row>
      <xdr:rowOff>187841</xdr:rowOff>
    </xdr:to>
    <xdr:cxnSp macro="">
      <xdr:nvCxnSpPr>
        <xdr:cNvPr id="1719" name="SCHEMA_T04_COND_0266">
          <a:extLst>
            <a:ext uri="{FF2B5EF4-FFF2-40B4-BE49-F238E27FC236}">
              <a16:creationId xmlns:a16="http://schemas.microsoft.com/office/drawing/2014/main" id="{CAF78F1A-3E78-D955-D213-3B87FC59FEFA}"/>
            </a:ext>
          </a:extLst>
        </xdr:cNvPr>
        <xdr:cNvCxnSpPr/>
      </xdr:nvCxnSpPr>
      <xdr:spPr>
        <a:xfrm flipV="1">
          <a:off x="13230225" y="5225479"/>
          <a:ext cx="222250" cy="1995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57710</xdr:colOff>
      <xdr:row>17</xdr:row>
      <xdr:rowOff>63275</xdr:rowOff>
    </xdr:from>
    <xdr:to>
      <xdr:col>36</xdr:col>
      <xdr:colOff>279960</xdr:colOff>
      <xdr:row>17</xdr:row>
      <xdr:rowOff>167891</xdr:rowOff>
    </xdr:to>
    <xdr:cxnSp macro="">
      <xdr:nvCxnSpPr>
        <xdr:cNvPr id="1720" name="SCHEMA_T04_COND_0267">
          <a:extLst>
            <a:ext uri="{FF2B5EF4-FFF2-40B4-BE49-F238E27FC236}">
              <a16:creationId xmlns:a16="http://schemas.microsoft.com/office/drawing/2014/main" id="{4C583FF5-478E-3AE5-E576-2717912AA87A}"/>
            </a:ext>
          </a:extLst>
        </xdr:cNvPr>
        <xdr:cNvCxnSpPr/>
      </xdr:nvCxnSpPr>
      <xdr:spPr>
        <a:xfrm flipV="1">
          <a:off x="13452475" y="5120863"/>
          <a:ext cx="222250" cy="10461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285563</xdr:colOff>
      <xdr:row>17</xdr:row>
      <xdr:rowOff>224723</xdr:rowOff>
    </xdr:from>
    <xdr:to>
      <xdr:col>35</xdr:col>
      <xdr:colOff>171637</xdr:colOff>
      <xdr:row>18</xdr:row>
      <xdr:rowOff>42911</xdr:rowOff>
    </xdr:to>
    <xdr:cxnSp macro="">
      <xdr:nvCxnSpPr>
        <xdr:cNvPr id="1721" name="SCHEMA_T04_COND_0268">
          <a:extLst>
            <a:ext uri="{FF2B5EF4-FFF2-40B4-BE49-F238E27FC236}">
              <a16:creationId xmlns:a16="http://schemas.microsoft.com/office/drawing/2014/main" id="{A51F7823-C564-08F2-D854-200AB4E010BD}"/>
            </a:ext>
          </a:extLst>
        </xdr:cNvPr>
        <xdr:cNvCxnSpPr/>
      </xdr:nvCxnSpPr>
      <xdr:spPr>
        <a:xfrm>
          <a:off x="13007975" y="5282311"/>
          <a:ext cx="222250" cy="6471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171637</xdr:colOff>
      <xdr:row>18</xdr:row>
      <xdr:rowOff>22961</xdr:rowOff>
    </xdr:from>
    <xdr:to>
      <xdr:col>36</xdr:col>
      <xdr:colOff>57710</xdr:colOff>
      <xdr:row>18</xdr:row>
      <xdr:rowOff>42911</xdr:rowOff>
    </xdr:to>
    <xdr:cxnSp macro="">
      <xdr:nvCxnSpPr>
        <xdr:cNvPr id="1722" name="SCHEMA_T04_COND_0269">
          <a:extLst>
            <a:ext uri="{FF2B5EF4-FFF2-40B4-BE49-F238E27FC236}">
              <a16:creationId xmlns:a16="http://schemas.microsoft.com/office/drawing/2014/main" id="{7D0EB03B-C629-2350-FDE1-897EEA383BDA}"/>
            </a:ext>
          </a:extLst>
        </xdr:cNvPr>
        <xdr:cNvCxnSpPr/>
      </xdr:nvCxnSpPr>
      <xdr:spPr>
        <a:xfrm flipV="1">
          <a:off x="13230225" y="5327079"/>
          <a:ext cx="222250" cy="1995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57710</xdr:colOff>
      <xdr:row>17</xdr:row>
      <xdr:rowOff>164875</xdr:rowOff>
    </xdr:from>
    <xdr:to>
      <xdr:col>36</xdr:col>
      <xdr:colOff>279960</xdr:colOff>
      <xdr:row>18</xdr:row>
      <xdr:rowOff>22961</xdr:rowOff>
    </xdr:to>
    <xdr:cxnSp macro="">
      <xdr:nvCxnSpPr>
        <xdr:cNvPr id="1723" name="SCHEMA_T04_COND_0270">
          <a:extLst>
            <a:ext uri="{FF2B5EF4-FFF2-40B4-BE49-F238E27FC236}">
              <a16:creationId xmlns:a16="http://schemas.microsoft.com/office/drawing/2014/main" id="{CB5B4603-FAF2-2674-DA32-B959C5A0B693}"/>
            </a:ext>
          </a:extLst>
        </xdr:cNvPr>
        <xdr:cNvCxnSpPr/>
      </xdr:nvCxnSpPr>
      <xdr:spPr>
        <a:xfrm flipV="1">
          <a:off x="13452475" y="5222463"/>
          <a:ext cx="222250" cy="10461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244662</xdr:colOff>
      <xdr:row>25</xdr:row>
      <xdr:rowOff>5976</xdr:rowOff>
    </xdr:from>
    <xdr:to>
      <xdr:col>35</xdr:col>
      <xdr:colOff>320862</xdr:colOff>
      <xdr:row>25</xdr:row>
      <xdr:rowOff>82176</xdr:rowOff>
    </xdr:to>
    <xdr:sp macro="" textlink="">
      <xdr:nvSpPr>
        <xdr:cNvPr id="1724" name="SCHEMA_T04_ATTRAV_18">
          <a:extLst>
            <a:ext uri="{FF2B5EF4-FFF2-40B4-BE49-F238E27FC236}">
              <a16:creationId xmlns:a16="http://schemas.microsoft.com/office/drawing/2014/main" id="{BE72CB50-C112-4DD7-6E90-3F94F13D3AE9}"/>
            </a:ext>
          </a:extLst>
        </xdr:cNvPr>
        <xdr:cNvSpPr/>
      </xdr:nvSpPr>
      <xdr:spPr>
        <a:xfrm>
          <a:off x="13303250" y="7035800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36</xdr:col>
      <xdr:colOff>279960</xdr:colOff>
      <xdr:row>15</xdr:row>
      <xdr:rowOff>137234</xdr:rowOff>
    </xdr:from>
    <xdr:to>
      <xdr:col>37</xdr:col>
      <xdr:colOff>166034</xdr:colOff>
      <xdr:row>15</xdr:row>
      <xdr:rowOff>205277</xdr:rowOff>
    </xdr:to>
    <xdr:cxnSp macro="">
      <xdr:nvCxnSpPr>
        <xdr:cNvPr id="1725" name="SCHEMA_T04_COND_0271">
          <a:extLst>
            <a:ext uri="{FF2B5EF4-FFF2-40B4-BE49-F238E27FC236}">
              <a16:creationId xmlns:a16="http://schemas.microsoft.com/office/drawing/2014/main" id="{6EF618E0-8E76-8264-4FDF-E0A3F72EE8D2}"/>
            </a:ext>
          </a:extLst>
        </xdr:cNvPr>
        <xdr:cNvCxnSpPr/>
      </xdr:nvCxnSpPr>
      <xdr:spPr>
        <a:xfrm>
          <a:off x="13674725" y="4701763"/>
          <a:ext cx="222250" cy="68043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166034</xdr:colOff>
      <xdr:row>15</xdr:row>
      <xdr:rowOff>188653</xdr:rowOff>
    </xdr:from>
    <xdr:to>
      <xdr:col>38</xdr:col>
      <xdr:colOff>52107</xdr:colOff>
      <xdr:row>15</xdr:row>
      <xdr:rowOff>205277</xdr:rowOff>
    </xdr:to>
    <xdr:cxnSp macro="">
      <xdr:nvCxnSpPr>
        <xdr:cNvPr id="1726" name="SCHEMA_T04_COND_0272">
          <a:extLst>
            <a:ext uri="{FF2B5EF4-FFF2-40B4-BE49-F238E27FC236}">
              <a16:creationId xmlns:a16="http://schemas.microsoft.com/office/drawing/2014/main" id="{9A69A9A8-E0D6-D6A3-1FEF-F03D3FAA231A}"/>
            </a:ext>
          </a:extLst>
        </xdr:cNvPr>
        <xdr:cNvCxnSpPr/>
      </xdr:nvCxnSpPr>
      <xdr:spPr>
        <a:xfrm flipV="1">
          <a:off x="13896975" y="4753182"/>
          <a:ext cx="222250" cy="16624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52107</xdr:colOff>
      <xdr:row>15</xdr:row>
      <xdr:rowOff>87361</xdr:rowOff>
    </xdr:from>
    <xdr:to>
      <xdr:col>38</xdr:col>
      <xdr:colOff>274357</xdr:colOff>
      <xdr:row>15</xdr:row>
      <xdr:rowOff>188653</xdr:rowOff>
    </xdr:to>
    <xdr:cxnSp macro="">
      <xdr:nvCxnSpPr>
        <xdr:cNvPr id="1727" name="SCHEMA_T04_COND_0273">
          <a:extLst>
            <a:ext uri="{FF2B5EF4-FFF2-40B4-BE49-F238E27FC236}">
              <a16:creationId xmlns:a16="http://schemas.microsoft.com/office/drawing/2014/main" id="{B5A2D302-F3CE-F2D7-8800-0E035DE476F4}"/>
            </a:ext>
          </a:extLst>
        </xdr:cNvPr>
        <xdr:cNvCxnSpPr/>
      </xdr:nvCxnSpPr>
      <xdr:spPr>
        <a:xfrm flipV="1">
          <a:off x="14119225" y="4651890"/>
          <a:ext cx="222250" cy="101292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279960</xdr:colOff>
      <xdr:row>16</xdr:row>
      <xdr:rowOff>55804</xdr:rowOff>
    </xdr:from>
    <xdr:to>
      <xdr:col>37</xdr:col>
      <xdr:colOff>166034</xdr:colOff>
      <xdr:row>16</xdr:row>
      <xdr:rowOff>123847</xdr:rowOff>
    </xdr:to>
    <xdr:cxnSp macro="">
      <xdr:nvCxnSpPr>
        <xdr:cNvPr id="1728" name="SCHEMA_T04_COND_0274">
          <a:extLst>
            <a:ext uri="{FF2B5EF4-FFF2-40B4-BE49-F238E27FC236}">
              <a16:creationId xmlns:a16="http://schemas.microsoft.com/office/drawing/2014/main" id="{7F0C2CB7-28A8-3D9C-9B99-08A2396BA3CC}"/>
            </a:ext>
          </a:extLst>
        </xdr:cNvPr>
        <xdr:cNvCxnSpPr/>
      </xdr:nvCxnSpPr>
      <xdr:spPr>
        <a:xfrm>
          <a:off x="13674725" y="4866863"/>
          <a:ext cx="222250" cy="6804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166034</xdr:colOff>
      <xdr:row>16</xdr:row>
      <xdr:rowOff>107223</xdr:rowOff>
    </xdr:from>
    <xdr:to>
      <xdr:col>38</xdr:col>
      <xdr:colOff>52107</xdr:colOff>
      <xdr:row>16</xdr:row>
      <xdr:rowOff>123847</xdr:rowOff>
    </xdr:to>
    <xdr:cxnSp macro="">
      <xdr:nvCxnSpPr>
        <xdr:cNvPr id="1729" name="SCHEMA_T04_COND_0275">
          <a:extLst>
            <a:ext uri="{FF2B5EF4-FFF2-40B4-BE49-F238E27FC236}">
              <a16:creationId xmlns:a16="http://schemas.microsoft.com/office/drawing/2014/main" id="{FC08F8E2-AFEA-ACAE-0BFC-EC1CCD0FA40C}"/>
            </a:ext>
          </a:extLst>
        </xdr:cNvPr>
        <xdr:cNvCxnSpPr/>
      </xdr:nvCxnSpPr>
      <xdr:spPr>
        <a:xfrm flipV="1">
          <a:off x="13896975" y="4918282"/>
          <a:ext cx="222250" cy="16624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52107</xdr:colOff>
      <xdr:row>16</xdr:row>
      <xdr:rowOff>5931</xdr:rowOff>
    </xdr:from>
    <xdr:to>
      <xdr:col>38</xdr:col>
      <xdr:colOff>274357</xdr:colOff>
      <xdr:row>16</xdr:row>
      <xdr:rowOff>107223</xdr:rowOff>
    </xdr:to>
    <xdr:cxnSp macro="">
      <xdr:nvCxnSpPr>
        <xdr:cNvPr id="1730" name="SCHEMA_T04_COND_0276">
          <a:extLst>
            <a:ext uri="{FF2B5EF4-FFF2-40B4-BE49-F238E27FC236}">
              <a16:creationId xmlns:a16="http://schemas.microsoft.com/office/drawing/2014/main" id="{97348C3C-F88B-5ABE-28C9-B9DFCA90197F}"/>
            </a:ext>
          </a:extLst>
        </xdr:cNvPr>
        <xdr:cNvCxnSpPr/>
      </xdr:nvCxnSpPr>
      <xdr:spPr>
        <a:xfrm flipV="1">
          <a:off x="14119225" y="4816990"/>
          <a:ext cx="222250" cy="10129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279960</xdr:colOff>
      <xdr:row>16</xdr:row>
      <xdr:rowOff>157404</xdr:rowOff>
    </xdr:from>
    <xdr:to>
      <xdr:col>37</xdr:col>
      <xdr:colOff>166034</xdr:colOff>
      <xdr:row>16</xdr:row>
      <xdr:rowOff>225447</xdr:rowOff>
    </xdr:to>
    <xdr:cxnSp macro="">
      <xdr:nvCxnSpPr>
        <xdr:cNvPr id="1731" name="SCHEMA_T04_COND_0277">
          <a:extLst>
            <a:ext uri="{FF2B5EF4-FFF2-40B4-BE49-F238E27FC236}">
              <a16:creationId xmlns:a16="http://schemas.microsoft.com/office/drawing/2014/main" id="{B1128789-D451-001A-A9BE-FDB42D482D81}"/>
            </a:ext>
          </a:extLst>
        </xdr:cNvPr>
        <xdr:cNvCxnSpPr/>
      </xdr:nvCxnSpPr>
      <xdr:spPr>
        <a:xfrm>
          <a:off x="13674725" y="4968463"/>
          <a:ext cx="222250" cy="6804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166034</xdr:colOff>
      <xdr:row>16</xdr:row>
      <xdr:rowOff>208823</xdr:rowOff>
    </xdr:from>
    <xdr:to>
      <xdr:col>38</xdr:col>
      <xdr:colOff>52107</xdr:colOff>
      <xdr:row>16</xdr:row>
      <xdr:rowOff>225447</xdr:rowOff>
    </xdr:to>
    <xdr:cxnSp macro="">
      <xdr:nvCxnSpPr>
        <xdr:cNvPr id="1732" name="SCHEMA_T04_COND_0278">
          <a:extLst>
            <a:ext uri="{FF2B5EF4-FFF2-40B4-BE49-F238E27FC236}">
              <a16:creationId xmlns:a16="http://schemas.microsoft.com/office/drawing/2014/main" id="{B2EF5A7E-4194-7464-5122-F6E8E12A6BA1}"/>
            </a:ext>
          </a:extLst>
        </xdr:cNvPr>
        <xdr:cNvCxnSpPr/>
      </xdr:nvCxnSpPr>
      <xdr:spPr>
        <a:xfrm flipV="1">
          <a:off x="13896975" y="5019882"/>
          <a:ext cx="222250" cy="16624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52107</xdr:colOff>
      <xdr:row>16</xdr:row>
      <xdr:rowOff>107531</xdr:rowOff>
    </xdr:from>
    <xdr:to>
      <xdr:col>38</xdr:col>
      <xdr:colOff>274357</xdr:colOff>
      <xdr:row>16</xdr:row>
      <xdr:rowOff>208823</xdr:rowOff>
    </xdr:to>
    <xdr:cxnSp macro="">
      <xdr:nvCxnSpPr>
        <xdr:cNvPr id="1733" name="SCHEMA_T04_COND_0279">
          <a:extLst>
            <a:ext uri="{FF2B5EF4-FFF2-40B4-BE49-F238E27FC236}">
              <a16:creationId xmlns:a16="http://schemas.microsoft.com/office/drawing/2014/main" id="{5E905436-0A04-E8EF-1D86-9313205C7E02}"/>
            </a:ext>
          </a:extLst>
        </xdr:cNvPr>
        <xdr:cNvCxnSpPr/>
      </xdr:nvCxnSpPr>
      <xdr:spPr>
        <a:xfrm flipV="1">
          <a:off x="14119225" y="4918590"/>
          <a:ext cx="222250" cy="10129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279960</xdr:colOff>
      <xdr:row>17</xdr:row>
      <xdr:rowOff>63275</xdr:rowOff>
    </xdr:from>
    <xdr:to>
      <xdr:col>37</xdr:col>
      <xdr:colOff>166034</xdr:colOff>
      <xdr:row>17</xdr:row>
      <xdr:rowOff>131318</xdr:rowOff>
    </xdr:to>
    <xdr:cxnSp macro="">
      <xdr:nvCxnSpPr>
        <xdr:cNvPr id="1734" name="SCHEMA_T04_COND_0280">
          <a:extLst>
            <a:ext uri="{FF2B5EF4-FFF2-40B4-BE49-F238E27FC236}">
              <a16:creationId xmlns:a16="http://schemas.microsoft.com/office/drawing/2014/main" id="{600FC57A-477F-FFD1-592D-154992D214A2}"/>
            </a:ext>
          </a:extLst>
        </xdr:cNvPr>
        <xdr:cNvCxnSpPr/>
      </xdr:nvCxnSpPr>
      <xdr:spPr>
        <a:xfrm>
          <a:off x="13674725" y="5120863"/>
          <a:ext cx="222250" cy="6804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166034</xdr:colOff>
      <xdr:row>17</xdr:row>
      <xdr:rowOff>114694</xdr:rowOff>
    </xdr:from>
    <xdr:to>
      <xdr:col>38</xdr:col>
      <xdr:colOff>52107</xdr:colOff>
      <xdr:row>17</xdr:row>
      <xdr:rowOff>131318</xdr:rowOff>
    </xdr:to>
    <xdr:cxnSp macro="">
      <xdr:nvCxnSpPr>
        <xdr:cNvPr id="1735" name="SCHEMA_T04_COND_0281">
          <a:extLst>
            <a:ext uri="{FF2B5EF4-FFF2-40B4-BE49-F238E27FC236}">
              <a16:creationId xmlns:a16="http://schemas.microsoft.com/office/drawing/2014/main" id="{8B453F90-E0E4-C597-24B6-37B63267D73D}"/>
            </a:ext>
          </a:extLst>
        </xdr:cNvPr>
        <xdr:cNvCxnSpPr/>
      </xdr:nvCxnSpPr>
      <xdr:spPr>
        <a:xfrm flipV="1">
          <a:off x="13896975" y="5172282"/>
          <a:ext cx="222250" cy="16624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52107</xdr:colOff>
      <xdr:row>17</xdr:row>
      <xdr:rowOff>13402</xdr:rowOff>
    </xdr:from>
    <xdr:to>
      <xdr:col>38</xdr:col>
      <xdr:colOff>274357</xdr:colOff>
      <xdr:row>17</xdr:row>
      <xdr:rowOff>114694</xdr:rowOff>
    </xdr:to>
    <xdr:cxnSp macro="">
      <xdr:nvCxnSpPr>
        <xdr:cNvPr id="1736" name="SCHEMA_T04_COND_0282">
          <a:extLst>
            <a:ext uri="{FF2B5EF4-FFF2-40B4-BE49-F238E27FC236}">
              <a16:creationId xmlns:a16="http://schemas.microsoft.com/office/drawing/2014/main" id="{2BC8C458-7E33-FEE1-F526-E91244CDC9C0}"/>
            </a:ext>
          </a:extLst>
        </xdr:cNvPr>
        <xdr:cNvCxnSpPr/>
      </xdr:nvCxnSpPr>
      <xdr:spPr>
        <a:xfrm flipV="1">
          <a:off x="14119225" y="5070990"/>
          <a:ext cx="222250" cy="10129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279960</xdr:colOff>
      <xdr:row>17</xdr:row>
      <xdr:rowOff>164875</xdr:rowOff>
    </xdr:from>
    <xdr:to>
      <xdr:col>37</xdr:col>
      <xdr:colOff>166034</xdr:colOff>
      <xdr:row>17</xdr:row>
      <xdr:rowOff>232918</xdr:rowOff>
    </xdr:to>
    <xdr:cxnSp macro="">
      <xdr:nvCxnSpPr>
        <xdr:cNvPr id="1737" name="SCHEMA_T04_COND_0283">
          <a:extLst>
            <a:ext uri="{FF2B5EF4-FFF2-40B4-BE49-F238E27FC236}">
              <a16:creationId xmlns:a16="http://schemas.microsoft.com/office/drawing/2014/main" id="{D8A723AF-FE98-DCF3-C566-9ED4A2A4E8D2}"/>
            </a:ext>
          </a:extLst>
        </xdr:cNvPr>
        <xdr:cNvCxnSpPr/>
      </xdr:nvCxnSpPr>
      <xdr:spPr>
        <a:xfrm>
          <a:off x="13674725" y="5222463"/>
          <a:ext cx="222250" cy="6804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166034</xdr:colOff>
      <xdr:row>17</xdr:row>
      <xdr:rowOff>216294</xdr:rowOff>
    </xdr:from>
    <xdr:to>
      <xdr:col>38</xdr:col>
      <xdr:colOff>52107</xdr:colOff>
      <xdr:row>17</xdr:row>
      <xdr:rowOff>232918</xdr:rowOff>
    </xdr:to>
    <xdr:cxnSp macro="">
      <xdr:nvCxnSpPr>
        <xdr:cNvPr id="1738" name="SCHEMA_T04_COND_0284">
          <a:extLst>
            <a:ext uri="{FF2B5EF4-FFF2-40B4-BE49-F238E27FC236}">
              <a16:creationId xmlns:a16="http://schemas.microsoft.com/office/drawing/2014/main" id="{2B024D37-7E70-0899-4D92-46BFCB19AB01}"/>
            </a:ext>
          </a:extLst>
        </xdr:cNvPr>
        <xdr:cNvCxnSpPr/>
      </xdr:nvCxnSpPr>
      <xdr:spPr>
        <a:xfrm flipV="1">
          <a:off x="13896975" y="5273882"/>
          <a:ext cx="222250" cy="16624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52107</xdr:colOff>
      <xdr:row>17</xdr:row>
      <xdr:rowOff>115002</xdr:rowOff>
    </xdr:from>
    <xdr:to>
      <xdr:col>38</xdr:col>
      <xdr:colOff>274357</xdr:colOff>
      <xdr:row>17</xdr:row>
      <xdr:rowOff>216294</xdr:rowOff>
    </xdr:to>
    <xdr:cxnSp macro="">
      <xdr:nvCxnSpPr>
        <xdr:cNvPr id="1739" name="SCHEMA_T04_COND_0285">
          <a:extLst>
            <a:ext uri="{FF2B5EF4-FFF2-40B4-BE49-F238E27FC236}">
              <a16:creationId xmlns:a16="http://schemas.microsoft.com/office/drawing/2014/main" id="{98FB6A63-D886-1415-2035-E2B2F1DCEAA0}"/>
            </a:ext>
          </a:extLst>
        </xdr:cNvPr>
        <xdr:cNvCxnSpPr/>
      </xdr:nvCxnSpPr>
      <xdr:spPr>
        <a:xfrm flipV="1">
          <a:off x="14119225" y="5172590"/>
          <a:ext cx="222250" cy="10129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239059</xdr:colOff>
      <xdr:row>25</xdr:row>
      <xdr:rowOff>5976</xdr:rowOff>
    </xdr:from>
    <xdr:to>
      <xdr:col>37</xdr:col>
      <xdr:colOff>315259</xdr:colOff>
      <xdr:row>25</xdr:row>
      <xdr:rowOff>82176</xdr:rowOff>
    </xdr:to>
    <xdr:sp macro="" textlink="">
      <xdr:nvSpPr>
        <xdr:cNvPr id="1740" name="SCHEMA_T04_ATTRAV_19">
          <a:extLst>
            <a:ext uri="{FF2B5EF4-FFF2-40B4-BE49-F238E27FC236}">
              <a16:creationId xmlns:a16="http://schemas.microsoft.com/office/drawing/2014/main" id="{34385388-377A-4F02-735D-7197F8038D82}"/>
            </a:ext>
          </a:extLst>
        </xdr:cNvPr>
        <xdr:cNvSpPr/>
      </xdr:nvSpPr>
      <xdr:spPr>
        <a:xfrm>
          <a:off x="13970000" y="7035800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1266825</xdr:colOff>
      <xdr:row>24</xdr:row>
      <xdr:rowOff>112806</xdr:rowOff>
    </xdr:from>
    <xdr:to>
      <xdr:col>0</xdr:col>
      <xdr:colOff>1520825</xdr:colOff>
      <xdr:row>24</xdr:row>
      <xdr:rowOff>239806</xdr:rowOff>
    </xdr:to>
    <xdr:sp macro="" textlink="">
      <xdr:nvSpPr>
        <xdr:cNvPr id="1741" name="SCHEMA_T04_FRENO_CORPO">
          <a:extLst>
            <a:ext uri="{FF2B5EF4-FFF2-40B4-BE49-F238E27FC236}">
              <a16:creationId xmlns:a16="http://schemas.microsoft.com/office/drawing/2014/main" id="{B0951738-C03D-30BD-75A5-79AFF2472942}"/>
            </a:ext>
          </a:extLst>
        </xdr:cNvPr>
        <xdr:cNvSpPr/>
      </xdr:nvSpPr>
      <xdr:spPr>
        <a:xfrm>
          <a:off x="1266825" y="6896100"/>
          <a:ext cx="254000" cy="127000"/>
        </a:xfrm>
        <a:prstGeom prst="rect">
          <a:avLst/>
        </a:prstGeom>
        <a:solidFill>
          <a:srgbClr val="003F87">
            <a:alpha val="90000"/>
          </a:srgbClr>
        </a:solidFill>
        <a:ln w="17780">
          <a:solidFill>
            <a:srgbClr val="003F8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1279525</xdr:colOff>
      <xdr:row>24</xdr:row>
      <xdr:rowOff>214406</xdr:rowOff>
    </xdr:from>
    <xdr:to>
      <xdr:col>0</xdr:col>
      <xdr:colOff>1355725</xdr:colOff>
      <xdr:row>25</xdr:row>
      <xdr:rowOff>44076</xdr:rowOff>
    </xdr:to>
    <xdr:sp macro="" textlink="">
      <xdr:nvSpPr>
        <xdr:cNvPr id="1742" name="SCHEMA_T04_FRENO_RUOTA_1">
          <a:extLst>
            <a:ext uri="{FF2B5EF4-FFF2-40B4-BE49-F238E27FC236}">
              <a16:creationId xmlns:a16="http://schemas.microsoft.com/office/drawing/2014/main" id="{FE44FE3D-4115-FDDC-6D48-8E9675951F01}"/>
            </a:ext>
          </a:extLst>
        </xdr:cNvPr>
        <xdr:cNvSpPr/>
      </xdr:nvSpPr>
      <xdr:spPr>
        <a:xfrm>
          <a:off x="1279525" y="6997700"/>
          <a:ext cx="76200" cy="76200"/>
        </a:xfrm>
        <a:prstGeom prst="ellipse">
          <a:avLst/>
        </a:prstGeom>
        <a:solidFill>
          <a:srgbClr val="FFFFFF"/>
        </a:solidFill>
        <a:ln w="15240">
          <a:solidFill>
            <a:srgbClr val="003F8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1431925</xdr:colOff>
      <xdr:row>24</xdr:row>
      <xdr:rowOff>214406</xdr:rowOff>
    </xdr:from>
    <xdr:to>
      <xdr:col>0</xdr:col>
      <xdr:colOff>1508125</xdr:colOff>
      <xdr:row>25</xdr:row>
      <xdr:rowOff>44076</xdr:rowOff>
    </xdr:to>
    <xdr:sp macro="" textlink="">
      <xdr:nvSpPr>
        <xdr:cNvPr id="1743" name="SCHEMA_T04_FRENO_RUOTA_2">
          <a:extLst>
            <a:ext uri="{FF2B5EF4-FFF2-40B4-BE49-F238E27FC236}">
              <a16:creationId xmlns:a16="http://schemas.microsoft.com/office/drawing/2014/main" id="{1F65CF83-E0FD-8928-CB7D-21B6723377B7}"/>
            </a:ext>
          </a:extLst>
        </xdr:cNvPr>
        <xdr:cNvSpPr/>
      </xdr:nvSpPr>
      <xdr:spPr>
        <a:xfrm>
          <a:off x="1431925" y="6997700"/>
          <a:ext cx="76200" cy="76200"/>
        </a:xfrm>
        <a:prstGeom prst="ellipse">
          <a:avLst/>
        </a:prstGeom>
        <a:solidFill>
          <a:srgbClr val="FFFFFF"/>
        </a:solidFill>
        <a:ln w="15240">
          <a:solidFill>
            <a:srgbClr val="003F8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1520825</xdr:colOff>
      <xdr:row>24</xdr:row>
      <xdr:rowOff>176306</xdr:rowOff>
    </xdr:from>
    <xdr:to>
      <xdr:col>1</xdr:col>
      <xdr:colOff>44637</xdr:colOff>
      <xdr:row>25</xdr:row>
      <xdr:rowOff>31376</xdr:rowOff>
    </xdr:to>
    <xdr:cxnSp macro="">
      <xdr:nvCxnSpPr>
        <xdr:cNvPr id="1744" name="SCHEMA_T04_FRENO_COLLEGAMENTO">
          <a:extLst>
            <a:ext uri="{FF2B5EF4-FFF2-40B4-BE49-F238E27FC236}">
              <a16:creationId xmlns:a16="http://schemas.microsoft.com/office/drawing/2014/main" id="{235C0BB7-619F-4172-8646-2D1A59C29DF8}"/>
            </a:ext>
          </a:extLst>
        </xdr:cNvPr>
        <xdr:cNvCxnSpPr/>
      </xdr:nvCxnSpPr>
      <xdr:spPr>
        <a:xfrm flipH="1" flipV="1">
          <a:off x="1520825" y="6959600"/>
          <a:ext cx="152400" cy="101600"/>
        </a:xfrm>
        <a:prstGeom prst="line">
          <a:avLst/>
        </a:prstGeom>
        <a:ln w="15240">
          <a:solidFill>
            <a:srgbClr val="003F87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1076325</xdr:colOff>
      <xdr:row>23</xdr:row>
      <xdr:rowOff>194235</xdr:rowOff>
    </xdr:from>
    <xdr:to>
      <xdr:col>1</xdr:col>
      <xdr:colOff>82737</xdr:colOff>
      <xdr:row>24</xdr:row>
      <xdr:rowOff>87406</xdr:rowOff>
    </xdr:to>
    <xdr:sp macro="" textlink="">
      <xdr:nvSpPr>
        <xdr:cNvPr id="1745" name="SCHEMA_T04_FRENO_LBL">
          <a:extLst>
            <a:ext uri="{FF2B5EF4-FFF2-40B4-BE49-F238E27FC236}">
              <a16:creationId xmlns:a16="http://schemas.microsoft.com/office/drawing/2014/main" id="{D88B0618-3997-AF90-52BF-CD9A02A3CEA1}"/>
            </a:ext>
          </a:extLst>
        </xdr:cNvPr>
        <xdr:cNvSpPr txBox="1"/>
      </xdr:nvSpPr>
      <xdr:spPr>
        <a:xfrm>
          <a:off x="1076325" y="6731000"/>
          <a:ext cx="635000" cy="139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s-ES" sz="650" b="1">
              <a:solidFill>
                <a:srgbClr val="003F87"/>
              </a:solidFill>
            </a:rPr>
            <a:t>FRENO</a:t>
          </a:r>
        </a:p>
      </xdr:txBody>
    </xdr:sp>
    <xdr:clientData/>
  </xdr:twoCellAnchor>
  <xdr:twoCellAnchor>
    <xdr:from>
      <xdr:col>39</xdr:col>
      <xdr:colOff>90581</xdr:colOff>
      <xdr:row>24</xdr:row>
      <xdr:rowOff>112806</xdr:rowOff>
    </xdr:from>
    <xdr:to>
      <xdr:col>40</xdr:col>
      <xdr:colOff>8404</xdr:colOff>
      <xdr:row>24</xdr:row>
      <xdr:rowOff>239806</xdr:rowOff>
    </xdr:to>
    <xdr:sp macro="" textlink="">
      <xdr:nvSpPr>
        <xdr:cNvPr id="1746" name="SCHEMA_T04_ARGANO_CORPO">
          <a:extLst>
            <a:ext uri="{FF2B5EF4-FFF2-40B4-BE49-F238E27FC236}">
              <a16:creationId xmlns:a16="http://schemas.microsoft.com/office/drawing/2014/main" id="{D3D74C8F-ACF4-2A1D-BD96-079CE3624E89}"/>
            </a:ext>
          </a:extLst>
        </xdr:cNvPr>
        <xdr:cNvSpPr/>
      </xdr:nvSpPr>
      <xdr:spPr>
        <a:xfrm>
          <a:off x="14493875" y="6896100"/>
          <a:ext cx="254000" cy="127000"/>
        </a:xfrm>
        <a:prstGeom prst="rect">
          <a:avLst/>
        </a:prstGeom>
        <a:solidFill>
          <a:srgbClr val="F47C00">
            <a:alpha val="90000"/>
          </a:srgbClr>
        </a:solidFill>
        <a:ln w="17780"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39</xdr:col>
      <xdr:colOff>103281</xdr:colOff>
      <xdr:row>24</xdr:row>
      <xdr:rowOff>214406</xdr:rowOff>
    </xdr:from>
    <xdr:to>
      <xdr:col>39</xdr:col>
      <xdr:colOff>179481</xdr:colOff>
      <xdr:row>25</xdr:row>
      <xdr:rowOff>44076</xdr:rowOff>
    </xdr:to>
    <xdr:sp macro="" textlink="">
      <xdr:nvSpPr>
        <xdr:cNvPr id="1747" name="SCHEMA_T04_ARGANO_RUOTA_1">
          <a:extLst>
            <a:ext uri="{FF2B5EF4-FFF2-40B4-BE49-F238E27FC236}">
              <a16:creationId xmlns:a16="http://schemas.microsoft.com/office/drawing/2014/main" id="{EE556906-217E-04D3-4628-9A5754523DC2}"/>
            </a:ext>
          </a:extLst>
        </xdr:cNvPr>
        <xdr:cNvSpPr/>
      </xdr:nvSpPr>
      <xdr:spPr>
        <a:xfrm>
          <a:off x="14506575" y="6997700"/>
          <a:ext cx="76200" cy="76200"/>
        </a:xfrm>
        <a:prstGeom prst="ellipse">
          <a:avLst/>
        </a:prstGeom>
        <a:solidFill>
          <a:srgbClr val="FFFFFF"/>
        </a:solidFill>
        <a:ln w="15240"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39</xdr:col>
      <xdr:colOff>255681</xdr:colOff>
      <xdr:row>24</xdr:row>
      <xdr:rowOff>214406</xdr:rowOff>
    </xdr:from>
    <xdr:to>
      <xdr:col>39</xdr:col>
      <xdr:colOff>331881</xdr:colOff>
      <xdr:row>25</xdr:row>
      <xdr:rowOff>44076</xdr:rowOff>
    </xdr:to>
    <xdr:sp macro="" textlink="">
      <xdr:nvSpPr>
        <xdr:cNvPr id="1748" name="SCHEMA_T04_ARGANO_RUOTA_2">
          <a:extLst>
            <a:ext uri="{FF2B5EF4-FFF2-40B4-BE49-F238E27FC236}">
              <a16:creationId xmlns:a16="http://schemas.microsoft.com/office/drawing/2014/main" id="{733BD526-00C0-78E6-2A5D-68BD66416717}"/>
            </a:ext>
          </a:extLst>
        </xdr:cNvPr>
        <xdr:cNvSpPr/>
      </xdr:nvSpPr>
      <xdr:spPr>
        <a:xfrm>
          <a:off x="14658975" y="6997700"/>
          <a:ext cx="76200" cy="76200"/>
        </a:xfrm>
        <a:prstGeom prst="ellipse">
          <a:avLst/>
        </a:prstGeom>
        <a:solidFill>
          <a:srgbClr val="FFFFFF"/>
        </a:solidFill>
        <a:ln w="15240"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38</xdr:col>
      <xdr:colOff>274357</xdr:colOff>
      <xdr:row>24</xdr:row>
      <xdr:rowOff>176306</xdr:rowOff>
    </xdr:from>
    <xdr:to>
      <xdr:col>39</xdr:col>
      <xdr:colOff>90581</xdr:colOff>
      <xdr:row>25</xdr:row>
      <xdr:rowOff>31376</xdr:rowOff>
    </xdr:to>
    <xdr:cxnSp macro="">
      <xdr:nvCxnSpPr>
        <xdr:cNvPr id="1749" name="SCHEMA_T04_ARGANO_COLLEGAMENTO">
          <a:extLst>
            <a:ext uri="{FF2B5EF4-FFF2-40B4-BE49-F238E27FC236}">
              <a16:creationId xmlns:a16="http://schemas.microsoft.com/office/drawing/2014/main" id="{1A06F8EF-F453-75E5-5D8B-4803DAE51C83}"/>
            </a:ext>
          </a:extLst>
        </xdr:cNvPr>
        <xdr:cNvCxnSpPr/>
      </xdr:nvCxnSpPr>
      <xdr:spPr>
        <a:xfrm flipV="1">
          <a:off x="14341475" y="6959600"/>
          <a:ext cx="152400" cy="101600"/>
        </a:xfrm>
        <a:prstGeom prst="line">
          <a:avLst/>
        </a:prstGeom>
        <a:ln w="15240">
          <a:solidFill>
            <a:srgbClr val="F47C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236257</xdr:colOff>
      <xdr:row>23</xdr:row>
      <xdr:rowOff>194235</xdr:rowOff>
    </xdr:from>
    <xdr:to>
      <xdr:col>40</xdr:col>
      <xdr:colOff>198904</xdr:colOff>
      <xdr:row>24</xdr:row>
      <xdr:rowOff>87406</xdr:rowOff>
    </xdr:to>
    <xdr:sp macro="" textlink="">
      <xdr:nvSpPr>
        <xdr:cNvPr id="1750" name="SCHEMA_T04_ARGANO_LBL">
          <a:extLst>
            <a:ext uri="{FF2B5EF4-FFF2-40B4-BE49-F238E27FC236}">
              <a16:creationId xmlns:a16="http://schemas.microsoft.com/office/drawing/2014/main" id="{8A8586A4-5C77-3DAF-BFB4-9C8D21BED8FC}"/>
            </a:ext>
          </a:extLst>
        </xdr:cNvPr>
        <xdr:cNvSpPr txBox="1"/>
      </xdr:nvSpPr>
      <xdr:spPr>
        <a:xfrm>
          <a:off x="14303375" y="6731000"/>
          <a:ext cx="635000" cy="139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s-ES" sz="650" b="1">
              <a:solidFill>
                <a:srgbClr val="F47C00"/>
              </a:solidFill>
            </a:rPr>
            <a:t>ARGANO</a:t>
          </a:r>
        </a:p>
      </xdr:txBody>
    </xdr:sp>
    <xdr:clientData/>
  </xdr:twoCellAnchor>
  <xdr:twoCellAnchor>
    <xdr:from>
      <xdr:col>1</xdr:col>
      <xdr:colOff>44637</xdr:colOff>
      <xdr:row>25</xdr:row>
      <xdr:rowOff>82176</xdr:rowOff>
    </xdr:from>
    <xdr:to>
      <xdr:col>1</xdr:col>
      <xdr:colOff>44637</xdr:colOff>
      <xdr:row>25</xdr:row>
      <xdr:rowOff>158376</xdr:rowOff>
    </xdr:to>
    <xdr:cxnSp macro="">
      <xdr:nvCxnSpPr>
        <xdr:cNvPr id="1751" name="SCHEMA_T04_TERRA_01_V">
          <a:extLst>
            <a:ext uri="{FF2B5EF4-FFF2-40B4-BE49-F238E27FC236}">
              <a16:creationId xmlns:a16="http://schemas.microsoft.com/office/drawing/2014/main" id="{5006A13E-3AAC-0DA9-05D9-9947FCFC8A43}"/>
            </a:ext>
          </a:extLst>
        </xdr:cNvPr>
        <xdr:cNvCxnSpPr/>
      </xdr:nvCxnSpPr>
      <xdr:spPr>
        <a:xfrm>
          <a:off x="1673225" y="7112000"/>
          <a:ext cx="0" cy="7620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1609725</xdr:colOff>
      <xdr:row>25</xdr:row>
      <xdr:rowOff>158376</xdr:rowOff>
    </xdr:from>
    <xdr:to>
      <xdr:col>1</xdr:col>
      <xdr:colOff>108137</xdr:colOff>
      <xdr:row>25</xdr:row>
      <xdr:rowOff>158376</xdr:rowOff>
    </xdr:to>
    <xdr:cxnSp macro="">
      <xdr:nvCxnSpPr>
        <xdr:cNvPr id="1752" name="SCHEMA_T04_TERRA_01_1">
          <a:extLst>
            <a:ext uri="{FF2B5EF4-FFF2-40B4-BE49-F238E27FC236}">
              <a16:creationId xmlns:a16="http://schemas.microsoft.com/office/drawing/2014/main" id="{0999753D-C83B-8599-509A-1ED6CC1B0414}"/>
            </a:ext>
          </a:extLst>
        </xdr:cNvPr>
        <xdr:cNvCxnSpPr/>
      </xdr:nvCxnSpPr>
      <xdr:spPr>
        <a:xfrm>
          <a:off x="1609725" y="7188200"/>
          <a:ext cx="1270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187</xdr:colOff>
      <xdr:row>25</xdr:row>
      <xdr:rowOff>186316</xdr:rowOff>
    </xdr:from>
    <xdr:to>
      <xdr:col>1</xdr:col>
      <xdr:colOff>89087</xdr:colOff>
      <xdr:row>25</xdr:row>
      <xdr:rowOff>186316</xdr:rowOff>
    </xdr:to>
    <xdr:cxnSp macro="">
      <xdr:nvCxnSpPr>
        <xdr:cNvPr id="1753" name="SCHEMA_T04_TERRA_01_2">
          <a:extLst>
            <a:ext uri="{FF2B5EF4-FFF2-40B4-BE49-F238E27FC236}">
              <a16:creationId xmlns:a16="http://schemas.microsoft.com/office/drawing/2014/main" id="{B1F7F5DC-85D9-3965-E76C-1469886B9321}"/>
            </a:ext>
          </a:extLst>
        </xdr:cNvPr>
        <xdr:cNvCxnSpPr/>
      </xdr:nvCxnSpPr>
      <xdr:spPr>
        <a:xfrm>
          <a:off x="1628775" y="7216140"/>
          <a:ext cx="889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19237</xdr:colOff>
      <xdr:row>25</xdr:row>
      <xdr:rowOff>214256</xdr:rowOff>
    </xdr:from>
    <xdr:to>
      <xdr:col>1</xdr:col>
      <xdr:colOff>70037</xdr:colOff>
      <xdr:row>25</xdr:row>
      <xdr:rowOff>214256</xdr:rowOff>
    </xdr:to>
    <xdr:cxnSp macro="">
      <xdr:nvCxnSpPr>
        <xdr:cNvPr id="1754" name="SCHEMA_T04_TERRA_01_3">
          <a:extLst>
            <a:ext uri="{FF2B5EF4-FFF2-40B4-BE49-F238E27FC236}">
              <a16:creationId xmlns:a16="http://schemas.microsoft.com/office/drawing/2014/main" id="{44CFF1CF-4EEA-1D38-372F-6AA30B925FDB}"/>
            </a:ext>
          </a:extLst>
        </xdr:cNvPr>
        <xdr:cNvCxnSpPr/>
      </xdr:nvCxnSpPr>
      <xdr:spPr>
        <a:xfrm>
          <a:off x="1647825" y="7244080"/>
          <a:ext cx="508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22225</xdr:colOff>
      <xdr:row>25</xdr:row>
      <xdr:rowOff>82176</xdr:rowOff>
    </xdr:from>
    <xdr:to>
      <xdr:col>9</xdr:col>
      <xdr:colOff>22225</xdr:colOff>
      <xdr:row>25</xdr:row>
      <xdr:rowOff>158376</xdr:rowOff>
    </xdr:to>
    <xdr:cxnSp macro="">
      <xdr:nvCxnSpPr>
        <xdr:cNvPr id="1755" name="SCHEMA_T04_TERRA_05_V">
          <a:extLst>
            <a:ext uri="{FF2B5EF4-FFF2-40B4-BE49-F238E27FC236}">
              <a16:creationId xmlns:a16="http://schemas.microsoft.com/office/drawing/2014/main" id="{99E45FC9-F9AA-0BBB-5351-36F6C034F88F}"/>
            </a:ext>
          </a:extLst>
        </xdr:cNvPr>
        <xdr:cNvCxnSpPr/>
      </xdr:nvCxnSpPr>
      <xdr:spPr>
        <a:xfrm>
          <a:off x="4340225" y="7112000"/>
          <a:ext cx="0" cy="7620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294901</xdr:colOff>
      <xdr:row>25</xdr:row>
      <xdr:rowOff>158376</xdr:rowOff>
    </xdr:from>
    <xdr:to>
      <xdr:col>9</xdr:col>
      <xdr:colOff>85725</xdr:colOff>
      <xdr:row>25</xdr:row>
      <xdr:rowOff>158376</xdr:rowOff>
    </xdr:to>
    <xdr:cxnSp macro="">
      <xdr:nvCxnSpPr>
        <xdr:cNvPr id="1756" name="SCHEMA_T04_TERRA_05_1">
          <a:extLst>
            <a:ext uri="{FF2B5EF4-FFF2-40B4-BE49-F238E27FC236}">
              <a16:creationId xmlns:a16="http://schemas.microsoft.com/office/drawing/2014/main" id="{117B3A3D-5492-612F-13FF-DA5CBBDC7B9E}"/>
            </a:ext>
          </a:extLst>
        </xdr:cNvPr>
        <xdr:cNvCxnSpPr/>
      </xdr:nvCxnSpPr>
      <xdr:spPr>
        <a:xfrm>
          <a:off x="4276725" y="7188200"/>
          <a:ext cx="1270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313951</xdr:colOff>
      <xdr:row>25</xdr:row>
      <xdr:rowOff>186316</xdr:rowOff>
    </xdr:from>
    <xdr:to>
      <xdr:col>9</xdr:col>
      <xdr:colOff>66675</xdr:colOff>
      <xdr:row>25</xdr:row>
      <xdr:rowOff>186316</xdr:rowOff>
    </xdr:to>
    <xdr:cxnSp macro="">
      <xdr:nvCxnSpPr>
        <xdr:cNvPr id="1757" name="SCHEMA_T04_TERRA_05_2">
          <a:extLst>
            <a:ext uri="{FF2B5EF4-FFF2-40B4-BE49-F238E27FC236}">
              <a16:creationId xmlns:a16="http://schemas.microsoft.com/office/drawing/2014/main" id="{4C7EB7EF-2F5F-94B6-AF81-F06CBFD751B4}"/>
            </a:ext>
          </a:extLst>
        </xdr:cNvPr>
        <xdr:cNvCxnSpPr/>
      </xdr:nvCxnSpPr>
      <xdr:spPr>
        <a:xfrm>
          <a:off x="4295775" y="7216140"/>
          <a:ext cx="889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333001</xdr:colOff>
      <xdr:row>25</xdr:row>
      <xdr:rowOff>214256</xdr:rowOff>
    </xdr:from>
    <xdr:to>
      <xdr:col>9</xdr:col>
      <xdr:colOff>47625</xdr:colOff>
      <xdr:row>25</xdr:row>
      <xdr:rowOff>214256</xdr:rowOff>
    </xdr:to>
    <xdr:cxnSp macro="">
      <xdr:nvCxnSpPr>
        <xdr:cNvPr id="1758" name="SCHEMA_T04_TERRA_05_3">
          <a:extLst>
            <a:ext uri="{FF2B5EF4-FFF2-40B4-BE49-F238E27FC236}">
              <a16:creationId xmlns:a16="http://schemas.microsoft.com/office/drawing/2014/main" id="{B096D908-0B92-6ED7-1E22-CBB772312284}"/>
            </a:ext>
          </a:extLst>
        </xdr:cNvPr>
        <xdr:cNvCxnSpPr/>
      </xdr:nvCxnSpPr>
      <xdr:spPr>
        <a:xfrm>
          <a:off x="4314825" y="7244080"/>
          <a:ext cx="508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335990</xdr:colOff>
      <xdr:row>25</xdr:row>
      <xdr:rowOff>82176</xdr:rowOff>
    </xdr:from>
    <xdr:to>
      <xdr:col>16</xdr:col>
      <xdr:colOff>335990</xdr:colOff>
      <xdr:row>25</xdr:row>
      <xdr:rowOff>158376</xdr:rowOff>
    </xdr:to>
    <xdr:cxnSp macro="">
      <xdr:nvCxnSpPr>
        <xdr:cNvPr id="1759" name="SCHEMA_T04_TERRA_09_V">
          <a:extLst>
            <a:ext uri="{FF2B5EF4-FFF2-40B4-BE49-F238E27FC236}">
              <a16:creationId xmlns:a16="http://schemas.microsoft.com/office/drawing/2014/main" id="{FFC88EC3-C17C-D510-AC1A-997C9347DB2B}"/>
            </a:ext>
          </a:extLst>
        </xdr:cNvPr>
        <xdr:cNvCxnSpPr/>
      </xdr:nvCxnSpPr>
      <xdr:spPr>
        <a:xfrm>
          <a:off x="7007225" y="7112000"/>
          <a:ext cx="0" cy="7620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272490</xdr:colOff>
      <xdr:row>25</xdr:row>
      <xdr:rowOff>158376</xdr:rowOff>
    </xdr:from>
    <xdr:to>
      <xdr:col>17</xdr:col>
      <xdr:colOff>63313</xdr:colOff>
      <xdr:row>25</xdr:row>
      <xdr:rowOff>158376</xdr:rowOff>
    </xdr:to>
    <xdr:cxnSp macro="">
      <xdr:nvCxnSpPr>
        <xdr:cNvPr id="1760" name="SCHEMA_T04_TERRA_09_1">
          <a:extLst>
            <a:ext uri="{FF2B5EF4-FFF2-40B4-BE49-F238E27FC236}">
              <a16:creationId xmlns:a16="http://schemas.microsoft.com/office/drawing/2014/main" id="{A4F08FF3-87C8-759C-6372-3BA8E6DEA72E}"/>
            </a:ext>
          </a:extLst>
        </xdr:cNvPr>
        <xdr:cNvCxnSpPr/>
      </xdr:nvCxnSpPr>
      <xdr:spPr>
        <a:xfrm>
          <a:off x="6943725" y="7188200"/>
          <a:ext cx="1270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291540</xdr:colOff>
      <xdr:row>25</xdr:row>
      <xdr:rowOff>186316</xdr:rowOff>
    </xdr:from>
    <xdr:to>
      <xdr:col>17</xdr:col>
      <xdr:colOff>44263</xdr:colOff>
      <xdr:row>25</xdr:row>
      <xdr:rowOff>186316</xdr:rowOff>
    </xdr:to>
    <xdr:cxnSp macro="">
      <xdr:nvCxnSpPr>
        <xdr:cNvPr id="1761" name="SCHEMA_T04_TERRA_09_2">
          <a:extLst>
            <a:ext uri="{FF2B5EF4-FFF2-40B4-BE49-F238E27FC236}">
              <a16:creationId xmlns:a16="http://schemas.microsoft.com/office/drawing/2014/main" id="{EB90FBF0-232F-94BD-F7B0-B60BE393FAB0}"/>
            </a:ext>
          </a:extLst>
        </xdr:cNvPr>
        <xdr:cNvCxnSpPr/>
      </xdr:nvCxnSpPr>
      <xdr:spPr>
        <a:xfrm>
          <a:off x="6962775" y="7216140"/>
          <a:ext cx="889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310590</xdr:colOff>
      <xdr:row>25</xdr:row>
      <xdr:rowOff>214256</xdr:rowOff>
    </xdr:from>
    <xdr:to>
      <xdr:col>17</xdr:col>
      <xdr:colOff>25213</xdr:colOff>
      <xdr:row>25</xdr:row>
      <xdr:rowOff>214256</xdr:rowOff>
    </xdr:to>
    <xdr:cxnSp macro="">
      <xdr:nvCxnSpPr>
        <xdr:cNvPr id="1762" name="SCHEMA_T04_TERRA_09_3">
          <a:extLst>
            <a:ext uri="{FF2B5EF4-FFF2-40B4-BE49-F238E27FC236}">
              <a16:creationId xmlns:a16="http://schemas.microsoft.com/office/drawing/2014/main" id="{D91367BC-FF84-73E7-FA1D-8D6DB772E812}"/>
            </a:ext>
          </a:extLst>
        </xdr:cNvPr>
        <xdr:cNvCxnSpPr/>
      </xdr:nvCxnSpPr>
      <xdr:spPr>
        <a:xfrm>
          <a:off x="6981825" y="7244080"/>
          <a:ext cx="508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313578</xdr:colOff>
      <xdr:row>25</xdr:row>
      <xdr:rowOff>82176</xdr:rowOff>
    </xdr:from>
    <xdr:to>
      <xdr:col>24</xdr:col>
      <xdr:colOff>313578</xdr:colOff>
      <xdr:row>25</xdr:row>
      <xdr:rowOff>158376</xdr:rowOff>
    </xdr:to>
    <xdr:cxnSp macro="">
      <xdr:nvCxnSpPr>
        <xdr:cNvPr id="1763" name="SCHEMA_T04_TERRA_13_V">
          <a:extLst>
            <a:ext uri="{FF2B5EF4-FFF2-40B4-BE49-F238E27FC236}">
              <a16:creationId xmlns:a16="http://schemas.microsoft.com/office/drawing/2014/main" id="{64E7A9A7-0092-E14B-1850-B202900B097D}"/>
            </a:ext>
          </a:extLst>
        </xdr:cNvPr>
        <xdr:cNvCxnSpPr/>
      </xdr:nvCxnSpPr>
      <xdr:spPr>
        <a:xfrm>
          <a:off x="9674225" y="7112000"/>
          <a:ext cx="0" cy="7620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250078</xdr:colOff>
      <xdr:row>25</xdr:row>
      <xdr:rowOff>158376</xdr:rowOff>
    </xdr:from>
    <xdr:to>
      <xdr:col>25</xdr:col>
      <xdr:colOff>40901</xdr:colOff>
      <xdr:row>25</xdr:row>
      <xdr:rowOff>158376</xdr:rowOff>
    </xdr:to>
    <xdr:cxnSp macro="">
      <xdr:nvCxnSpPr>
        <xdr:cNvPr id="1764" name="SCHEMA_T04_TERRA_13_1">
          <a:extLst>
            <a:ext uri="{FF2B5EF4-FFF2-40B4-BE49-F238E27FC236}">
              <a16:creationId xmlns:a16="http://schemas.microsoft.com/office/drawing/2014/main" id="{D30CA62B-A241-497E-5CF5-FCB87860B2FF}"/>
            </a:ext>
          </a:extLst>
        </xdr:cNvPr>
        <xdr:cNvCxnSpPr/>
      </xdr:nvCxnSpPr>
      <xdr:spPr>
        <a:xfrm>
          <a:off x="9610725" y="7188200"/>
          <a:ext cx="1270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269128</xdr:colOff>
      <xdr:row>25</xdr:row>
      <xdr:rowOff>186316</xdr:rowOff>
    </xdr:from>
    <xdr:to>
      <xdr:col>25</xdr:col>
      <xdr:colOff>21851</xdr:colOff>
      <xdr:row>25</xdr:row>
      <xdr:rowOff>186316</xdr:rowOff>
    </xdr:to>
    <xdr:cxnSp macro="">
      <xdr:nvCxnSpPr>
        <xdr:cNvPr id="1765" name="SCHEMA_T04_TERRA_13_2">
          <a:extLst>
            <a:ext uri="{FF2B5EF4-FFF2-40B4-BE49-F238E27FC236}">
              <a16:creationId xmlns:a16="http://schemas.microsoft.com/office/drawing/2014/main" id="{204E906C-D515-98D5-8AEF-72EA192EEB97}"/>
            </a:ext>
          </a:extLst>
        </xdr:cNvPr>
        <xdr:cNvCxnSpPr/>
      </xdr:nvCxnSpPr>
      <xdr:spPr>
        <a:xfrm>
          <a:off x="9629775" y="7216140"/>
          <a:ext cx="889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288178</xdr:colOff>
      <xdr:row>25</xdr:row>
      <xdr:rowOff>214256</xdr:rowOff>
    </xdr:from>
    <xdr:to>
      <xdr:col>25</xdr:col>
      <xdr:colOff>2801</xdr:colOff>
      <xdr:row>25</xdr:row>
      <xdr:rowOff>214256</xdr:rowOff>
    </xdr:to>
    <xdr:cxnSp macro="">
      <xdr:nvCxnSpPr>
        <xdr:cNvPr id="1766" name="SCHEMA_T04_TERRA_13_3">
          <a:extLst>
            <a:ext uri="{FF2B5EF4-FFF2-40B4-BE49-F238E27FC236}">
              <a16:creationId xmlns:a16="http://schemas.microsoft.com/office/drawing/2014/main" id="{7F4DCB7A-32E0-FB29-1537-320F005391C5}"/>
            </a:ext>
          </a:extLst>
        </xdr:cNvPr>
        <xdr:cNvCxnSpPr/>
      </xdr:nvCxnSpPr>
      <xdr:spPr>
        <a:xfrm>
          <a:off x="9648825" y="7244080"/>
          <a:ext cx="508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291166</xdr:colOff>
      <xdr:row>25</xdr:row>
      <xdr:rowOff>82176</xdr:rowOff>
    </xdr:from>
    <xdr:to>
      <xdr:col>32</xdr:col>
      <xdr:colOff>291166</xdr:colOff>
      <xdr:row>25</xdr:row>
      <xdr:rowOff>158376</xdr:rowOff>
    </xdr:to>
    <xdr:cxnSp macro="">
      <xdr:nvCxnSpPr>
        <xdr:cNvPr id="1767" name="SCHEMA_T04_TERRA_17_V">
          <a:extLst>
            <a:ext uri="{FF2B5EF4-FFF2-40B4-BE49-F238E27FC236}">
              <a16:creationId xmlns:a16="http://schemas.microsoft.com/office/drawing/2014/main" id="{926B980B-EAA1-38DE-1C3E-23D6F58C3596}"/>
            </a:ext>
          </a:extLst>
        </xdr:cNvPr>
        <xdr:cNvCxnSpPr/>
      </xdr:nvCxnSpPr>
      <xdr:spPr>
        <a:xfrm>
          <a:off x="12341225" y="7112000"/>
          <a:ext cx="0" cy="7620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227666</xdr:colOff>
      <xdr:row>25</xdr:row>
      <xdr:rowOff>158376</xdr:rowOff>
    </xdr:from>
    <xdr:to>
      <xdr:col>33</xdr:col>
      <xdr:colOff>18490</xdr:colOff>
      <xdr:row>25</xdr:row>
      <xdr:rowOff>158376</xdr:rowOff>
    </xdr:to>
    <xdr:cxnSp macro="">
      <xdr:nvCxnSpPr>
        <xdr:cNvPr id="1768" name="SCHEMA_T04_TERRA_17_1">
          <a:extLst>
            <a:ext uri="{FF2B5EF4-FFF2-40B4-BE49-F238E27FC236}">
              <a16:creationId xmlns:a16="http://schemas.microsoft.com/office/drawing/2014/main" id="{3DC4D063-7051-8A93-1A38-85D06BF96989}"/>
            </a:ext>
          </a:extLst>
        </xdr:cNvPr>
        <xdr:cNvCxnSpPr/>
      </xdr:nvCxnSpPr>
      <xdr:spPr>
        <a:xfrm>
          <a:off x="12277725" y="7188200"/>
          <a:ext cx="1270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246716</xdr:colOff>
      <xdr:row>25</xdr:row>
      <xdr:rowOff>186316</xdr:rowOff>
    </xdr:from>
    <xdr:to>
      <xdr:col>32</xdr:col>
      <xdr:colOff>335616</xdr:colOff>
      <xdr:row>25</xdr:row>
      <xdr:rowOff>186316</xdr:rowOff>
    </xdr:to>
    <xdr:cxnSp macro="">
      <xdr:nvCxnSpPr>
        <xdr:cNvPr id="1769" name="SCHEMA_T04_TERRA_17_2">
          <a:extLst>
            <a:ext uri="{FF2B5EF4-FFF2-40B4-BE49-F238E27FC236}">
              <a16:creationId xmlns:a16="http://schemas.microsoft.com/office/drawing/2014/main" id="{BF77DE26-1502-68F0-769B-FB702C96F045}"/>
            </a:ext>
          </a:extLst>
        </xdr:cNvPr>
        <xdr:cNvCxnSpPr/>
      </xdr:nvCxnSpPr>
      <xdr:spPr>
        <a:xfrm>
          <a:off x="12296775" y="7216140"/>
          <a:ext cx="889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265766</xdr:colOff>
      <xdr:row>25</xdr:row>
      <xdr:rowOff>214256</xdr:rowOff>
    </xdr:from>
    <xdr:to>
      <xdr:col>32</xdr:col>
      <xdr:colOff>316566</xdr:colOff>
      <xdr:row>25</xdr:row>
      <xdr:rowOff>214256</xdr:rowOff>
    </xdr:to>
    <xdr:cxnSp macro="">
      <xdr:nvCxnSpPr>
        <xdr:cNvPr id="1770" name="SCHEMA_T04_TERRA_17_3">
          <a:extLst>
            <a:ext uri="{FF2B5EF4-FFF2-40B4-BE49-F238E27FC236}">
              <a16:creationId xmlns:a16="http://schemas.microsoft.com/office/drawing/2014/main" id="{5FFF9219-52E3-4F9E-A820-12171C43E334}"/>
            </a:ext>
          </a:extLst>
        </xdr:cNvPr>
        <xdr:cNvCxnSpPr/>
      </xdr:nvCxnSpPr>
      <xdr:spPr>
        <a:xfrm>
          <a:off x="12315825" y="7244080"/>
          <a:ext cx="508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274357</xdr:colOff>
      <xdr:row>25</xdr:row>
      <xdr:rowOff>82176</xdr:rowOff>
    </xdr:from>
    <xdr:to>
      <xdr:col>38</xdr:col>
      <xdr:colOff>274357</xdr:colOff>
      <xdr:row>25</xdr:row>
      <xdr:rowOff>158376</xdr:rowOff>
    </xdr:to>
    <xdr:cxnSp macro="">
      <xdr:nvCxnSpPr>
        <xdr:cNvPr id="1771" name="SCHEMA_T04_TERRA_20_V">
          <a:extLst>
            <a:ext uri="{FF2B5EF4-FFF2-40B4-BE49-F238E27FC236}">
              <a16:creationId xmlns:a16="http://schemas.microsoft.com/office/drawing/2014/main" id="{F384BFFD-D8CB-BD9F-F665-780BA2A2F592}"/>
            </a:ext>
          </a:extLst>
        </xdr:cNvPr>
        <xdr:cNvCxnSpPr/>
      </xdr:nvCxnSpPr>
      <xdr:spPr>
        <a:xfrm>
          <a:off x="14341475" y="7112000"/>
          <a:ext cx="0" cy="7620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210857</xdr:colOff>
      <xdr:row>25</xdr:row>
      <xdr:rowOff>158376</xdr:rowOff>
    </xdr:from>
    <xdr:to>
      <xdr:col>39</xdr:col>
      <xdr:colOff>1681</xdr:colOff>
      <xdr:row>25</xdr:row>
      <xdr:rowOff>158376</xdr:rowOff>
    </xdr:to>
    <xdr:cxnSp macro="">
      <xdr:nvCxnSpPr>
        <xdr:cNvPr id="1772" name="SCHEMA_T04_TERRA_20_1">
          <a:extLst>
            <a:ext uri="{FF2B5EF4-FFF2-40B4-BE49-F238E27FC236}">
              <a16:creationId xmlns:a16="http://schemas.microsoft.com/office/drawing/2014/main" id="{C4234DF7-D2A2-5A4C-F599-89F947554C21}"/>
            </a:ext>
          </a:extLst>
        </xdr:cNvPr>
        <xdr:cNvCxnSpPr/>
      </xdr:nvCxnSpPr>
      <xdr:spPr>
        <a:xfrm>
          <a:off x="14277975" y="7188200"/>
          <a:ext cx="1270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229907</xdr:colOff>
      <xdr:row>25</xdr:row>
      <xdr:rowOff>186316</xdr:rowOff>
    </xdr:from>
    <xdr:to>
      <xdr:col>38</xdr:col>
      <xdr:colOff>318807</xdr:colOff>
      <xdr:row>25</xdr:row>
      <xdr:rowOff>186316</xdr:rowOff>
    </xdr:to>
    <xdr:cxnSp macro="">
      <xdr:nvCxnSpPr>
        <xdr:cNvPr id="1773" name="SCHEMA_T04_TERRA_20_2">
          <a:extLst>
            <a:ext uri="{FF2B5EF4-FFF2-40B4-BE49-F238E27FC236}">
              <a16:creationId xmlns:a16="http://schemas.microsoft.com/office/drawing/2014/main" id="{3489BA97-77CC-FC53-E072-85D8CFF64D1C}"/>
            </a:ext>
          </a:extLst>
        </xdr:cNvPr>
        <xdr:cNvCxnSpPr/>
      </xdr:nvCxnSpPr>
      <xdr:spPr>
        <a:xfrm>
          <a:off x="14297025" y="7216140"/>
          <a:ext cx="889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248957</xdr:colOff>
      <xdr:row>25</xdr:row>
      <xdr:rowOff>214256</xdr:rowOff>
    </xdr:from>
    <xdr:to>
      <xdr:col>38</xdr:col>
      <xdr:colOff>299757</xdr:colOff>
      <xdr:row>25</xdr:row>
      <xdr:rowOff>214256</xdr:rowOff>
    </xdr:to>
    <xdr:cxnSp macro="">
      <xdr:nvCxnSpPr>
        <xdr:cNvPr id="1774" name="SCHEMA_T04_TERRA_20_3">
          <a:extLst>
            <a:ext uri="{FF2B5EF4-FFF2-40B4-BE49-F238E27FC236}">
              <a16:creationId xmlns:a16="http://schemas.microsoft.com/office/drawing/2014/main" id="{C998110C-BFF9-3C5A-C19A-EAE8A7480F32}"/>
            </a:ext>
          </a:extLst>
        </xdr:cNvPr>
        <xdr:cNvCxnSpPr/>
      </xdr:nvCxnSpPr>
      <xdr:spPr>
        <a:xfrm>
          <a:off x="14316075" y="7244080"/>
          <a:ext cx="508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101787</xdr:colOff>
      <xdr:row>10</xdr:row>
      <xdr:rowOff>74893</xdr:rowOff>
    </xdr:from>
    <xdr:to>
      <xdr:col>3</xdr:col>
      <xdr:colOff>127934</xdr:colOff>
      <xdr:row>10</xdr:row>
      <xdr:rowOff>227293</xdr:rowOff>
    </xdr:to>
    <xdr:sp macro="" textlink="">
      <xdr:nvSpPr>
        <xdr:cNvPr id="1775" name="SCHEMA_T04_LEG_OPGW">
          <a:extLst>
            <a:ext uri="{FF2B5EF4-FFF2-40B4-BE49-F238E27FC236}">
              <a16:creationId xmlns:a16="http://schemas.microsoft.com/office/drawing/2014/main" id="{F3D53698-63C4-8522-FE51-624E4EC3493B}"/>
            </a:ext>
          </a:extLst>
        </xdr:cNvPr>
        <xdr:cNvSpPr txBox="1"/>
      </xdr:nvSpPr>
      <xdr:spPr>
        <a:xfrm>
          <a:off x="1730375" y="3406775"/>
          <a:ext cx="6985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s-ES" sz="650" b="1">
              <a:solidFill>
                <a:srgbClr val="00A651"/>
              </a:solidFill>
            </a:rPr>
            <a:t>OPGW</a:t>
          </a:r>
        </a:p>
      </xdr:txBody>
    </xdr:sp>
    <xdr:clientData/>
  </xdr:twoCellAnchor>
  <xdr:twoCellAnchor>
    <xdr:from>
      <xdr:col>1</xdr:col>
      <xdr:colOff>101787</xdr:colOff>
      <xdr:row>10</xdr:row>
      <xdr:rowOff>227293</xdr:rowOff>
    </xdr:from>
    <xdr:to>
      <xdr:col>3</xdr:col>
      <xdr:colOff>127934</xdr:colOff>
      <xdr:row>11</xdr:row>
      <xdr:rowOff>133163</xdr:rowOff>
    </xdr:to>
    <xdr:sp macro="" textlink="">
      <xdr:nvSpPr>
        <xdr:cNvPr id="1776" name="SCHEMA_T04_LEG_C1">
          <a:extLst>
            <a:ext uri="{FF2B5EF4-FFF2-40B4-BE49-F238E27FC236}">
              <a16:creationId xmlns:a16="http://schemas.microsoft.com/office/drawing/2014/main" id="{D5A0EBC7-3DAB-140D-9193-9F6040BCB22B}"/>
            </a:ext>
          </a:extLst>
        </xdr:cNvPr>
        <xdr:cNvSpPr txBox="1"/>
      </xdr:nvSpPr>
      <xdr:spPr>
        <a:xfrm>
          <a:off x="1730375" y="3559175"/>
          <a:ext cx="6985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s-ES" sz="650" b="0">
              <a:solidFill>
                <a:srgbClr val="ED1C24"/>
              </a:solidFill>
            </a:rPr>
            <a:t>CIRCUITO 1</a:t>
          </a:r>
        </a:p>
      </xdr:txBody>
    </xdr:sp>
    <xdr:clientData/>
  </xdr:twoCellAnchor>
  <xdr:twoCellAnchor>
    <xdr:from>
      <xdr:col>1</xdr:col>
      <xdr:colOff>101787</xdr:colOff>
      <xdr:row>11</xdr:row>
      <xdr:rowOff>133163</xdr:rowOff>
    </xdr:from>
    <xdr:to>
      <xdr:col>3</xdr:col>
      <xdr:colOff>127934</xdr:colOff>
      <xdr:row>12</xdr:row>
      <xdr:rowOff>39034</xdr:rowOff>
    </xdr:to>
    <xdr:sp macro="" textlink="">
      <xdr:nvSpPr>
        <xdr:cNvPr id="1777" name="SCHEMA_T04_LEG_C2">
          <a:extLst>
            <a:ext uri="{FF2B5EF4-FFF2-40B4-BE49-F238E27FC236}">
              <a16:creationId xmlns:a16="http://schemas.microsoft.com/office/drawing/2014/main" id="{74C7CA43-A674-F739-C5B9-C35A2703C592}"/>
            </a:ext>
          </a:extLst>
        </xdr:cNvPr>
        <xdr:cNvSpPr txBox="1"/>
      </xdr:nvSpPr>
      <xdr:spPr>
        <a:xfrm>
          <a:off x="1730375" y="3711575"/>
          <a:ext cx="6985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s-ES" sz="650" b="0">
              <a:solidFill>
                <a:srgbClr val="315A9B"/>
              </a:solidFill>
            </a:rPr>
            <a:t>CIRCUITO 2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428750" cy="47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absoluteAnchor>
    <xdr:pos x="762000" y="6229350"/>
    <xdr:ext cx="929386" cy="660400"/>
    <xdr:pic>
      <xdr:nvPicPr>
        <xdr:cNvPr id="3" name="MACCHINA_FRENO_T05">
          <a:extLst>
            <a:ext uri="{FF2B5EF4-FFF2-40B4-BE49-F238E27FC236}">
              <a16:creationId xmlns:a16="http://schemas.microsoft.com/office/drawing/2014/main" id="{B56D10C3-0DF9-6E8D-801F-5BA7DA4BF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6229350"/>
          <a:ext cx="926211" cy="657225"/>
        </a:xfrm>
        <a:prstGeom prst="rect">
          <a:avLst/>
        </a:prstGeom>
      </xdr:spPr>
    </xdr:pic>
    <xdr:clientData/>
  </xdr:absoluteAnchor>
  <xdr:absoluteAnchor>
    <xdr:pos x="11938000" y="6569709"/>
    <xdr:ext cx="923036" cy="660400"/>
    <xdr:pic>
      <xdr:nvPicPr>
        <xdr:cNvPr id="245" name="MACCHINA_ARGANO_T05">
          <a:extLst>
            <a:ext uri="{FF2B5EF4-FFF2-40B4-BE49-F238E27FC236}">
              <a16:creationId xmlns:a16="http://schemas.microsoft.com/office/drawing/2014/main" id="{AED6F786-4115-8557-1375-8A372E113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38000" y="6569709"/>
          <a:ext cx="923036" cy="657225"/>
        </a:xfrm>
        <a:prstGeom prst="rect">
          <a:avLst/>
        </a:prstGeom>
      </xdr:spPr>
    </xdr:pic>
    <xdr:clientData/>
  </xdr:absoluteAnchor>
  <xdr:absoluteAnchor>
    <xdr:pos x="2115273" y="3816350"/>
    <xdr:ext cx="415290" cy="508000"/>
    <xdr:pic>
      <xdr:nvPicPr>
        <xdr:cNvPr id="246" name="PAT_T05_1">
          <a:extLst>
            <a:ext uri="{FF2B5EF4-FFF2-40B4-BE49-F238E27FC236}">
              <a16:creationId xmlns:a16="http://schemas.microsoft.com/office/drawing/2014/main" id="{1F0B015A-8688-E044-6348-6C86B6C71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15273" y="3816350"/>
          <a:ext cx="415290" cy="508000"/>
        </a:xfrm>
        <a:prstGeom prst="rect">
          <a:avLst/>
        </a:prstGeom>
      </xdr:spPr>
    </xdr:pic>
    <xdr:clientData/>
  </xdr:absoluteAnchor>
  <xdr:absoluteAnchor>
    <xdr:pos x="4401273" y="3816350"/>
    <xdr:ext cx="415290" cy="508000"/>
    <xdr:pic>
      <xdr:nvPicPr>
        <xdr:cNvPr id="247" name="PAT_T05_4">
          <a:extLst>
            <a:ext uri="{FF2B5EF4-FFF2-40B4-BE49-F238E27FC236}">
              <a16:creationId xmlns:a16="http://schemas.microsoft.com/office/drawing/2014/main" id="{52904789-136E-31A4-0C3C-BEA9DF1C7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01273" y="3816350"/>
          <a:ext cx="415290" cy="508000"/>
        </a:xfrm>
        <a:prstGeom prst="rect">
          <a:avLst/>
        </a:prstGeom>
      </xdr:spPr>
    </xdr:pic>
    <xdr:clientData/>
  </xdr:absoluteAnchor>
  <xdr:absoluteAnchor>
    <xdr:pos x="6687273" y="3816350"/>
    <xdr:ext cx="415290" cy="508000"/>
    <xdr:pic>
      <xdr:nvPicPr>
        <xdr:cNvPr id="248" name="PAT_T05_7">
          <a:extLst>
            <a:ext uri="{FF2B5EF4-FFF2-40B4-BE49-F238E27FC236}">
              <a16:creationId xmlns:a16="http://schemas.microsoft.com/office/drawing/2014/main" id="{8E73B818-8D6A-30F7-FB8F-283367674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87273" y="3816350"/>
          <a:ext cx="415290" cy="508000"/>
        </a:xfrm>
        <a:prstGeom prst="rect">
          <a:avLst/>
        </a:prstGeom>
      </xdr:spPr>
    </xdr:pic>
    <xdr:clientData/>
  </xdr:absoluteAnchor>
  <xdr:absoluteAnchor>
    <xdr:pos x="8973273" y="3816350"/>
    <xdr:ext cx="415290" cy="508000"/>
    <xdr:pic>
      <xdr:nvPicPr>
        <xdr:cNvPr id="249" name="PAT_T05_10">
          <a:extLst>
            <a:ext uri="{FF2B5EF4-FFF2-40B4-BE49-F238E27FC236}">
              <a16:creationId xmlns:a16="http://schemas.microsoft.com/office/drawing/2014/main" id="{5A703C26-AF67-B906-EA8E-D52839B41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73273" y="3816350"/>
          <a:ext cx="415290" cy="508000"/>
        </a:xfrm>
        <a:prstGeom prst="rect">
          <a:avLst/>
        </a:prstGeom>
      </xdr:spPr>
    </xdr:pic>
    <xdr:clientData/>
  </xdr:absoluteAnchor>
  <xdr:absoluteAnchor>
    <xdr:pos x="11259273" y="3816350"/>
    <xdr:ext cx="415290" cy="508000"/>
    <xdr:pic>
      <xdr:nvPicPr>
        <xdr:cNvPr id="250" name="PAT_T05_13">
          <a:extLst>
            <a:ext uri="{FF2B5EF4-FFF2-40B4-BE49-F238E27FC236}">
              <a16:creationId xmlns:a16="http://schemas.microsoft.com/office/drawing/2014/main" id="{BC65083F-2FF0-10B1-1E30-667D50889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259273" y="3816350"/>
          <a:ext cx="415290" cy="508000"/>
        </a:xfrm>
        <a:prstGeom prst="rect">
          <a:avLst/>
        </a:prstGeom>
      </xdr:spPr>
    </xdr:pic>
    <xdr:clientData/>
  </xdr:absoluteAnchor>
  <xdr:twoCellAnchor>
    <xdr:from>
      <xdr:col>0</xdr:col>
      <xdr:colOff>1628775</xdr:colOff>
      <xdr:row>25</xdr:row>
      <xdr:rowOff>130629</xdr:rowOff>
    </xdr:from>
    <xdr:to>
      <xdr:col>28</xdr:col>
      <xdr:colOff>268061</xdr:colOff>
      <xdr:row>25</xdr:row>
      <xdr:rowOff>130629</xdr:rowOff>
    </xdr:to>
    <xdr:cxnSp macro="">
      <xdr:nvCxnSpPr>
        <xdr:cNvPr id="4" name="SCHEMA_T05_TERRENO">
          <a:extLst>
            <a:ext uri="{FF2B5EF4-FFF2-40B4-BE49-F238E27FC236}">
              <a16:creationId xmlns:a16="http://schemas.microsoft.com/office/drawing/2014/main" id="{BCE9A1D1-3A9E-04F6-F0BF-4780515B7606}"/>
            </a:ext>
          </a:extLst>
        </xdr:cNvPr>
        <xdr:cNvCxnSpPr/>
      </xdr:nvCxnSpPr>
      <xdr:spPr>
        <a:xfrm>
          <a:off x="1628775" y="7124700"/>
          <a:ext cx="9334500" cy="0"/>
        </a:xfrm>
        <a:prstGeom prst="line">
          <a:avLst/>
        </a:prstGeom>
        <a:ln w="15240">
          <a:solidFill>
            <a:srgbClr val="80808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1628775</xdr:colOff>
      <xdr:row>16</xdr:row>
      <xdr:rowOff>22697</xdr:rowOff>
    </xdr:from>
    <xdr:to>
      <xdr:col>1</xdr:col>
      <xdr:colOff>40368</xdr:colOff>
      <xdr:row>25</xdr:row>
      <xdr:rowOff>130629</xdr:rowOff>
    </xdr:to>
    <xdr:cxnSp macro="">
      <xdr:nvCxnSpPr>
        <xdr:cNvPr id="5" name="SCHEMA_T05_SOSTEGNO_01_SX">
          <a:extLst>
            <a:ext uri="{FF2B5EF4-FFF2-40B4-BE49-F238E27FC236}">
              <a16:creationId xmlns:a16="http://schemas.microsoft.com/office/drawing/2014/main" id="{EDD2AE9D-CBE5-E53B-D368-9CE08D8A6174}"/>
            </a:ext>
          </a:extLst>
        </xdr:cNvPr>
        <xdr:cNvCxnSpPr/>
      </xdr:nvCxnSpPr>
      <xdr:spPr>
        <a:xfrm flipV="1">
          <a:off x="1628775" y="4812411"/>
          <a:ext cx="44450" cy="2312289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40368</xdr:colOff>
      <xdr:row>16</xdr:row>
      <xdr:rowOff>22697</xdr:rowOff>
    </xdr:from>
    <xdr:to>
      <xdr:col>1</xdr:col>
      <xdr:colOff>84818</xdr:colOff>
      <xdr:row>25</xdr:row>
      <xdr:rowOff>130629</xdr:rowOff>
    </xdr:to>
    <xdr:cxnSp macro="">
      <xdr:nvCxnSpPr>
        <xdr:cNvPr id="6" name="SCHEMA_T05_SOSTEGNO_01_DX">
          <a:extLst>
            <a:ext uri="{FF2B5EF4-FFF2-40B4-BE49-F238E27FC236}">
              <a16:creationId xmlns:a16="http://schemas.microsoft.com/office/drawing/2014/main" id="{E6FD2167-BBB0-6B26-AD47-EA20E57DEBF5}"/>
            </a:ext>
          </a:extLst>
        </xdr:cNvPr>
        <xdr:cNvCxnSpPr/>
      </xdr:nvCxnSpPr>
      <xdr:spPr>
        <a:xfrm flipH="1" flipV="1">
          <a:off x="1673225" y="4812411"/>
          <a:ext cx="44450" cy="2312289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1628775</xdr:colOff>
      <xdr:row>17</xdr:row>
      <xdr:rowOff>193980</xdr:rowOff>
    </xdr:from>
    <xdr:to>
      <xdr:col>1</xdr:col>
      <xdr:colOff>84818</xdr:colOff>
      <xdr:row>17</xdr:row>
      <xdr:rowOff>193980</xdr:rowOff>
    </xdr:to>
    <xdr:cxnSp macro="">
      <xdr:nvCxnSpPr>
        <xdr:cNvPr id="7" name="SCHEMA_T05_SOSTEGNO_01_TR1">
          <a:extLst>
            <a:ext uri="{FF2B5EF4-FFF2-40B4-BE49-F238E27FC236}">
              <a16:creationId xmlns:a16="http://schemas.microsoft.com/office/drawing/2014/main" id="{6DD8B485-E4FD-0433-DF5B-412F5A4268BF}"/>
            </a:ext>
          </a:extLst>
        </xdr:cNvPr>
        <xdr:cNvCxnSpPr/>
      </xdr:nvCxnSpPr>
      <xdr:spPr>
        <a:xfrm>
          <a:off x="1628775" y="5228623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1628775</xdr:colOff>
      <xdr:row>18</xdr:row>
      <xdr:rowOff>226527</xdr:rowOff>
    </xdr:from>
    <xdr:to>
      <xdr:col>1</xdr:col>
      <xdr:colOff>84818</xdr:colOff>
      <xdr:row>18</xdr:row>
      <xdr:rowOff>226527</xdr:rowOff>
    </xdr:to>
    <xdr:cxnSp macro="">
      <xdr:nvCxnSpPr>
        <xdr:cNvPr id="8" name="SCHEMA_T05_SOSTEGNO_01_TR2">
          <a:extLst>
            <a:ext uri="{FF2B5EF4-FFF2-40B4-BE49-F238E27FC236}">
              <a16:creationId xmlns:a16="http://schemas.microsoft.com/office/drawing/2014/main" id="{97CB3E5B-A1EA-DC0F-EC33-FBD36B853A5A}"/>
            </a:ext>
          </a:extLst>
        </xdr:cNvPr>
        <xdr:cNvCxnSpPr/>
      </xdr:nvCxnSpPr>
      <xdr:spPr>
        <a:xfrm>
          <a:off x="1628775" y="5506098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1628775</xdr:colOff>
      <xdr:row>20</xdr:row>
      <xdr:rowOff>14144</xdr:rowOff>
    </xdr:from>
    <xdr:to>
      <xdr:col>1</xdr:col>
      <xdr:colOff>84818</xdr:colOff>
      <xdr:row>20</xdr:row>
      <xdr:rowOff>14144</xdr:rowOff>
    </xdr:to>
    <xdr:cxnSp macro="">
      <xdr:nvCxnSpPr>
        <xdr:cNvPr id="9" name="SCHEMA_T05_SOSTEGNO_01_TR3">
          <a:extLst>
            <a:ext uri="{FF2B5EF4-FFF2-40B4-BE49-F238E27FC236}">
              <a16:creationId xmlns:a16="http://schemas.microsoft.com/office/drawing/2014/main" id="{286A5BB0-6E60-2760-CBC3-669CF7C19D76}"/>
            </a:ext>
          </a:extLst>
        </xdr:cNvPr>
        <xdr:cNvCxnSpPr/>
      </xdr:nvCxnSpPr>
      <xdr:spPr>
        <a:xfrm>
          <a:off x="1628775" y="5783573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327025</xdr:colOff>
      <xdr:row>15</xdr:row>
      <xdr:rowOff>88394</xdr:rowOff>
    </xdr:from>
    <xdr:to>
      <xdr:col>3</xdr:col>
      <xdr:colOff>35832</xdr:colOff>
      <xdr:row>25</xdr:row>
      <xdr:rowOff>130629</xdr:rowOff>
    </xdr:to>
    <xdr:cxnSp macro="">
      <xdr:nvCxnSpPr>
        <xdr:cNvPr id="10" name="SCHEMA_T05_SOSTEGNO_02_SX">
          <a:extLst>
            <a:ext uri="{FF2B5EF4-FFF2-40B4-BE49-F238E27FC236}">
              <a16:creationId xmlns:a16="http://schemas.microsoft.com/office/drawing/2014/main" id="{C1002CD7-E677-A131-B41D-199946195E34}"/>
            </a:ext>
          </a:extLst>
        </xdr:cNvPr>
        <xdr:cNvCxnSpPr/>
      </xdr:nvCxnSpPr>
      <xdr:spPr>
        <a:xfrm flipV="1">
          <a:off x="2295525" y="4633180"/>
          <a:ext cx="44450" cy="2491520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35832</xdr:colOff>
      <xdr:row>15</xdr:row>
      <xdr:rowOff>88394</xdr:rowOff>
    </xdr:from>
    <xdr:to>
      <xdr:col>3</xdr:col>
      <xdr:colOff>80282</xdr:colOff>
      <xdr:row>25</xdr:row>
      <xdr:rowOff>130629</xdr:rowOff>
    </xdr:to>
    <xdr:cxnSp macro="">
      <xdr:nvCxnSpPr>
        <xdr:cNvPr id="11" name="SCHEMA_T05_SOSTEGNO_02_DX">
          <a:extLst>
            <a:ext uri="{FF2B5EF4-FFF2-40B4-BE49-F238E27FC236}">
              <a16:creationId xmlns:a16="http://schemas.microsoft.com/office/drawing/2014/main" id="{BE04466C-EFE5-5E96-5BB8-E4FD350A79F0}"/>
            </a:ext>
          </a:extLst>
        </xdr:cNvPr>
        <xdr:cNvCxnSpPr/>
      </xdr:nvCxnSpPr>
      <xdr:spPr>
        <a:xfrm flipH="1" flipV="1">
          <a:off x="2339975" y="4633180"/>
          <a:ext cx="44450" cy="2491520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327025</xdr:colOff>
      <xdr:row>17</xdr:row>
      <xdr:rowOff>47011</xdr:rowOff>
    </xdr:from>
    <xdr:to>
      <xdr:col>3</xdr:col>
      <xdr:colOff>80282</xdr:colOff>
      <xdr:row>17</xdr:row>
      <xdr:rowOff>47011</xdr:rowOff>
    </xdr:to>
    <xdr:cxnSp macro="">
      <xdr:nvCxnSpPr>
        <xdr:cNvPr id="12" name="SCHEMA_T05_SOSTEGNO_02_TR1">
          <a:extLst>
            <a:ext uri="{FF2B5EF4-FFF2-40B4-BE49-F238E27FC236}">
              <a16:creationId xmlns:a16="http://schemas.microsoft.com/office/drawing/2014/main" id="{44977E5B-3A25-EE23-36AA-EFE0BB26598C}"/>
            </a:ext>
          </a:extLst>
        </xdr:cNvPr>
        <xdr:cNvCxnSpPr/>
      </xdr:nvCxnSpPr>
      <xdr:spPr>
        <a:xfrm>
          <a:off x="2295525" y="5081654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327025</xdr:colOff>
      <xdr:row>18</xdr:row>
      <xdr:rowOff>101065</xdr:rowOff>
    </xdr:from>
    <xdr:to>
      <xdr:col>3</xdr:col>
      <xdr:colOff>80282</xdr:colOff>
      <xdr:row>18</xdr:row>
      <xdr:rowOff>101065</xdr:rowOff>
    </xdr:to>
    <xdr:cxnSp macro="">
      <xdr:nvCxnSpPr>
        <xdr:cNvPr id="13" name="SCHEMA_T05_SOSTEGNO_02_TR2">
          <a:extLst>
            <a:ext uri="{FF2B5EF4-FFF2-40B4-BE49-F238E27FC236}">
              <a16:creationId xmlns:a16="http://schemas.microsoft.com/office/drawing/2014/main" id="{552A2CC2-DE64-AE40-C497-1AE4FE72206B}"/>
            </a:ext>
          </a:extLst>
        </xdr:cNvPr>
        <xdr:cNvCxnSpPr/>
      </xdr:nvCxnSpPr>
      <xdr:spPr>
        <a:xfrm>
          <a:off x="2295525" y="5380636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327025</xdr:colOff>
      <xdr:row>19</xdr:row>
      <xdr:rowOff>155118</xdr:rowOff>
    </xdr:from>
    <xdr:to>
      <xdr:col>3</xdr:col>
      <xdr:colOff>80282</xdr:colOff>
      <xdr:row>19</xdr:row>
      <xdr:rowOff>155118</xdr:rowOff>
    </xdr:to>
    <xdr:cxnSp macro="">
      <xdr:nvCxnSpPr>
        <xdr:cNvPr id="14" name="SCHEMA_T05_SOSTEGNO_02_TR3">
          <a:extLst>
            <a:ext uri="{FF2B5EF4-FFF2-40B4-BE49-F238E27FC236}">
              <a16:creationId xmlns:a16="http://schemas.microsoft.com/office/drawing/2014/main" id="{98FF44DE-D870-0F63-248C-775173966E3C}"/>
            </a:ext>
          </a:extLst>
        </xdr:cNvPr>
        <xdr:cNvCxnSpPr/>
      </xdr:nvCxnSpPr>
      <xdr:spPr>
        <a:xfrm>
          <a:off x="2295525" y="5679618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322489</xdr:colOff>
      <xdr:row>15</xdr:row>
      <xdr:rowOff>80601</xdr:rowOff>
    </xdr:from>
    <xdr:to>
      <xdr:col>5</xdr:col>
      <xdr:colOff>31296</xdr:colOff>
      <xdr:row>25</xdr:row>
      <xdr:rowOff>130629</xdr:rowOff>
    </xdr:to>
    <xdr:cxnSp macro="">
      <xdr:nvCxnSpPr>
        <xdr:cNvPr id="15" name="SCHEMA_T05_SOSTEGNO_03_SX">
          <a:extLst>
            <a:ext uri="{FF2B5EF4-FFF2-40B4-BE49-F238E27FC236}">
              <a16:creationId xmlns:a16="http://schemas.microsoft.com/office/drawing/2014/main" id="{95ABA20F-A0CA-3EA5-EBE2-58EBBBF70D7C}"/>
            </a:ext>
          </a:extLst>
        </xdr:cNvPr>
        <xdr:cNvCxnSpPr/>
      </xdr:nvCxnSpPr>
      <xdr:spPr>
        <a:xfrm flipV="1">
          <a:off x="2962275" y="4625387"/>
          <a:ext cx="44450" cy="2499313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31296</xdr:colOff>
      <xdr:row>15</xdr:row>
      <xdr:rowOff>80601</xdr:rowOff>
    </xdr:from>
    <xdr:to>
      <xdr:col>5</xdr:col>
      <xdr:colOff>75746</xdr:colOff>
      <xdr:row>25</xdr:row>
      <xdr:rowOff>130629</xdr:rowOff>
    </xdr:to>
    <xdr:cxnSp macro="">
      <xdr:nvCxnSpPr>
        <xdr:cNvPr id="16" name="SCHEMA_T05_SOSTEGNO_03_DX">
          <a:extLst>
            <a:ext uri="{FF2B5EF4-FFF2-40B4-BE49-F238E27FC236}">
              <a16:creationId xmlns:a16="http://schemas.microsoft.com/office/drawing/2014/main" id="{582BC8A3-F069-1E12-5560-3C0ED5CB4F8E}"/>
            </a:ext>
          </a:extLst>
        </xdr:cNvPr>
        <xdr:cNvCxnSpPr/>
      </xdr:nvCxnSpPr>
      <xdr:spPr>
        <a:xfrm flipH="1" flipV="1">
          <a:off x="3006725" y="4625387"/>
          <a:ext cx="44450" cy="2499313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322489</xdr:colOff>
      <xdr:row>17</xdr:row>
      <xdr:rowOff>40621</xdr:rowOff>
    </xdr:from>
    <xdr:to>
      <xdr:col>5</xdr:col>
      <xdr:colOff>75746</xdr:colOff>
      <xdr:row>17</xdr:row>
      <xdr:rowOff>40621</xdr:rowOff>
    </xdr:to>
    <xdr:cxnSp macro="">
      <xdr:nvCxnSpPr>
        <xdr:cNvPr id="17" name="SCHEMA_T05_SOSTEGNO_03_TR1">
          <a:extLst>
            <a:ext uri="{FF2B5EF4-FFF2-40B4-BE49-F238E27FC236}">
              <a16:creationId xmlns:a16="http://schemas.microsoft.com/office/drawing/2014/main" id="{B81B6CA2-4A0A-2B4C-B896-C42EB81804A1}"/>
            </a:ext>
          </a:extLst>
        </xdr:cNvPr>
        <xdr:cNvCxnSpPr/>
      </xdr:nvCxnSpPr>
      <xdr:spPr>
        <a:xfrm>
          <a:off x="2962275" y="5075264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322489</xdr:colOff>
      <xdr:row>18</xdr:row>
      <xdr:rowOff>95610</xdr:rowOff>
    </xdr:from>
    <xdr:to>
      <xdr:col>5</xdr:col>
      <xdr:colOff>75746</xdr:colOff>
      <xdr:row>18</xdr:row>
      <xdr:rowOff>95610</xdr:rowOff>
    </xdr:to>
    <xdr:cxnSp macro="">
      <xdr:nvCxnSpPr>
        <xdr:cNvPr id="18" name="SCHEMA_T05_SOSTEGNO_03_TR2">
          <a:extLst>
            <a:ext uri="{FF2B5EF4-FFF2-40B4-BE49-F238E27FC236}">
              <a16:creationId xmlns:a16="http://schemas.microsoft.com/office/drawing/2014/main" id="{768337F4-72F7-D685-BDF5-9CED67E6013C}"/>
            </a:ext>
          </a:extLst>
        </xdr:cNvPr>
        <xdr:cNvCxnSpPr/>
      </xdr:nvCxnSpPr>
      <xdr:spPr>
        <a:xfrm>
          <a:off x="2962275" y="5375181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322489</xdr:colOff>
      <xdr:row>19</xdr:row>
      <xdr:rowOff>150599</xdr:rowOff>
    </xdr:from>
    <xdr:to>
      <xdr:col>5</xdr:col>
      <xdr:colOff>75746</xdr:colOff>
      <xdr:row>19</xdr:row>
      <xdr:rowOff>150599</xdr:rowOff>
    </xdr:to>
    <xdr:cxnSp macro="">
      <xdr:nvCxnSpPr>
        <xdr:cNvPr id="19" name="SCHEMA_T05_SOSTEGNO_03_TR3">
          <a:extLst>
            <a:ext uri="{FF2B5EF4-FFF2-40B4-BE49-F238E27FC236}">
              <a16:creationId xmlns:a16="http://schemas.microsoft.com/office/drawing/2014/main" id="{4F1F0F08-861A-572B-DD33-B5F82A43BBE8}"/>
            </a:ext>
          </a:extLst>
        </xdr:cNvPr>
        <xdr:cNvCxnSpPr/>
      </xdr:nvCxnSpPr>
      <xdr:spPr>
        <a:xfrm>
          <a:off x="2962275" y="5675099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317954</xdr:colOff>
      <xdr:row>15</xdr:row>
      <xdr:rowOff>150736</xdr:rowOff>
    </xdr:from>
    <xdr:to>
      <xdr:col>7</xdr:col>
      <xdr:colOff>26761</xdr:colOff>
      <xdr:row>25</xdr:row>
      <xdr:rowOff>130629</xdr:rowOff>
    </xdr:to>
    <xdr:cxnSp macro="">
      <xdr:nvCxnSpPr>
        <xdr:cNvPr id="20" name="SCHEMA_T05_SOSTEGNO_04_SX">
          <a:extLst>
            <a:ext uri="{FF2B5EF4-FFF2-40B4-BE49-F238E27FC236}">
              <a16:creationId xmlns:a16="http://schemas.microsoft.com/office/drawing/2014/main" id="{45BCC4EC-2C27-E5D9-0617-627E5640746D}"/>
            </a:ext>
          </a:extLst>
        </xdr:cNvPr>
        <xdr:cNvCxnSpPr/>
      </xdr:nvCxnSpPr>
      <xdr:spPr>
        <a:xfrm flipV="1">
          <a:off x="3629025" y="4695522"/>
          <a:ext cx="44450" cy="2429178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26761</xdr:colOff>
      <xdr:row>15</xdr:row>
      <xdr:rowOff>150736</xdr:rowOff>
    </xdr:from>
    <xdr:to>
      <xdr:col>7</xdr:col>
      <xdr:colOff>71211</xdr:colOff>
      <xdr:row>25</xdr:row>
      <xdr:rowOff>130629</xdr:rowOff>
    </xdr:to>
    <xdr:cxnSp macro="">
      <xdr:nvCxnSpPr>
        <xdr:cNvPr id="21" name="SCHEMA_T05_SOSTEGNO_04_DX">
          <a:extLst>
            <a:ext uri="{FF2B5EF4-FFF2-40B4-BE49-F238E27FC236}">
              <a16:creationId xmlns:a16="http://schemas.microsoft.com/office/drawing/2014/main" id="{9891B112-382C-C841-2DE0-54B2A1E72079}"/>
            </a:ext>
          </a:extLst>
        </xdr:cNvPr>
        <xdr:cNvCxnSpPr/>
      </xdr:nvCxnSpPr>
      <xdr:spPr>
        <a:xfrm flipH="1" flipV="1">
          <a:off x="3673475" y="4695522"/>
          <a:ext cx="44450" cy="2429178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317954</xdr:colOff>
      <xdr:row>17</xdr:row>
      <xdr:rowOff>98131</xdr:rowOff>
    </xdr:from>
    <xdr:to>
      <xdr:col>7</xdr:col>
      <xdr:colOff>71211</xdr:colOff>
      <xdr:row>17</xdr:row>
      <xdr:rowOff>98131</xdr:rowOff>
    </xdr:to>
    <xdr:cxnSp macro="">
      <xdr:nvCxnSpPr>
        <xdr:cNvPr id="22" name="SCHEMA_T05_SOSTEGNO_04_TR1">
          <a:extLst>
            <a:ext uri="{FF2B5EF4-FFF2-40B4-BE49-F238E27FC236}">
              <a16:creationId xmlns:a16="http://schemas.microsoft.com/office/drawing/2014/main" id="{39400DDF-9EA1-DFE0-8CE1-B676F72C8100}"/>
            </a:ext>
          </a:extLst>
        </xdr:cNvPr>
        <xdr:cNvCxnSpPr/>
      </xdr:nvCxnSpPr>
      <xdr:spPr>
        <a:xfrm>
          <a:off x="3629025" y="5132774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317954</xdr:colOff>
      <xdr:row>18</xdr:row>
      <xdr:rowOff>144704</xdr:rowOff>
    </xdr:from>
    <xdr:to>
      <xdr:col>7</xdr:col>
      <xdr:colOff>71211</xdr:colOff>
      <xdr:row>18</xdr:row>
      <xdr:rowOff>144704</xdr:rowOff>
    </xdr:to>
    <xdr:cxnSp macro="">
      <xdr:nvCxnSpPr>
        <xdr:cNvPr id="23" name="SCHEMA_T05_SOSTEGNO_04_TR2">
          <a:extLst>
            <a:ext uri="{FF2B5EF4-FFF2-40B4-BE49-F238E27FC236}">
              <a16:creationId xmlns:a16="http://schemas.microsoft.com/office/drawing/2014/main" id="{220134C3-8758-EB0D-0BB6-BEAB92FB08A0}"/>
            </a:ext>
          </a:extLst>
        </xdr:cNvPr>
        <xdr:cNvCxnSpPr/>
      </xdr:nvCxnSpPr>
      <xdr:spPr>
        <a:xfrm>
          <a:off x="3629025" y="5424275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317954</xdr:colOff>
      <xdr:row>19</xdr:row>
      <xdr:rowOff>191276</xdr:rowOff>
    </xdr:from>
    <xdr:to>
      <xdr:col>7</xdr:col>
      <xdr:colOff>71211</xdr:colOff>
      <xdr:row>19</xdr:row>
      <xdr:rowOff>191276</xdr:rowOff>
    </xdr:to>
    <xdr:cxnSp macro="">
      <xdr:nvCxnSpPr>
        <xdr:cNvPr id="24" name="SCHEMA_T05_SOSTEGNO_04_TR3">
          <a:extLst>
            <a:ext uri="{FF2B5EF4-FFF2-40B4-BE49-F238E27FC236}">
              <a16:creationId xmlns:a16="http://schemas.microsoft.com/office/drawing/2014/main" id="{6DDCA3B6-0896-2017-D547-B86066236EEF}"/>
            </a:ext>
          </a:extLst>
        </xdr:cNvPr>
        <xdr:cNvCxnSpPr/>
      </xdr:nvCxnSpPr>
      <xdr:spPr>
        <a:xfrm>
          <a:off x="3629025" y="5715776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313418</xdr:colOff>
      <xdr:row>14</xdr:row>
      <xdr:rowOff>193056</xdr:rowOff>
    </xdr:from>
    <xdr:to>
      <xdr:col>9</xdr:col>
      <xdr:colOff>22225</xdr:colOff>
      <xdr:row>25</xdr:row>
      <xdr:rowOff>130629</xdr:rowOff>
    </xdr:to>
    <xdr:cxnSp macro="">
      <xdr:nvCxnSpPr>
        <xdr:cNvPr id="25" name="SCHEMA_T05_SOSTEGNO_05_SX">
          <a:extLst>
            <a:ext uri="{FF2B5EF4-FFF2-40B4-BE49-F238E27FC236}">
              <a16:creationId xmlns:a16="http://schemas.microsoft.com/office/drawing/2014/main" id="{4A0727F3-CA0D-56FD-3B99-65D82122D8A8}"/>
            </a:ext>
          </a:extLst>
        </xdr:cNvPr>
        <xdr:cNvCxnSpPr/>
      </xdr:nvCxnSpPr>
      <xdr:spPr>
        <a:xfrm flipV="1">
          <a:off x="4295775" y="4492913"/>
          <a:ext cx="44450" cy="2631787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22225</xdr:colOff>
      <xdr:row>14</xdr:row>
      <xdr:rowOff>193056</xdr:rowOff>
    </xdr:from>
    <xdr:to>
      <xdr:col>9</xdr:col>
      <xdr:colOff>66675</xdr:colOff>
      <xdr:row>25</xdr:row>
      <xdr:rowOff>130629</xdr:rowOff>
    </xdr:to>
    <xdr:cxnSp macro="">
      <xdr:nvCxnSpPr>
        <xdr:cNvPr id="26" name="SCHEMA_T05_SOSTEGNO_05_DX">
          <a:extLst>
            <a:ext uri="{FF2B5EF4-FFF2-40B4-BE49-F238E27FC236}">
              <a16:creationId xmlns:a16="http://schemas.microsoft.com/office/drawing/2014/main" id="{ABDBAEBA-A32D-B50E-9371-9BB07104D653}"/>
            </a:ext>
          </a:extLst>
        </xdr:cNvPr>
        <xdr:cNvCxnSpPr/>
      </xdr:nvCxnSpPr>
      <xdr:spPr>
        <a:xfrm flipH="1" flipV="1">
          <a:off x="4340225" y="4492913"/>
          <a:ext cx="44450" cy="2631787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313418</xdr:colOff>
      <xdr:row>16</xdr:row>
      <xdr:rowOff>176920</xdr:rowOff>
    </xdr:from>
    <xdr:to>
      <xdr:col>9</xdr:col>
      <xdr:colOff>66675</xdr:colOff>
      <xdr:row>16</xdr:row>
      <xdr:rowOff>176920</xdr:rowOff>
    </xdr:to>
    <xdr:cxnSp macro="">
      <xdr:nvCxnSpPr>
        <xdr:cNvPr id="27" name="SCHEMA_T05_SOSTEGNO_05_TR1">
          <a:extLst>
            <a:ext uri="{FF2B5EF4-FFF2-40B4-BE49-F238E27FC236}">
              <a16:creationId xmlns:a16="http://schemas.microsoft.com/office/drawing/2014/main" id="{0289A49E-D17A-7E59-7303-6E2379CBF2DE}"/>
            </a:ext>
          </a:extLst>
        </xdr:cNvPr>
        <xdr:cNvCxnSpPr/>
      </xdr:nvCxnSpPr>
      <xdr:spPr>
        <a:xfrm>
          <a:off x="4295775" y="4966634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313418</xdr:colOff>
      <xdr:row>18</xdr:row>
      <xdr:rowOff>2878</xdr:rowOff>
    </xdr:from>
    <xdr:to>
      <xdr:col>9</xdr:col>
      <xdr:colOff>66675</xdr:colOff>
      <xdr:row>18</xdr:row>
      <xdr:rowOff>2878</xdr:rowOff>
    </xdr:to>
    <xdr:cxnSp macro="">
      <xdr:nvCxnSpPr>
        <xdr:cNvPr id="28" name="SCHEMA_T05_SOSTEGNO_05_TR2">
          <a:extLst>
            <a:ext uri="{FF2B5EF4-FFF2-40B4-BE49-F238E27FC236}">
              <a16:creationId xmlns:a16="http://schemas.microsoft.com/office/drawing/2014/main" id="{E6D880FE-A239-813E-BE49-BEA5675C85F4}"/>
            </a:ext>
          </a:extLst>
        </xdr:cNvPr>
        <xdr:cNvCxnSpPr/>
      </xdr:nvCxnSpPr>
      <xdr:spPr>
        <a:xfrm>
          <a:off x="4295775" y="5282449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313418</xdr:colOff>
      <xdr:row>19</xdr:row>
      <xdr:rowOff>73763</xdr:rowOff>
    </xdr:from>
    <xdr:to>
      <xdr:col>9</xdr:col>
      <xdr:colOff>66675</xdr:colOff>
      <xdr:row>19</xdr:row>
      <xdr:rowOff>73763</xdr:rowOff>
    </xdr:to>
    <xdr:cxnSp macro="">
      <xdr:nvCxnSpPr>
        <xdr:cNvPr id="29" name="SCHEMA_T05_SOSTEGNO_05_TR3">
          <a:extLst>
            <a:ext uri="{FF2B5EF4-FFF2-40B4-BE49-F238E27FC236}">
              <a16:creationId xmlns:a16="http://schemas.microsoft.com/office/drawing/2014/main" id="{A5DA9E3D-4110-512A-CFC2-374E05BE1DA9}"/>
            </a:ext>
          </a:extLst>
        </xdr:cNvPr>
        <xdr:cNvCxnSpPr/>
      </xdr:nvCxnSpPr>
      <xdr:spPr>
        <a:xfrm>
          <a:off x="4295775" y="5598263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308882</xdr:colOff>
      <xdr:row>15</xdr:row>
      <xdr:rowOff>142943</xdr:rowOff>
    </xdr:from>
    <xdr:to>
      <xdr:col>11</xdr:col>
      <xdr:colOff>17689</xdr:colOff>
      <xdr:row>25</xdr:row>
      <xdr:rowOff>130629</xdr:rowOff>
    </xdr:to>
    <xdr:cxnSp macro="">
      <xdr:nvCxnSpPr>
        <xdr:cNvPr id="30" name="SCHEMA_T05_SOSTEGNO_06_SX">
          <a:extLst>
            <a:ext uri="{FF2B5EF4-FFF2-40B4-BE49-F238E27FC236}">
              <a16:creationId xmlns:a16="http://schemas.microsoft.com/office/drawing/2014/main" id="{BD2BD487-649A-EB19-544A-C3431F50F875}"/>
            </a:ext>
          </a:extLst>
        </xdr:cNvPr>
        <xdr:cNvCxnSpPr/>
      </xdr:nvCxnSpPr>
      <xdr:spPr>
        <a:xfrm flipV="1">
          <a:off x="4962525" y="4687729"/>
          <a:ext cx="44450" cy="2436971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17689</xdr:colOff>
      <xdr:row>15</xdr:row>
      <xdr:rowOff>142943</xdr:rowOff>
    </xdr:from>
    <xdr:to>
      <xdr:col>11</xdr:col>
      <xdr:colOff>62139</xdr:colOff>
      <xdr:row>25</xdr:row>
      <xdr:rowOff>130629</xdr:rowOff>
    </xdr:to>
    <xdr:cxnSp macro="">
      <xdr:nvCxnSpPr>
        <xdr:cNvPr id="31" name="SCHEMA_T05_SOSTEGNO_06_DX">
          <a:extLst>
            <a:ext uri="{FF2B5EF4-FFF2-40B4-BE49-F238E27FC236}">
              <a16:creationId xmlns:a16="http://schemas.microsoft.com/office/drawing/2014/main" id="{C846FAF1-FE1D-A2B3-2246-1DA1EC668839}"/>
            </a:ext>
          </a:extLst>
        </xdr:cNvPr>
        <xdr:cNvCxnSpPr/>
      </xdr:nvCxnSpPr>
      <xdr:spPr>
        <a:xfrm flipH="1" flipV="1">
          <a:off x="5006975" y="4687729"/>
          <a:ext cx="44450" cy="2436971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308882</xdr:colOff>
      <xdr:row>17</xdr:row>
      <xdr:rowOff>91741</xdr:rowOff>
    </xdr:from>
    <xdr:to>
      <xdr:col>11</xdr:col>
      <xdr:colOff>62139</xdr:colOff>
      <xdr:row>17</xdr:row>
      <xdr:rowOff>91741</xdr:rowOff>
    </xdr:to>
    <xdr:cxnSp macro="">
      <xdr:nvCxnSpPr>
        <xdr:cNvPr id="32" name="SCHEMA_T05_SOSTEGNO_06_TR1">
          <a:extLst>
            <a:ext uri="{FF2B5EF4-FFF2-40B4-BE49-F238E27FC236}">
              <a16:creationId xmlns:a16="http://schemas.microsoft.com/office/drawing/2014/main" id="{538CEB39-716D-FDA9-99B1-3E9AD0485FF5}"/>
            </a:ext>
          </a:extLst>
        </xdr:cNvPr>
        <xdr:cNvCxnSpPr/>
      </xdr:nvCxnSpPr>
      <xdr:spPr>
        <a:xfrm>
          <a:off x="4962525" y="5126384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308882</xdr:colOff>
      <xdr:row>18</xdr:row>
      <xdr:rowOff>139249</xdr:rowOff>
    </xdr:from>
    <xdr:to>
      <xdr:col>11</xdr:col>
      <xdr:colOff>62139</xdr:colOff>
      <xdr:row>18</xdr:row>
      <xdr:rowOff>139249</xdr:rowOff>
    </xdr:to>
    <xdr:cxnSp macro="">
      <xdr:nvCxnSpPr>
        <xdr:cNvPr id="33" name="SCHEMA_T05_SOSTEGNO_06_TR2">
          <a:extLst>
            <a:ext uri="{FF2B5EF4-FFF2-40B4-BE49-F238E27FC236}">
              <a16:creationId xmlns:a16="http://schemas.microsoft.com/office/drawing/2014/main" id="{3F15D513-A5EE-C928-ADD9-2B0CB213692A}"/>
            </a:ext>
          </a:extLst>
        </xdr:cNvPr>
        <xdr:cNvCxnSpPr/>
      </xdr:nvCxnSpPr>
      <xdr:spPr>
        <a:xfrm>
          <a:off x="4962525" y="5418820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308882</xdr:colOff>
      <xdr:row>19</xdr:row>
      <xdr:rowOff>186757</xdr:rowOff>
    </xdr:from>
    <xdr:to>
      <xdr:col>11</xdr:col>
      <xdr:colOff>62139</xdr:colOff>
      <xdr:row>19</xdr:row>
      <xdr:rowOff>186757</xdr:rowOff>
    </xdr:to>
    <xdr:cxnSp macro="">
      <xdr:nvCxnSpPr>
        <xdr:cNvPr id="34" name="SCHEMA_T05_SOSTEGNO_06_TR3">
          <a:extLst>
            <a:ext uri="{FF2B5EF4-FFF2-40B4-BE49-F238E27FC236}">
              <a16:creationId xmlns:a16="http://schemas.microsoft.com/office/drawing/2014/main" id="{4734FEC1-CDC4-87E4-79D9-E38B2B84FA0E}"/>
            </a:ext>
          </a:extLst>
        </xdr:cNvPr>
        <xdr:cNvCxnSpPr/>
      </xdr:nvCxnSpPr>
      <xdr:spPr>
        <a:xfrm>
          <a:off x="4962525" y="5711257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304346</xdr:colOff>
      <xdr:row>14</xdr:row>
      <xdr:rowOff>232019</xdr:rowOff>
    </xdr:from>
    <xdr:to>
      <xdr:col>13</xdr:col>
      <xdr:colOff>13154</xdr:colOff>
      <xdr:row>25</xdr:row>
      <xdr:rowOff>130629</xdr:rowOff>
    </xdr:to>
    <xdr:cxnSp macro="">
      <xdr:nvCxnSpPr>
        <xdr:cNvPr id="35" name="SCHEMA_T05_SOSTEGNO_07_SX">
          <a:extLst>
            <a:ext uri="{FF2B5EF4-FFF2-40B4-BE49-F238E27FC236}">
              <a16:creationId xmlns:a16="http://schemas.microsoft.com/office/drawing/2014/main" id="{CDEA4423-EE16-5F88-0675-9C2AA2117325}"/>
            </a:ext>
          </a:extLst>
        </xdr:cNvPr>
        <xdr:cNvCxnSpPr/>
      </xdr:nvCxnSpPr>
      <xdr:spPr>
        <a:xfrm flipV="1">
          <a:off x="5629275" y="4531876"/>
          <a:ext cx="44450" cy="2592824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13154</xdr:colOff>
      <xdr:row>14</xdr:row>
      <xdr:rowOff>232019</xdr:rowOff>
    </xdr:from>
    <xdr:to>
      <xdr:col>13</xdr:col>
      <xdr:colOff>57604</xdr:colOff>
      <xdr:row>25</xdr:row>
      <xdr:rowOff>130629</xdr:rowOff>
    </xdr:to>
    <xdr:cxnSp macro="">
      <xdr:nvCxnSpPr>
        <xdr:cNvPr id="36" name="SCHEMA_T05_SOSTEGNO_07_DX">
          <a:extLst>
            <a:ext uri="{FF2B5EF4-FFF2-40B4-BE49-F238E27FC236}">
              <a16:creationId xmlns:a16="http://schemas.microsoft.com/office/drawing/2014/main" id="{77CAB882-9E0E-FFEA-ACD4-68C426F55E06}"/>
            </a:ext>
          </a:extLst>
        </xdr:cNvPr>
        <xdr:cNvCxnSpPr/>
      </xdr:nvCxnSpPr>
      <xdr:spPr>
        <a:xfrm flipH="1" flipV="1">
          <a:off x="5673725" y="4531876"/>
          <a:ext cx="44450" cy="2592824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304346</xdr:colOff>
      <xdr:row>16</xdr:row>
      <xdr:rowOff>208870</xdr:rowOff>
    </xdr:from>
    <xdr:to>
      <xdr:col>13</xdr:col>
      <xdr:colOff>57604</xdr:colOff>
      <xdr:row>16</xdr:row>
      <xdr:rowOff>208870</xdr:rowOff>
    </xdr:to>
    <xdr:cxnSp macro="">
      <xdr:nvCxnSpPr>
        <xdr:cNvPr id="37" name="SCHEMA_T05_SOSTEGNO_07_TR1">
          <a:extLst>
            <a:ext uri="{FF2B5EF4-FFF2-40B4-BE49-F238E27FC236}">
              <a16:creationId xmlns:a16="http://schemas.microsoft.com/office/drawing/2014/main" id="{EFB07B93-5095-99D0-D481-23EC0CC924E4}"/>
            </a:ext>
          </a:extLst>
        </xdr:cNvPr>
        <xdr:cNvCxnSpPr/>
      </xdr:nvCxnSpPr>
      <xdr:spPr>
        <a:xfrm>
          <a:off x="5629275" y="4998584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304346</xdr:colOff>
      <xdr:row>18</xdr:row>
      <xdr:rowOff>30152</xdr:rowOff>
    </xdr:from>
    <xdr:to>
      <xdr:col>13</xdr:col>
      <xdr:colOff>57604</xdr:colOff>
      <xdr:row>18</xdr:row>
      <xdr:rowOff>30152</xdr:rowOff>
    </xdr:to>
    <xdr:cxnSp macro="">
      <xdr:nvCxnSpPr>
        <xdr:cNvPr id="38" name="SCHEMA_T05_SOSTEGNO_07_TR2">
          <a:extLst>
            <a:ext uri="{FF2B5EF4-FFF2-40B4-BE49-F238E27FC236}">
              <a16:creationId xmlns:a16="http://schemas.microsoft.com/office/drawing/2014/main" id="{9F692370-E9AA-7BC8-B438-97DA25F1F683}"/>
            </a:ext>
          </a:extLst>
        </xdr:cNvPr>
        <xdr:cNvCxnSpPr/>
      </xdr:nvCxnSpPr>
      <xdr:spPr>
        <a:xfrm>
          <a:off x="5629275" y="5309723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304346</xdr:colOff>
      <xdr:row>19</xdr:row>
      <xdr:rowOff>96362</xdr:rowOff>
    </xdr:from>
    <xdr:to>
      <xdr:col>13</xdr:col>
      <xdr:colOff>57604</xdr:colOff>
      <xdr:row>19</xdr:row>
      <xdr:rowOff>96362</xdr:rowOff>
    </xdr:to>
    <xdr:cxnSp macro="">
      <xdr:nvCxnSpPr>
        <xdr:cNvPr id="39" name="SCHEMA_T05_SOSTEGNO_07_TR3">
          <a:extLst>
            <a:ext uri="{FF2B5EF4-FFF2-40B4-BE49-F238E27FC236}">
              <a16:creationId xmlns:a16="http://schemas.microsoft.com/office/drawing/2014/main" id="{33E0B73D-40B0-DCC3-9CBB-A4D2CEE6F184}"/>
            </a:ext>
          </a:extLst>
        </xdr:cNvPr>
        <xdr:cNvCxnSpPr/>
      </xdr:nvCxnSpPr>
      <xdr:spPr>
        <a:xfrm>
          <a:off x="5629275" y="5620862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299811</xdr:colOff>
      <xdr:row>15</xdr:row>
      <xdr:rowOff>236454</xdr:rowOff>
    </xdr:from>
    <xdr:to>
      <xdr:col>15</xdr:col>
      <xdr:colOff>8618</xdr:colOff>
      <xdr:row>25</xdr:row>
      <xdr:rowOff>130629</xdr:rowOff>
    </xdr:to>
    <xdr:cxnSp macro="">
      <xdr:nvCxnSpPr>
        <xdr:cNvPr id="40" name="SCHEMA_T05_SOSTEGNO_08_SX">
          <a:extLst>
            <a:ext uri="{FF2B5EF4-FFF2-40B4-BE49-F238E27FC236}">
              <a16:creationId xmlns:a16="http://schemas.microsoft.com/office/drawing/2014/main" id="{3020FF52-EA1B-DA0B-C833-59D0991A34A2}"/>
            </a:ext>
          </a:extLst>
        </xdr:cNvPr>
        <xdr:cNvCxnSpPr/>
      </xdr:nvCxnSpPr>
      <xdr:spPr>
        <a:xfrm flipV="1">
          <a:off x="6296025" y="4781240"/>
          <a:ext cx="44450" cy="2343460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8618</xdr:colOff>
      <xdr:row>15</xdr:row>
      <xdr:rowOff>236454</xdr:rowOff>
    </xdr:from>
    <xdr:to>
      <xdr:col>15</xdr:col>
      <xdr:colOff>53068</xdr:colOff>
      <xdr:row>25</xdr:row>
      <xdr:rowOff>130629</xdr:rowOff>
    </xdr:to>
    <xdr:cxnSp macro="">
      <xdr:nvCxnSpPr>
        <xdr:cNvPr id="41" name="SCHEMA_T05_SOSTEGNO_08_DX">
          <a:extLst>
            <a:ext uri="{FF2B5EF4-FFF2-40B4-BE49-F238E27FC236}">
              <a16:creationId xmlns:a16="http://schemas.microsoft.com/office/drawing/2014/main" id="{D9F7E384-D420-0445-1BCE-02818141A207}"/>
            </a:ext>
          </a:extLst>
        </xdr:cNvPr>
        <xdr:cNvCxnSpPr/>
      </xdr:nvCxnSpPr>
      <xdr:spPr>
        <a:xfrm flipH="1" flipV="1">
          <a:off x="6340475" y="4781240"/>
          <a:ext cx="44450" cy="2343460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299811</xdr:colOff>
      <xdr:row>17</xdr:row>
      <xdr:rowOff>168420</xdr:rowOff>
    </xdr:from>
    <xdr:to>
      <xdr:col>15</xdr:col>
      <xdr:colOff>53068</xdr:colOff>
      <xdr:row>17</xdr:row>
      <xdr:rowOff>168420</xdr:rowOff>
    </xdr:to>
    <xdr:cxnSp macro="">
      <xdr:nvCxnSpPr>
        <xdr:cNvPr id="42" name="SCHEMA_T05_SOSTEGNO_08_TR1">
          <a:extLst>
            <a:ext uri="{FF2B5EF4-FFF2-40B4-BE49-F238E27FC236}">
              <a16:creationId xmlns:a16="http://schemas.microsoft.com/office/drawing/2014/main" id="{5AAF9E77-CF2B-332D-4D58-0B80D0FD4B5F}"/>
            </a:ext>
          </a:extLst>
        </xdr:cNvPr>
        <xdr:cNvCxnSpPr/>
      </xdr:nvCxnSpPr>
      <xdr:spPr>
        <a:xfrm>
          <a:off x="6296025" y="5203063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299811</xdr:colOff>
      <xdr:row>18</xdr:row>
      <xdr:rowOff>204707</xdr:rowOff>
    </xdr:from>
    <xdr:to>
      <xdr:col>15</xdr:col>
      <xdr:colOff>53068</xdr:colOff>
      <xdr:row>18</xdr:row>
      <xdr:rowOff>204707</xdr:rowOff>
    </xdr:to>
    <xdr:cxnSp macro="">
      <xdr:nvCxnSpPr>
        <xdr:cNvPr id="43" name="SCHEMA_T05_SOSTEGNO_08_TR2">
          <a:extLst>
            <a:ext uri="{FF2B5EF4-FFF2-40B4-BE49-F238E27FC236}">
              <a16:creationId xmlns:a16="http://schemas.microsoft.com/office/drawing/2014/main" id="{48E53EA6-D736-A7D2-9C55-405104694638}"/>
            </a:ext>
          </a:extLst>
        </xdr:cNvPr>
        <xdr:cNvCxnSpPr/>
      </xdr:nvCxnSpPr>
      <xdr:spPr>
        <a:xfrm>
          <a:off x="6296025" y="5484278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299811</xdr:colOff>
      <xdr:row>19</xdr:row>
      <xdr:rowOff>240993</xdr:rowOff>
    </xdr:from>
    <xdr:to>
      <xdr:col>15</xdr:col>
      <xdr:colOff>53068</xdr:colOff>
      <xdr:row>19</xdr:row>
      <xdr:rowOff>240993</xdr:rowOff>
    </xdr:to>
    <xdr:cxnSp macro="">
      <xdr:nvCxnSpPr>
        <xdr:cNvPr id="44" name="SCHEMA_T05_SOSTEGNO_08_TR3">
          <a:extLst>
            <a:ext uri="{FF2B5EF4-FFF2-40B4-BE49-F238E27FC236}">
              <a16:creationId xmlns:a16="http://schemas.microsoft.com/office/drawing/2014/main" id="{AFF2672E-7B94-A9CE-66C1-59B439F5A084}"/>
            </a:ext>
          </a:extLst>
        </xdr:cNvPr>
        <xdr:cNvCxnSpPr/>
      </xdr:nvCxnSpPr>
      <xdr:spPr>
        <a:xfrm>
          <a:off x="6296025" y="5765493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295275</xdr:colOff>
      <xdr:row>15</xdr:row>
      <xdr:rowOff>150736</xdr:rowOff>
    </xdr:from>
    <xdr:to>
      <xdr:col>17</xdr:col>
      <xdr:colOff>4082</xdr:colOff>
      <xdr:row>25</xdr:row>
      <xdr:rowOff>130629</xdr:rowOff>
    </xdr:to>
    <xdr:cxnSp macro="">
      <xdr:nvCxnSpPr>
        <xdr:cNvPr id="45" name="SCHEMA_T05_SOSTEGNO_09_SX">
          <a:extLst>
            <a:ext uri="{FF2B5EF4-FFF2-40B4-BE49-F238E27FC236}">
              <a16:creationId xmlns:a16="http://schemas.microsoft.com/office/drawing/2014/main" id="{12CF8D72-8D80-27CE-E0A9-EACF20E4324A}"/>
            </a:ext>
          </a:extLst>
        </xdr:cNvPr>
        <xdr:cNvCxnSpPr/>
      </xdr:nvCxnSpPr>
      <xdr:spPr>
        <a:xfrm flipV="1">
          <a:off x="6962775" y="4695522"/>
          <a:ext cx="44450" cy="2429178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4082</xdr:colOff>
      <xdr:row>15</xdr:row>
      <xdr:rowOff>150736</xdr:rowOff>
    </xdr:from>
    <xdr:to>
      <xdr:col>17</xdr:col>
      <xdr:colOff>48532</xdr:colOff>
      <xdr:row>25</xdr:row>
      <xdr:rowOff>130629</xdr:rowOff>
    </xdr:to>
    <xdr:cxnSp macro="">
      <xdr:nvCxnSpPr>
        <xdr:cNvPr id="46" name="SCHEMA_T05_SOSTEGNO_09_DX">
          <a:extLst>
            <a:ext uri="{FF2B5EF4-FFF2-40B4-BE49-F238E27FC236}">
              <a16:creationId xmlns:a16="http://schemas.microsoft.com/office/drawing/2014/main" id="{FB33BE10-8B93-7ECF-33A9-F53965F9D759}"/>
            </a:ext>
          </a:extLst>
        </xdr:cNvPr>
        <xdr:cNvCxnSpPr/>
      </xdr:nvCxnSpPr>
      <xdr:spPr>
        <a:xfrm flipH="1" flipV="1">
          <a:off x="7007225" y="4695522"/>
          <a:ext cx="44450" cy="2429178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295275</xdr:colOff>
      <xdr:row>17</xdr:row>
      <xdr:rowOff>98131</xdr:rowOff>
    </xdr:from>
    <xdr:to>
      <xdr:col>17</xdr:col>
      <xdr:colOff>48532</xdr:colOff>
      <xdr:row>17</xdr:row>
      <xdr:rowOff>98131</xdr:rowOff>
    </xdr:to>
    <xdr:cxnSp macro="">
      <xdr:nvCxnSpPr>
        <xdr:cNvPr id="47" name="SCHEMA_T05_SOSTEGNO_09_TR1">
          <a:extLst>
            <a:ext uri="{FF2B5EF4-FFF2-40B4-BE49-F238E27FC236}">
              <a16:creationId xmlns:a16="http://schemas.microsoft.com/office/drawing/2014/main" id="{14D28003-697A-A222-2075-7ABEF7EC0091}"/>
            </a:ext>
          </a:extLst>
        </xdr:cNvPr>
        <xdr:cNvCxnSpPr/>
      </xdr:nvCxnSpPr>
      <xdr:spPr>
        <a:xfrm>
          <a:off x="6962775" y="5132774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295275</xdr:colOff>
      <xdr:row>18</xdr:row>
      <xdr:rowOff>144704</xdr:rowOff>
    </xdr:from>
    <xdr:to>
      <xdr:col>17</xdr:col>
      <xdr:colOff>48532</xdr:colOff>
      <xdr:row>18</xdr:row>
      <xdr:rowOff>144704</xdr:rowOff>
    </xdr:to>
    <xdr:cxnSp macro="">
      <xdr:nvCxnSpPr>
        <xdr:cNvPr id="48" name="SCHEMA_T05_SOSTEGNO_09_TR2">
          <a:extLst>
            <a:ext uri="{FF2B5EF4-FFF2-40B4-BE49-F238E27FC236}">
              <a16:creationId xmlns:a16="http://schemas.microsoft.com/office/drawing/2014/main" id="{523635CF-9E69-E1FA-D6FA-2C04A2410C59}"/>
            </a:ext>
          </a:extLst>
        </xdr:cNvPr>
        <xdr:cNvCxnSpPr/>
      </xdr:nvCxnSpPr>
      <xdr:spPr>
        <a:xfrm>
          <a:off x="6962775" y="5424275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295275</xdr:colOff>
      <xdr:row>19</xdr:row>
      <xdr:rowOff>191276</xdr:rowOff>
    </xdr:from>
    <xdr:to>
      <xdr:col>17</xdr:col>
      <xdr:colOff>48532</xdr:colOff>
      <xdr:row>19</xdr:row>
      <xdr:rowOff>191276</xdr:rowOff>
    </xdr:to>
    <xdr:cxnSp macro="">
      <xdr:nvCxnSpPr>
        <xdr:cNvPr id="49" name="SCHEMA_T05_SOSTEGNO_09_TR3">
          <a:extLst>
            <a:ext uri="{FF2B5EF4-FFF2-40B4-BE49-F238E27FC236}">
              <a16:creationId xmlns:a16="http://schemas.microsoft.com/office/drawing/2014/main" id="{19503CCE-BB2F-E95D-DA8A-1D86C0942270}"/>
            </a:ext>
          </a:extLst>
        </xdr:cNvPr>
        <xdr:cNvCxnSpPr/>
      </xdr:nvCxnSpPr>
      <xdr:spPr>
        <a:xfrm>
          <a:off x="6962775" y="5715776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290739</xdr:colOff>
      <xdr:row>15</xdr:row>
      <xdr:rowOff>220869</xdr:rowOff>
    </xdr:from>
    <xdr:to>
      <xdr:col>18</xdr:col>
      <xdr:colOff>335189</xdr:colOff>
      <xdr:row>25</xdr:row>
      <xdr:rowOff>130629</xdr:rowOff>
    </xdr:to>
    <xdr:cxnSp macro="">
      <xdr:nvCxnSpPr>
        <xdr:cNvPr id="50" name="SCHEMA_T05_SOSTEGNO_10_SX">
          <a:extLst>
            <a:ext uri="{FF2B5EF4-FFF2-40B4-BE49-F238E27FC236}">
              <a16:creationId xmlns:a16="http://schemas.microsoft.com/office/drawing/2014/main" id="{4BFEC989-95AB-6C20-2659-BEAF21DD47B1}"/>
            </a:ext>
          </a:extLst>
        </xdr:cNvPr>
        <xdr:cNvCxnSpPr/>
      </xdr:nvCxnSpPr>
      <xdr:spPr>
        <a:xfrm flipV="1">
          <a:off x="7629525" y="4765655"/>
          <a:ext cx="44450" cy="2359045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335189</xdr:colOff>
      <xdr:row>15</xdr:row>
      <xdr:rowOff>220869</xdr:rowOff>
    </xdr:from>
    <xdr:to>
      <xdr:col>19</xdr:col>
      <xdr:colOff>43996</xdr:colOff>
      <xdr:row>25</xdr:row>
      <xdr:rowOff>130629</xdr:rowOff>
    </xdr:to>
    <xdr:cxnSp macro="">
      <xdr:nvCxnSpPr>
        <xdr:cNvPr id="51" name="SCHEMA_T05_SOSTEGNO_10_DX">
          <a:extLst>
            <a:ext uri="{FF2B5EF4-FFF2-40B4-BE49-F238E27FC236}">
              <a16:creationId xmlns:a16="http://schemas.microsoft.com/office/drawing/2014/main" id="{8CD2D6CF-6FD7-2F1C-BE31-05662A23A460}"/>
            </a:ext>
          </a:extLst>
        </xdr:cNvPr>
        <xdr:cNvCxnSpPr/>
      </xdr:nvCxnSpPr>
      <xdr:spPr>
        <a:xfrm flipH="1" flipV="1">
          <a:off x="7673975" y="4765655"/>
          <a:ext cx="44450" cy="2359045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290739</xdr:colOff>
      <xdr:row>17</xdr:row>
      <xdr:rowOff>155640</xdr:rowOff>
    </xdr:from>
    <xdr:to>
      <xdr:col>19</xdr:col>
      <xdr:colOff>43996</xdr:colOff>
      <xdr:row>17</xdr:row>
      <xdr:rowOff>155640</xdr:rowOff>
    </xdr:to>
    <xdr:cxnSp macro="">
      <xdr:nvCxnSpPr>
        <xdr:cNvPr id="52" name="SCHEMA_T05_SOSTEGNO_10_TR1">
          <a:extLst>
            <a:ext uri="{FF2B5EF4-FFF2-40B4-BE49-F238E27FC236}">
              <a16:creationId xmlns:a16="http://schemas.microsoft.com/office/drawing/2014/main" id="{07CA474A-D6C5-2226-BA32-6A45E5F8591D}"/>
            </a:ext>
          </a:extLst>
        </xdr:cNvPr>
        <xdr:cNvCxnSpPr/>
      </xdr:nvCxnSpPr>
      <xdr:spPr>
        <a:xfrm>
          <a:off x="7629525" y="5190283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290739</xdr:colOff>
      <xdr:row>18</xdr:row>
      <xdr:rowOff>193798</xdr:rowOff>
    </xdr:from>
    <xdr:to>
      <xdr:col>19</xdr:col>
      <xdr:colOff>43996</xdr:colOff>
      <xdr:row>18</xdr:row>
      <xdr:rowOff>193798</xdr:rowOff>
    </xdr:to>
    <xdr:cxnSp macro="">
      <xdr:nvCxnSpPr>
        <xdr:cNvPr id="53" name="SCHEMA_T05_SOSTEGNO_10_TR2">
          <a:extLst>
            <a:ext uri="{FF2B5EF4-FFF2-40B4-BE49-F238E27FC236}">
              <a16:creationId xmlns:a16="http://schemas.microsoft.com/office/drawing/2014/main" id="{C2345FB6-5F2F-FFCB-79F0-6E1ED6237464}"/>
            </a:ext>
          </a:extLst>
        </xdr:cNvPr>
        <xdr:cNvCxnSpPr/>
      </xdr:nvCxnSpPr>
      <xdr:spPr>
        <a:xfrm>
          <a:off x="7629525" y="5473369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290739</xdr:colOff>
      <xdr:row>19</xdr:row>
      <xdr:rowOff>231954</xdr:rowOff>
    </xdr:from>
    <xdr:to>
      <xdr:col>19</xdr:col>
      <xdr:colOff>43996</xdr:colOff>
      <xdr:row>19</xdr:row>
      <xdr:rowOff>231954</xdr:rowOff>
    </xdr:to>
    <xdr:cxnSp macro="">
      <xdr:nvCxnSpPr>
        <xdr:cNvPr id="54" name="SCHEMA_T05_SOSTEGNO_10_TR3">
          <a:extLst>
            <a:ext uri="{FF2B5EF4-FFF2-40B4-BE49-F238E27FC236}">
              <a16:creationId xmlns:a16="http://schemas.microsoft.com/office/drawing/2014/main" id="{060E8EBA-B8D7-27B1-2130-787261828DC4}"/>
            </a:ext>
          </a:extLst>
        </xdr:cNvPr>
        <xdr:cNvCxnSpPr/>
      </xdr:nvCxnSpPr>
      <xdr:spPr>
        <a:xfrm>
          <a:off x="7629525" y="5756454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286204</xdr:colOff>
      <xdr:row>15</xdr:row>
      <xdr:rowOff>197491</xdr:rowOff>
    </xdr:from>
    <xdr:to>
      <xdr:col>20</xdr:col>
      <xdr:colOff>330654</xdr:colOff>
      <xdr:row>25</xdr:row>
      <xdr:rowOff>130629</xdr:rowOff>
    </xdr:to>
    <xdr:cxnSp macro="">
      <xdr:nvCxnSpPr>
        <xdr:cNvPr id="55" name="SCHEMA_T05_SOSTEGNO_11_SX">
          <a:extLst>
            <a:ext uri="{FF2B5EF4-FFF2-40B4-BE49-F238E27FC236}">
              <a16:creationId xmlns:a16="http://schemas.microsoft.com/office/drawing/2014/main" id="{ED72D894-6820-BA16-CC20-4C8F31CA880F}"/>
            </a:ext>
          </a:extLst>
        </xdr:cNvPr>
        <xdr:cNvCxnSpPr/>
      </xdr:nvCxnSpPr>
      <xdr:spPr>
        <a:xfrm flipV="1">
          <a:off x="8296275" y="4742277"/>
          <a:ext cx="44450" cy="2382423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330654</xdr:colOff>
      <xdr:row>15</xdr:row>
      <xdr:rowOff>197491</xdr:rowOff>
    </xdr:from>
    <xdr:to>
      <xdr:col>21</xdr:col>
      <xdr:colOff>39461</xdr:colOff>
      <xdr:row>25</xdr:row>
      <xdr:rowOff>130629</xdr:rowOff>
    </xdr:to>
    <xdr:cxnSp macro="">
      <xdr:nvCxnSpPr>
        <xdr:cNvPr id="56" name="SCHEMA_T05_SOSTEGNO_11_DX">
          <a:extLst>
            <a:ext uri="{FF2B5EF4-FFF2-40B4-BE49-F238E27FC236}">
              <a16:creationId xmlns:a16="http://schemas.microsoft.com/office/drawing/2014/main" id="{6DE0219B-432E-0AF8-B8F9-114CF4B12AF4}"/>
            </a:ext>
          </a:extLst>
        </xdr:cNvPr>
        <xdr:cNvCxnSpPr/>
      </xdr:nvCxnSpPr>
      <xdr:spPr>
        <a:xfrm flipH="1" flipV="1">
          <a:off x="8340725" y="4742277"/>
          <a:ext cx="44450" cy="2382423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286204</xdr:colOff>
      <xdr:row>17</xdr:row>
      <xdr:rowOff>136470</xdr:rowOff>
    </xdr:from>
    <xdr:to>
      <xdr:col>21</xdr:col>
      <xdr:colOff>39461</xdr:colOff>
      <xdr:row>17</xdr:row>
      <xdr:rowOff>136470</xdr:rowOff>
    </xdr:to>
    <xdr:cxnSp macro="">
      <xdr:nvCxnSpPr>
        <xdr:cNvPr id="57" name="SCHEMA_T05_SOSTEGNO_11_TR1">
          <a:extLst>
            <a:ext uri="{FF2B5EF4-FFF2-40B4-BE49-F238E27FC236}">
              <a16:creationId xmlns:a16="http://schemas.microsoft.com/office/drawing/2014/main" id="{A68EE654-5361-A635-B234-59454EE67866}"/>
            </a:ext>
          </a:extLst>
        </xdr:cNvPr>
        <xdr:cNvCxnSpPr/>
      </xdr:nvCxnSpPr>
      <xdr:spPr>
        <a:xfrm>
          <a:off x="8296275" y="5171113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286204</xdr:colOff>
      <xdr:row>18</xdr:row>
      <xdr:rowOff>177433</xdr:rowOff>
    </xdr:from>
    <xdr:to>
      <xdr:col>21</xdr:col>
      <xdr:colOff>39461</xdr:colOff>
      <xdr:row>18</xdr:row>
      <xdr:rowOff>177433</xdr:rowOff>
    </xdr:to>
    <xdr:cxnSp macro="">
      <xdr:nvCxnSpPr>
        <xdr:cNvPr id="58" name="SCHEMA_T05_SOSTEGNO_11_TR2">
          <a:extLst>
            <a:ext uri="{FF2B5EF4-FFF2-40B4-BE49-F238E27FC236}">
              <a16:creationId xmlns:a16="http://schemas.microsoft.com/office/drawing/2014/main" id="{8E55FD09-64D9-AA50-42E5-A8BD22A87838}"/>
            </a:ext>
          </a:extLst>
        </xdr:cNvPr>
        <xdr:cNvCxnSpPr/>
      </xdr:nvCxnSpPr>
      <xdr:spPr>
        <a:xfrm>
          <a:off x="8296275" y="5457004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286204</xdr:colOff>
      <xdr:row>19</xdr:row>
      <xdr:rowOff>218395</xdr:rowOff>
    </xdr:from>
    <xdr:to>
      <xdr:col>21</xdr:col>
      <xdr:colOff>39461</xdr:colOff>
      <xdr:row>19</xdr:row>
      <xdr:rowOff>218395</xdr:rowOff>
    </xdr:to>
    <xdr:cxnSp macro="">
      <xdr:nvCxnSpPr>
        <xdr:cNvPr id="59" name="SCHEMA_T05_SOSTEGNO_11_TR3">
          <a:extLst>
            <a:ext uri="{FF2B5EF4-FFF2-40B4-BE49-F238E27FC236}">
              <a16:creationId xmlns:a16="http://schemas.microsoft.com/office/drawing/2014/main" id="{D93ECC7B-B2EA-77DC-5231-65EE47631AA0}"/>
            </a:ext>
          </a:extLst>
        </xdr:cNvPr>
        <xdr:cNvCxnSpPr/>
      </xdr:nvCxnSpPr>
      <xdr:spPr>
        <a:xfrm>
          <a:off x="8296275" y="5742895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281668</xdr:colOff>
      <xdr:row>14</xdr:row>
      <xdr:rowOff>200849</xdr:rowOff>
    </xdr:from>
    <xdr:to>
      <xdr:col>22</xdr:col>
      <xdr:colOff>326118</xdr:colOff>
      <xdr:row>25</xdr:row>
      <xdr:rowOff>130629</xdr:rowOff>
    </xdr:to>
    <xdr:cxnSp macro="">
      <xdr:nvCxnSpPr>
        <xdr:cNvPr id="60" name="SCHEMA_T05_SOSTEGNO_12_SX">
          <a:extLst>
            <a:ext uri="{FF2B5EF4-FFF2-40B4-BE49-F238E27FC236}">
              <a16:creationId xmlns:a16="http://schemas.microsoft.com/office/drawing/2014/main" id="{C274B3EF-B1CA-6CAF-1408-24D880931A84}"/>
            </a:ext>
          </a:extLst>
        </xdr:cNvPr>
        <xdr:cNvCxnSpPr/>
      </xdr:nvCxnSpPr>
      <xdr:spPr>
        <a:xfrm flipV="1">
          <a:off x="8963025" y="4500706"/>
          <a:ext cx="44450" cy="2623994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326118</xdr:colOff>
      <xdr:row>14</xdr:row>
      <xdr:rowOff>200849</xdr:rowOff>
    </xdr:from>
    <xdr:to>
      <xdr:col>23</xdr:col>
      <xdr:colOff>34925</xdr:colOff>
      <xdr:row>25</xdr:row>
      <xdr:rowOff>130629</xdr:rowOff>
    </xdr:to>
    <xdr:cxnSp macro="">
      <xdr:nvCxnSpPr>
        <xdr:cNvPr id="61" name="SCHEMA_T05_SOSTEGNO_12_DX">
          <a:extLst>
            <a:ext uri="{FF2B5EF4-FFF2-40B4-BE49-F238E27FC236}">
              <a16:creationId xmlns:a16="http://schemas.microsoft.com/office/drawing/2014/main" id="{6B618BA8-CABF-5ECD-95CE-79ABF976B11E}"/>
            </a:ext>
          </a:extLst>
        </xdr:cNvPr>
        <xdr:cNvCxnSpPr/>
      </xdr:nvCxnSpPr>
      <xdr:spPr>
        <a:xfrm flipH="1" flipV="1">
          <a:off x="9007475" y="4500706"/>
          <a:ext cx="44450" cy="2623994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281668</xdr:colOff>
      <xdr:row>16</xdr:row>
      <xdr:rowOff>183310</xdr:rowOff>
    </xdr:from>
    <xdr:to>
      <xdr:col>23</xdr:col>
      <xdr:colOff>34925</xdr:colOff>
      <xdr:row>16</xdr:row>
      <xdr:rowOff>183310</xdr:rowOff>
    </xdr:to>
    <xdr:cxnSp macro="">
      <xdr:nvCxnSpPr>
        <xdr:cNvPr id="62" name="SCHEMA_T05_SOSTEGNO_12_TR1">
          <a:extLst>
            <a:ext uri="{FF2B5EF4-FFF2-40B4-BE49-F238E27FC236}">
              <a16:creationId xmlns:a16="http://schemas.microsoft.com/office/drawing/2014/main" id="{01288A21-8806-9AD7-EF0D-707A15547052}"/>
            </a:ext>
          </a:extLst>
        </xdr:cNvPr>
        <xdr:cNvCxnSpPr/>
      </xdr:nvCxnSpPr>
      <xdr:spPr>
        <a:xfrm>
          <a:off x="8963025" y="4973024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281668</xdr:colOff>
      <xdr:row>18</xdr:row>
      <xdr:rowOff>8333</xdr:rowOff>
    </xdr:from>
    <xdr:to>
      <xdr:col>23</xdr:col>
      <xdr:colOff>34925</xdr:colOff>
      <xdr:row>18</xdr:row>
      <xdr:rowOff>8333</xdr:rowOff>
    </xdr:to>
    <xdr:cxnSp macro="">
      <xdr:nvCxnSpPr>
        <xdr:cNvPr id="63" name="SCHEMA_T05_SOSTEGNO_12_TR2">
          <a:extLst>
            <a:ext uri="{FF2B5EF4-FFF2-40B4-BE49-F238E27FC236}">
              <a16:creationId xmlns:a16="http://schemas.microsoft.com/office/drawing/2014/main" id="{291EC329-A592-460C-A036-D8C19F228FFA}"/>
            </a:ext>
          </a:extLst>
        </xdr:cNvPr>
        <xdr:cNvCxnSpPr/>
      </xdr:nvCxnSpPr>
      <xdr:spPr>
        <a:xfrm>
          <a:off x="8963025" y="5287904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281668</xdr:colOff>
      <xdr:row>19</xdr:row>
      <xdr:rowOff>78283</xdr:rowOff>
    </xdr:from>
    <xdr:to>
      <xdr:col>23</xdr:col>
      <xdr:colOff>34925</xdr:colOff>
      <xdr:row>19</xdr:row>
      <xdr:rowOff>78283</xdr:rowOff>
    </xdr:to>
    <xdr:cxnSp macro="">
      <xdr:nvCxnSpPr>
        <xdr:cNvPr id="554" name="SCHEMA_T05_SOSTEGNO_12_TR3">
          <a:extLst>
            <a:ext uri="{FF2B5EF4-FFF2-40B4-BE49-F238E27FC236}">
              <a16:creationId xmlns:a16="http://schemas.microsoft.com/office/drawing/2014/main" id="{9052D4AD-58C8-B735-7608-99823FE1723B}"/>
            </a:ext>
          </a:extLst>
        </xdr:cNvPr>
        <xdr:cNvCxnSpPr/>
      </xdr:nvCxnSpPr>
      <xdr:spPr>
        <a:xfrm>
          <a:off x="8963025" y="5602783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277132</xdr:colOff>
      <xdr:row>15</xdr:row>
      <xdr:rowOff>150736</xdr:rowOff>
    </xdr:from>
    <xdr:to>
      <xdr:col>24</xdr:col>
      <xdr:colOff>321582</xdr:colOff>
      <xdr:row>25</xdr:row>
      <xdr:rowOff>130629</xdr:rowOff>
    </xdr:to>
    <xdr:cxnSp macro="">
      <xdr:nvCxnSpPr>
        <xdr:cNvPr id="555" name="SCHEMA_T05_SOSTEGNO_13_SX">
          <a:extLst>
            <a:ext uri="{FF2B5EF4-FFF2-40B4-BE49-F238E27FC236}">
              <a16:creationId xmlns:a16="http://schemas.microsoft.com/office/drawing/2014/main" id="{15D919ED-252D-C0F3-5810-CD974FAD6162}"/>
            </a:ext>
          </a:extLst>
        </xdr:cNvPr>
        <xdr:cNvCxnSpPr/>
      </xdr:nvCxnSpPr>
      <xdr:spPr>
        <a:xfrm flipV="1">
          <a:off x="9629775" y="4695522"/>
          <a:ext cx="44450" cy="2429178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321582</xdr:colOff>
      <xdr:row>15</xdr:row>
      <xdr:rowOff>150736</xdr:rowOff>
    </xdr:from>
    <xdr:to>
      <xdr:col>25</xdr:col>
      <xdr:colOff>30389</xdr:colOff>
      <xdr:row>25</xdr:row>
      <xdr:rowOff>130629</xdr:rowOff>
    </xdr:to>
    <xdr:cxnSp macro="">
      <xdr:nvCxnSpPr>
        <xdr:cNvPr id="556" name="SCHEMA_T05_SOSTEGNO_13_DX">
          <a:extLst>
            <a:ext uri="{FF2B5EF4-FFF2-40B4-BE49-F238E27FC236}">
              <a16:creationId xmlns:a16="http://schemas.microsoft.com/office/drawing/2014/main" id="{B2AA4487-104E-B89E-67D2-8C80B90B2A05}"/>
            </a:ext>
          </a:extLst>
        </xdr:cNvPr>
        <xdr:cNvCxnSpPr/>
      </xdr:nvCxnSpPr>
      <xdr:spPr>
        <a:xfrm flipH="1" flipV="1">
          <a:off x="9674225" y="4695522"/>
          <a:ext cx="44450" cy="2429178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277132</xdr:colOff>
      <xdr:row>17</xdr:row>
      <xdr:rowOff>98131</xdr:rowOff>
    </xdr:from>
    <xdr:to>
      <xdr:col>25</xdr:col>
      <xdr:colOff>30389</xdr:colOff>
      <xdr:row>17</xdr:row>
      <xdr:rowOff>98131</xdr:rowOff>
    </xdr:to>
    <xdr:cxnSp macro="">
      <xdr:nvCxnSpPr>
        <xdr:cNvPr id="557" name="SCHEMA_T05_SOSTEGNO_13_TR1">
          <a:extLst>
            <a:ext uri="{FF2B5EF4-FFF2-40B4-BE49-F238E27FC236}">
              <a16:creationId xmlns:a16="http://schemas.microsoft.com/office/drawing/2014/main" id="{342D3FEB-7A7D-A5DB-4806-6B77D1811F45}"/>
            </a:ext>
          </a:extLst>
        </xdr:cNvPr>
        <xdr:cNvCxnSpPr/>
      </xdr:nvCxnSpPr>
      <xdr:spPr>
        <a:xfrm>
          <a:off x="9629775" y="5132774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277132</xdr:colOff>
      <xdr:row>18</xdr:row>
      <xdr:rowOff>144704</xdr:rowOff>
    </xdr:from>
    <xdr:to>
      <xdr:col>25</xdr:col>
      <xdr:colOff>30389</xdr:colOff>
      <xdr:row>18</xdr:row>
      <xdr:rowOff>144704</xdr:rowOff>
    </xdr:to>
    <xdr:cxnSp macro="">
      <xdr:nvCxnSpPr>
        <xdr:cNvPr id="558" name="SCHEMA_T05_SOSTEGNO_13_TR2">
          <a:extLst>
            <a:ext uri="{FF2B5EF4-FFF2-40B4-BE49-F238E27FC236}">
              <a16:creationId xmlns:a16="http://schemas.microsoft.com/office/drawing/2014/main" id="{464F1E85-3E62-7477-D2AC-06D05B051587}"/>
            </a:ext>
          </a:extLst>
        </xdr:cNvPr>
        <xdr:cNvCxnSpPr/>
      </xdr:nvCxnSpPr>
      <xdr:spPr>
        <a:xfrm>
          <a:off x="9629775" y="5424275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277132</xdr:colOff>
      <xdr:row>19</xdr:row>
      <xdr:rowOff>191276</xdr:rowOff>
    </xdr:from>
    <xdr:to>
      <xdr:col>25</xdr:col>
      <xdr:colOff>30389</xdr:colOff>
      <xdr:row>19</xdr:row>
      <xdr:rowOff>191276</xdr:rowOff>
    </xdr:to>
    <xdr:cxnSp macro="">
      <xdr:nvCxnSpPr>
        <xdr:cNvPr id="559" name="SCHEMA_T05_SOSTEGNO_13_TR3">
          <a:extLst>
            <a:ext uri="{FF2B5EF4-FFF2-40B4-BE49-F238E27FC236}">
              <a16:creationId xmlns:a16="http://schemas.microsoft.com/office/drawing/2014/main" id="{4D50BDA8-8377-24C3-063C-7BD0872F6074}"/>
            </a:ext>
          </a:extLst>
        </xdr:cNvPr>
        <xdr:cNvCxnSpPr/>
      </xdr:nvCxnSpPr>
      <xdr:spPr>
        <a:xfrm>
          <a:off x="9629775" y="5715776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272596</xdr:colOff>
      <xdr:row>13</xdr:row>
      <xdr:rowOff>9388</xdr:rowOff>
    </xdr:from>
    <xdr:to>
      <xdr:col>26</xdr:col>
      <xdr:colOff>317046</xdr:colOff>
      <xdr:row>25</xdr:row>
      <xdr:rowOff>130629</xdr:rowOff>
    </xdr:to>
    <xdr:cxnSp macro="">
      <xdr:nvCxnSpPr>
        <xdr:cNvPr id="560" name="SCHEMA_T05_SOSTEGNO_14_SX">
          <a:extLst>
            <a:ext uri="{FF2B5EF4-FFF2-40B4-BE49-F238E27FC236}">
              <a16:creationId xmlns:a16="http://schemas.microsoft.com/office/drawing/2014/main" id="{19DBDB0B-4BDF-D31B-0CB4-4936FEBE39F1}"/>
            </a:ext>
          </a:extLst>
        </xdr:cNvPr>
        <xdr:cNvCxnSpPr/>
      </xdr:nvCxnSpPr>
      <xdr:spPr>
        <a:xfrm flipV="1">
          <a:off x="10296525" y="4064317"/>
          <a:ext cx="44450" cy="3060383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317046</xdr:colOff>
      <xdr:row>13</xdr:row>
      <xdr:rowOff>9388</xdr:rowOff>
    </xdr:from>
    <xdr:to>
      <xdr:col>27</xdr:col>
      <xdr:colOff>25854</xdr:colOff>
      <xdr:row>25</xdr:row>
      <xdr:rowOff>130629</xdr:rowOff>
    </xdr:to>
    <xdr:cxnSp macro="">
      <xdr:nvCxnSpPr>
        <xdr:cNvPr id="561" name="SCHEMA_T05_SOSTEGNO_14_DX">
          <a:extLst>
            <a:ext uri="{FF2B5EF4-FFF2-40B4-BE49-F238E27FC236}">
              <a16:creationId xmlns:a16="http://schemas.microsoft.com/office/drawing/2014/main" id="{3C96B670-762E-07D6-D145-D4C50F67D43E}"/>
            </a:ext>
          </a:extLst>
        </xdr:cNvPr>
        <xdr:cNvCxnSpPr/>
      </xdr:nvCxnSpPr>
      <xdr:spPr>
        <a:xfrm flipH="1" flipV="1">
          <a:off x="10340975" y="4064317"/>
          <a:ext cx="44450" cy="3060383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272596</xdr:colOff>
      <xdr:row>15</xdr:row>
      <xdr:rowOff>70401</xdr:rowOff>
    </xdr:from>
    <xdr:to>
      <xdr:col>27</xdr:col>
      <xdr:colOff>25854</xdr:colOff>
      <xdr:row>15</xdr:row>
      <xdr:rowOff>70401</xdr:rowOff>
    </xdr:to>
    <xdr:cxnSp macro="">
      <xdr:nvCxnSpPr>
        <xdr:cNvPr id="562" name="SCHEMA_T05_SOSTEGNO_14_TR1">
          <a:extLst>
            <a:ext uri="{FF2B5EF4-FFF2-40B4-BE49-F238E27FC236}">
              <a16:creationId xmlns:a16="http://schemas.microsoft.com/office/drawing/2014/main" id="{C80476E4-FE7D-DA99-D2AF-39133C1D46F4}"/>
            </a:ext>
          </a:extLst>
        </xdr:cNvPr>
        <xdr:cNvCxnSpPr/>
      </xdr:nvCxnSpPr>
      <xdr:spPr>
        <a:xfrm>
          <a:off x="10296525" y="4615187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272596</xdr:colOff>
      <xdr:row>16</xdr:row>
      <xdr:rowOff>192718</xdr:rowOff>
    </xdr:from>
    <xdr:to>
      <xdr:col>27</xdr:col>
      <xdr:colOff>25854</xdr:colOff>
      <xdr:row>16</xdr:row>
      <xdr:rowOff>192718</xdr:rowOff>
    </xdr:to>
    <xdr:cxnSp macro="">
      <xdr:nvCxnSpPr>
        <xdr:cNvPr id="563" name="SCHEMA_T05_SOSTEGNO_14_TR2">
          <a:extLst>
            <a:ext uri="{FF2B5EF4-FFF2-40B4-BE49-F238E27FC236}">
              <a16:creationId xmlns:a16="http://schemas.microsoft.com/office/drawing/2014/main" id="{7E8EB522-705D-7A8E-0A9D-FE094232BE24}"/>
            </a:ext>
          </a:extLst>
        </xdr:cNvPr>
        <xdr:cNvCxnSpPr/>
      </xdr:nvCxnSpPr>
      <xdr:spPr>
        <a:xfrm>
          <a:off x="10296525" y="4982432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272596</xdr:colOff>
      <xdr:row>18</xdr:row>
      <xdr:rowOff>70107</xdr:rowOff>
    </xdr:from>
    <xdr:to>
      <xdr:col>27</xdr:col>
      <xdr:colOff>25854</xdr:colOff>
      <xdr:row>18</xdr:row>
      <xdr:rowOff>70107</xdr:rowOff>
    </xdr:to>
    <xdr:cxnSp macro="">
      <xdr:nvCxnSpPr>
        <xdr:cNvPr id="564" name="SCHEMA_T05_SOSTEGNO_14_TR3">
          <a:extLst>
            <a:ext uri="{FF2B5EF4-FFF2-40B4-BE49-F238E27FC236}">
              <a16:creationId xmlns:a16="http://schemas.microsoft.com/office/drawing/2014/main" id="{4E1EFD63-80CF-9934-458A-93BF5FCBC5FB}"/>
            </a:ext>
          </a:extLst>
        </xdr:cNvPr>
        <xdr:cNvCxnSpPr/>
      </xdr:nvCxnSpPr>
      <xdr:spPr>
        <a:xfrm>
          <a:off x="10296525" y="5349678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40368</xdr:colOff>
      <xdr:row>15</xdr:row>
      <xdr:rowOff>216825</xdr:rowOff>
    </xdr:from>
    <xdr:to>
      <xdr:col>1</xdr:col>
      <xdr:colOff>262618</xdr:colOff>
      <xdr:row>15</xdr:row>
      <xdr:rowOff>241748</xdr:rowOff>
    </xdr:to>
    <xdr:cxnSp macro="">
      <xdr:nvCxnSpPr>
        <xdr:cNvPr id="565" name="SCHEMA_T05_COND_0001">
          <a:extLst>
            <a:ext uri="{FF2B5EF4-FFF2-40B4-BE49-F238E27FC236}">
              <a16:creationId xmlns:a16="http://schemas.microsoft.com/office/drawing/2014/main" id="{83359470-DE7C-D5DE-A97C-AC8E6114995D}"/>
            </a:ext>
          </a:extLst>
        </xdr:cNvPr>
        <xdr:cNvCxnSpPr/>
      </xdr:nvCxnSpPr>
      <xdr:spPr>
        <a:xfrm>
          <a:off x="1673225" y="4761611"/>
          <a:ext cx="222250" cy="24923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262618</xdr:colOff>
      <xdr:row>15</xdr:row>
      <xdr:rowOff>182005</xdr:rowOff>
    </xdr:from>
    <xdr:to>
      <xdr:col>2</xdr:col>
      <xdr:colOff>149225</xdr:colOff>
      <xdr:row>15</xdr:row>
      <xdr:rowOff>241748</xdr:rowOff>
    </xdr:to>
    <xdr:cxnSp macro="">
      <xdr:nvCxnSpPr>
        <xdr:cNvPr id="566" name="SCHEMA_T05_COND_0002">
          <a:extLst>
            <a:ext uri="{FF2B5EF4-FFF2-40B4-BE49-F238E27FC236}">
              <a16:creationId xmlns:a16="http://schemas.microsoft.com/office/drawing/2014/main" id="{103B6908-E27F-1035-16B4-FF4F56A06887}"/>
            </a:ext>
          </a:extLst>
        </xdr:cNvPr>
        <xdr:cNvCxnSpPr/>
      </xdr:nvCxnSpPr>
      <xdr:spPr>
        <a:xfrm flipV="1">
          <a:off x="1895475" y="4726791"/>
          <a:ext cx="222250" cy="59743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149225</xdr:colOff>
      <xdr:row>15</xdr:row>
      <xdr:rowOff>37594</xdr:rowOff>
    </xdr:from>
    <xdr:to>
      <xdr:col>3</xdr:col>
      <xdr:colOff>35832</xdr:colOff>
      <xdr:row>15</xdr:row>
      <xdr:rowOff>182005</xdr:rowOff>
    </xdr:to>
    <xdr:cxnSp macro="">
      <xdr:nvCxnSpPr>
        <xdr:cNvPr id="567" name="SCHEMA_T05_COND_0003">
          <a:extLst>
            <a:ext uri="{FF2B5EF4-FFF2-40B4-BE49-F238E27FC236}">
              <a16:creationId xmlns:a16="http://schemas.microsoft.com/office/drawing/2014/main" id="{94104BC3-66C9-F312-BE62-7C2F0E01B7E6}"/>
            </a:ext>
          </a:extLst>
        </xdr:cNvPr>
        <xdr:cNvCxnSpPr/>
      </xdr:nvCxnSpPr>
      <xdr:spPr>
        <a:xfrm flipV="1">
          <a:off x="2117725" y="4582380"/>
          <a:ext cx="222250" cy="144411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40368</xdr:colOff>
      <xdr:row>16</xdr:row>
      <xdr:rowOff>136997</xdr:rowOff>
    </xdr:from>
    <xdr:to>
      <xdr:col>1</xdr:col>
      <xdr:colOff>262618</xdr:colOff>
      <xdr:row>16</xdr:row>
      <xdr:rowOff>161920</xdr:rowOff>
    </xdr:to>
    <xdr:cxnSp macro="">
      <xdr:nvCxnSpPr>
        <xdr:cNvPr id="568" name="SCHEMA_T05_COND_0004">
          <a:extLst>
            <a:ext uri="{FF2B5EF4-FFF2-40B4-BE49-F238E27FC236}">
              <a16:creationId xmlns:a16="http://schemas.microsoft.com/office/drawing/2014/main" id="{D9A50F23-74A2-6109-4A63-1410A827164C}"/>
            </a:ext>
          </a:extLst>
        </xdr:cNvPr>
        <xdr:cNvCxnSpPr/>
      </xdr:nvCxnSpPr>
      <xdr:spPr>
        <a:xfrm>
          <a:off x="1673225" y="4926711"/>
          <a:ext cx="222250" cy="2492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262618</xdr:colOff>
      <xdr:row>16</xdr:row>
      <xdr:rowOff>102177</xdr:rowOff>
    </xdr:from>
    <xdr:to>
      <xdr:col>2</xdr:col>
      <xdr:colOff>149225</xdr:colOff>
      <xdr:row>16</xdr:row>
      <xdr:rowOff>161920</xdr:rowOff>
    </xdr:to>
    <xdr:cxnSp macro="">
      <xdr:nvCxnSpPr>
        <xdr:cNvPr id="569" name="SCHEMA_T05_COND_0005">
          <a:extLst>
            <a:ext uri="{FF2B5EF4-FFF2-40B4-BE49-F238E27FC236}">
              <a16:creationId xmlns:a16="http://schemas.microsoft.com/office/drawing/2014/main" id="{20ECED9F-2DF1-EFB5-65EA-34E604766D37}"/>
            </a:ext>
          </a:extLst>
        </xdr:cNvPr>
        <xdr:cNvCxnSpPr/>
      </xdr:nvCxnSpPr>
      <xdr:spPr>
        <a:xfrm flipV="1">
          <a:off x="1895475" y="4891891"/>
          <a:ext cx="222250" cy="5974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149225</xdr:colOff>
      <xdr:row>15</xdr:row>
      <xdr:rowOff>202694</xdr:rowOff>
    </xdr:from>
    <xdr:to>
      <xdr:col>3</xdr:col>
      <xdr:colOff>35832</xdr:colOff>
      <xdr:row>16</xdr:row>
      <xdr:rowOff>102177</xdr:rowOff>
    </xdr:to>
    <xdr:cxnSp macro="">
      <xdr:nvCxnSpPr>
        <xdr:cNvPr id="570" name="SCHEMA_T05_COND_0006">
          <a:extLst>
            <a:ext uri="{FF2B5EF4-FFF2-40B4-BE49-F238E27FC236}">
              <a16:creationId xmlns:a16="http://schemas.microsoft.com/office/drawing/2014/main" id="{9DB54262-DB19-E1B0-273B-EB27EFE9C3E4}"/>
            </a:ext>
          </a:extLst>
        </xdr:cNvPr>
        <xdr:cNvCxnSpPr/>
      </xdr:nvCxnSpPr>
      <xdr:spPr>
        <a:xfrm flipV="1">
          <a:off x="2117725" y="4747480"/>
          <a:ext cx="222250" cy="14441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40368</xdr:colOff>
      <xdr:row>16</xdr:row>
      <xdr:rowOff>238597</xdr:rowOff>
    </xdr:from>
    <xdr:to>
      <xdr:col>1</xdr:col>
      <xdr:colOff>262618</xdr:colOff>
      <xdr:row>17</xdr:row>
      <xdr:rowOff>18591</xdr:rowOff>
    </xdr:to>
    <xdr:cxnSp macro="">
      <xdr:nvCxnSpPr>
        <xdr:cNvPr id="571" name="SCHEMA_T05_COND_0007">
          <a:extLst>
            <a:ext uri="{FF2B5EF4-FFF2-40B4-BE49-F238E27FC236}">
              <a16:creationId xmlns:a16="http://schemas.microsoft.com/office/drawing/2014/main" id="{C044550C-AC89-93B6-CFDF-96813C5ADF88}"/>
            </a:ext>
          </a:extLst>
        </xdr:cNvPr>
        <xdr:cNvCxnSpPr/>
      </xdr:nvCxnSpPr>
      <xdr:spPr>
        <a:xfrm>
          <a:off x="1673225" y="5028311"/>
          <a:ext cx="222250" cy="2492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262618</xdr:colOff>
      <xdr:row>16</xdr:row>
      <xdr:rowOff>203777</xdr:rowOff>
    </xdr:from>
    <xdr:to>
      <xdr:col>2</xdr:col>
      <xdr:colOff>149225</xdr:colOff>
      <xdr:row>17</xdr:row>
      <xdr:rowOff>18591</xdr:rowOff>
    </xdr:to>
    <xdr:cxnSp macro="">
      <xdr:nvCxnSpPr>
        <xdr:cNvPr id="572" name="SCHEMA_T05_COND_0008">
          <a:extLst>
            <a:ext uri="{FF2B5EF4-FFF2-40B4-BE49-F238E27FC236}">
              <a16:creationId xmlns:a16="http://schemas.microsoft.com/office/drawing/2014/main" id="{8730BAD2-257C-5489-FD07-AF6985257C6F}"/>
            </a:ext>
          </a:extLst>
        </xdr:cNvPr>
        <xdr:cNvCxnSpPr/>
      </xdr:nvCxnSpPr>
      <xdr:spPr>
        <a:xfrm flipV="1">
          <a:off x="1895475" y="4993491"/>
          <a:ext cx="222250" cy="5974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149225</xdr:colOff>
      <xdr:row>16</xdr:row>
      <xdr:rowOff>59366</xdr:rowOff>
    </xdr:from>
    <xdr:to>
      <xdr:col>3</xdr:col>
      <xdr:colOff>35832</xdr:colOff>
      <xdr:row>16</xdr:row>
      <xdr:rowOff>203777</xdr:rowOff>
    </xdr:to>
    <xdr:cxnSp macro="">
      <xdr:nvCxnSpPr>
        <xdr:cNvPr id="573" name="SCHEMA_T05_COND_0009">
          <a:extLst>
            <a:ext uri="{FF2B5EF4-FFF2-40B4-BE49-F238E27FC236}">
              <a16:creationId xmlns:a16="http://schemas.microsoft.com/office/drawing/2014/main" id="{322636E4-735C-5ABC-8F89-306E7E62F67C}"/>
            </a:ext>
          </a:extLst>
        </xdr:cNvPr>
        <xdr:cNvCxnSpPr/>
      </xdr:nvCxnSpPr>
      <xdr:spPr>
        <a:xfrm flipV="1">
          <a:off x="2117725" y="4849080"/>
          <a:ext cx="222250" cy="14441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40368</xdr:colOff>
      <xdr:row>17</xdr:row>
      <xdr:rowOff>146068</xdr:rowOff>
    </xdr:from>
    <xdr:to>
      <xdr:col>1</xdr:col>
      <xdr:colOff>262618</xdr:colOff>
      <xdr:row>17</xdr:row>
      <xdr:rowOff>170991</xdr:rowOff>
    </xdr:to>
    <xdr:cxnSp macro="">
      <xdr:nvCxnSpPr>
        <xdr:cNvPr id="574" name="SCHEMA_T05_COND_0010">
          <a:extLst>
            <a:ext uri="{FF2B5EF4-FFF2-40B4-BE49-F238E27FC236}">
              <a16:creationId xmlns:a16="http://schemas.microsoft.com/office/drawing/2014/main" id="{F156DB8B-2364-8496-59D0-79A149F2CCED}"/>
            </a:ext>
          </a:extLst>
        </xdr:cNvPr>
        <xdr:cNvCxnSpPr/>
      </xdr:nvCxnSpPr>
      <xdr:spPr>
        <a:xfrm>
          <a:off x="1673225" y="5180711"/>
          <a:ext cx="222250" cy="2492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262618</xdr:colOff>
      <xdr:row>17</xdr:row>
      <xdr:rowOff>111248</xdr:rowOff>
    </xdr:from>
    <xdr:to>
      <xdr:col>2</xdr:col>
      <xdr:colOff>149225</xdr:colOff>
      <xdr:row>17</xdr:row>
      <xdr:rowOff>170991</xdr:rowOff>
    </xdr:to>
    <xdr:cxnSp macro="">
      <xdr:nvCxnSpPr>
        <xdr:cNvPr id="575" name="SCHEMA_T05_COND_0011">
          <a:extLst>
            <a:ext uri="{FF2B5EF4-FFF2-40B4-BE49-F238E27FC236}">
              <a16:creationId xmlns:a16="http://schemas.microsoft.com/office/drawing/2014/main" id="{B8DBC03A-484A-E2AE-EFF2-BF0F372162CB}"/>
            </a:ext>
          </a:extLst>
        </xdr:cNvPr>
        <xdr:cNvCxnSpPr/>
      </xdr:nvCxnSpPr>
      <xdr:spPr>
        <a:xfrm flipV="1">
          <a:off x="1895475" y="5145891"/>
          <a:ext cx="222250" cy="5974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149225</xdr:colOff>
      <xdr:row>16</xdr:row>
      <xdr:rowOff>211766</xdr:rowOff>
    </xdr:from>
    <xdr:to>
      <xdr:col>3</xdr:col>
      <xdr:colOff>35832</xdr:colOff>
      <xdr:row>17</xdr:row>
      <xdr:rowOff>111248</xdr:rowOff>
    </xdr:to>
    <xdr:cxnSp macro="">
      <xdr:nvCxnSpPr>
        <xdr:cNvPr id="1000" name="SCHEMA_T05_COND_0012">
          <a:extLst>
            <a:ext uri="{FF2B5EF4-FFF2-40B4-BE49-F238E27FC236}">
              <a16:creationId xmlns:a16="http://schemas.microsoft.com/office/drawing/2014/main" id="{88BBE0FB-9428-583F-B4A4-D848555D867A}"/>
            </a:ext>
          </a:extLst>
        </xdr:cNvPr>
        <xdr:cNvCxnSpPr/>
      </xdr:nvCxnSpPr>
      <xdr:spPr>
        <a:xfrm flipV="1">
          <a:off x="2117725" y="5001480"/>
          <a:ext cx="222250" cy="14441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40368</xdr:colOff>
      <xdr:row>18</xdr:row>
      <xdr:rowOff>2740</xdr:rowOff>
    </xdr:from>
    <xdr:to>
      <xdr:col>1</xdr:col>
      <xdr:colOff>262618</xdr:colOff>
      <xdr:row>18</xdr:row>
      <xdr:rowOff>27663</xdr:rowOff>
    </xdr:to>
    <xdr:cxnSp macro="">
      <xdr:nvCxnSpPr>
        <xdr:cNvPr id="1001" name="SCHEMA_T05_COND_0013">
          <a:extLst>
            <a:ext uri="{FF2B5EF4-FFF2-40B4-BE49-F238E27FC236}">
              <a16:creationId xmlns:a16="http://schemas.microsoft.com/office/drawing/2014/main" id="{B553DE24-1DD3-F39E-52ED-3A19D0C9E41B}"/>
            </a:ext>
          </a:extLst>
        </xdr:cNvPr>
        <xdr:cNvCxnSpPr/>
      </xdr:nvCxnSpPr>
      <xdr:spPr>
        <a:xfrm>
          <a:off x="1673225" y="5282311"/>
          <a:ext cx="222250" cy="2492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262618</xdr:colOff>
      <xdr:row>17</xdr:row>
      <xdr:rowOff>212848</xdr:rowOff>
    </xdr:from>
    <xdr:to>
      <xdr:col>2</xdr:col>
      <xdr:colOff>149225</xdr:colOff>
      <xdr:row>18</xdr:row>
      <xdr:rowOff>27663</xdr:rowOff>
    </xdr:to>
    <xdr:cxnSp macro="">
      <xdr:nvCxnSpPr>
        <xdr:cNvPr id="1002" name="SCHEMA_T05_COND_0014">
          <a:extLst>
            <a:ext uri="{FF2B5EF4-FFF2-40B4-BE49-F238E27FC236}">
              <a16:creationId xmlns:a16="http://schemas.microsoft.com/office/drawing/2014/main" id="{F641B14E-7595-449A-2EEE-267216453D45}"/>
            </a:ext>
          </a:extLst>
        </xdr:cNvPr>
        <xdr:cNvCxnSpPr/>
      </xdr:nvCxnSpPr>
      <xdr:spPr>
        <a:xfrm flipV="1">
          <a:off x="1895475" y="5247491"/>
          <a:ext cx="222250" cy="5974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149225</xdr:colOff>
      <xdr:row>17</xdr:row>
      <xdr:rowOff>68437</xdr:rowOff>
    </xdr:from>
    <xdr:to>
      <xdr:col>3</xdr:col>
      <xdr:colOff>35832</xdr:colOff>
      <xdr:row>17</xdr:row>
      <xdr:rowOff>212848</xdr:rowOff>
    </xdr:to>
    <xdr:cxnSp macro="">
      <xdr:nvCxnSpPr>
        <xdr:cNvPr id="1003" name="SCHEMA_T05_COND_0015">
          <a:extLst>
            <a:ext uri="{FF2B5EF4-FFF2-40B4-BE49-F238E27FC236}">
              <a16:creationId xmlns:a16="http://schemas.microsoft.com/office/drawing/2014/main" id="{71D337D1-9678-F3F3-6661-3CBB022E60DF}"/>
            </a:ext>
          </a:extLst>
        </xdr:cNvPr>
        <xdr:cNvCxnSpPr/>
      </xdr:nvCxnSpPr>
      <xdr:spPr>
        <a:xfrm flipV="1">
          <a:off x="2117725" y="5103080"/>
          <a:ext cx="222250" cy="14441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25</xdr:row>
      <xdr:rowOff>41729</xdr:rowOff>
    </xdr:from>
    <xdr:to>
      <xdr:col>2</xdr:col>
      <xdr:colOff>76200</xdr:colOff>
      <xdr:row>25</xdr:row>
      <xdr:rowOff>117929</xdr:rowOff>
    </xdr:to>
    <xdr:sp macro="" textlink="">
      <xdr:nvSpPr>
        <xdr:cNvPr id="1004" name="SCHEMA_T05_ATTRAV_01">
          <a:extLst>
            <a:ext uri="{FF2B5EF4-FFF2-40B4-BE49-F238E27FC236}">
              <a16:creationId xmlns:a16="http://schemas.microsoft.com/office/drawing/2014/main" id="{3C6FF620-F5C4-F372-118C-62D17E6502FE}"/>
            </a:ext>
          </a:extLst>
        </xdr:cNvPr>
        <xdr:cNvSpPr/>
      </xdr:nvSpPr>
      <xdr:spPr>
        <a:xfrm>
          <a:off x="1968500" y="7035800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35832</xdr:colOff>
      <xdr:row>15</xdr:row>
      <xdr:rowOff>37594</xdr:rowOff>
    </xdr:from>
    <xdr:to>
      <xdr:col>3</xdr:col>
      <xdr:colOff>258082</xdr:colOff>
      <xdr:row>15</xdr:row>
      <xdr:rowOff>119663</xdr:rowOff>
    </xdr:to>
    <xdr:cxnSp macro="">
      <xdr:nvCxnSpPr>
        <xdr:cNvPr id="1005" name="SCHEMA_T05_COND_0016">
          <a:extLst>
            <a:ext uri="{FF2B5EF4-FFF2-40B4-BE49-F238E27FC236}">
              <a16:creationId xmlns:a16="http://schemas.microsoft.com/office/drawing/2014/main" id="{A1773F13-146F-68D4-9282-0BE79141D2FD}"/>
            </a:ext>
          </a:extLst>
        </xdr:cNvPr>
        <xdr:cNvCxnSpPr/>
      </xdr:nvCxnSpPr>
      <xdr:spPr>
        <a:xfrm>
          <a:off x="2339975" y="4582380"/>
          <a:ext cx="222250" cy="82069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258082</xdr:colOff>
      <xdr:row>15</xdr:row>
      <xdr:rowOff>117066</xdr:rowOff>
    </xdr:from>
    <xdr:to>
      <xdr:col>4</xdr:col>
      <xdr:colOff>144689</xdr:colOff>
      <xdr:row>15</xdr:row>
      <xdr:rowOff>119663</xdr:rowOff>
    </xdr:to>
    <xdr:cxnSp macro="">
      <xdr:nvCxnSpPr>
        <xdr:cNvPr id="1006" name="SCHEMA_T05_COND_0017">
          <a:extLst>
            <a:ext uri="{FF2B5EF4-FFF2-40B4-BE49-F238E27FC236}">
              <a16:creationId xmlns:a16="http://schemas.microsoft.com/office/drawing/2014/main" id="{D5D82F11-42DB-6F0D-526E-A359D998D93E}"/>
            </a:ext>
          </a:extLst>
        </xdr:cNvPr>
        <xdr:cNvCxnSpPr/>
      </xdr:nvCxnSpPr>
      <xdr:spPr>
        <a:xfrm flipV="1">
          <a:off x="2562225" y="4661852"/>
          <a:ext cx="222250" cy="2597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144689</xdr:colOff>
      <xdr:row>15</xdr:row>
      <xdr:rowOff>29801</xdr:rowOff>
    </xdr:from>
    <xdr:to>
      <xdr:col>5</xdr:col>
      <xdr:colOff>31296</xdr:colOff>
      <xdr:row>15</xdr:row>
      <xdr:rowOff>117066</xdr:rowOff>
    </xdr:to>
    <xdr:cxnSp macro="">
      <xdr:nvCxnSpPr>
        <xdr:cNvPr id="1007" name="SCHEMA_T05_COND_0018">
          <a:extLst>
            <a:ext uri="{FF2B5EF4-FFF2-40B4-BE49-F238E27FC236}">
              <a16:creationId xmlns:a16="http://schemas.microsoft.com/office/drawing/2014/main" id="{5B227A7A-EC69-F2EC-C29A-266395DFFD04}"/>
            </a:ext>
          </a:extLst>
        </xdr:cNvPr>
        <xdr:cNvCxnSpPr/>
      </xdr:nvCxnSpPr>
      <xdr:spPr>
        <a:xfrm flipV="1">
          <a:off x="2784475" y="4574587"/>
          <a:ext cx="222250" cy="87265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35832</xdr:colOff>
      <xdr:row>15</xdr:row>
      <xdr:rowOff>202694</xdr:rowOff>
    </xdr:from>
    <xdr:to>
      <xdr:col>3</xdr:col>
      <xdr:colOff>258082</xdr:colOff>
      <xdr:row>16</xdr:row>
      <xdr:rowOff>39835</xdr:rowOff>
    </xdr:to>
    <xdr:cxnSp macro="">
      <xdr:nvCxnSpPr>
        <xdr:cNvPr id="1008" name="SCHEMA_T05_COND_0019">
          <a:extLst>
            <a:ext uri="{FF2B5EF4-FFF2-40B4-BE49-F238E27FC236}">
              <a16:creationId xmlns:a16="http://schemas.microsoft.com/office/drawing/2014/main" id="{E21BDF9D-19B5-5FFE-2F49-F4B3E984BD50}"/>
            </a:ext>
          </a:extLst>
        </xdr:cNvPr>
        <xdr:cNvCxnSpPr/>
      </xdr:nvCxnSpPr>
      <xdr:spPr>
        <a:xfrm>
          <a:off x="2339975" y="4747480"/>
          <a:ext cx="222250" cy="8206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258082</xdr:colOff>
      <xdr:row>16</xdr:row>
      <xdr:rowOff>37238</xdr:rowOff>
    </xdr:from>
    <xdr:to>
      <xdr:col>4</xdr:col>
      <xdr:colOff>144689</xdr:colOff>
      <xdr:row>16</xdr:row>
      <xdr:rowOff>39835</xdr:rowOff>
    </xdr:to>
    <xdr:cxnSp macro="">
      <xdr:nvCxnSpPr>
        <xdr:cNvPr id="1009" name="SCHEMA_T05_COND_0020">
          <a:extLst>
            <a:ext uri="{FF2B5EF4-FFF2-40B4-BE49-F238E27FC236}">
              <a16:creationId xmlns:a16="http://schemas.microsoft.com/office/drawing/2014/main" id="{3518DAD0-4647-1F47-09B9-1B857C8CC778}"/>
            </a:ext>
          </a:extLst>
        </xdr:cNvPr>
        <xdr:cNvCxnSpPr/>
      </xdr:nvCxnSpPr>
      <xdr:spPr>
        <a:xfrm flipV="1">
          <a:off x="2562225" y="4826952"/>
          <a:ext cx="222250" cy="259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144689</xdr:colOff>
      <xdr:row>15</xdr:row>
      <xdr:rowOff>194901</xdr:rowOff>
    </xdr:from>
    <xdr:to>
      <xdr:col>5</xdr:col>
      <xdr:colOff>31296</xdr:colOff>
      <xdr:row>16</xdr:row>
      <xdr:rowOff>37238</xdr:rowOff>
    </xdr:to>
    <xdr:cxnSp macro="">
      <xdr:nvCxnSpPr>
        <xdr:cNvPr id="1010" name="SCHEMA_T05_COND_0021">
          <a:extLst>
            <a:ext uri="{FF2B5EF4-FFF2-40B4-BE49-F238E27FC236}">
              <a16:creationId xmlns:a16="http://schemas.microsoft.com/office/drawing/2014/main" id="{3C0FAFB0-1638-38C6-6197-3C45CA565A71}"/>
            </a:ext>
          </a:extLst>
        </xdr:cNvPr>
        <xdr:cNvCxnSpPr/>
      </xdr:nvCxnSpPr>
      <xdr:spPr>
        <a:xfrm flipV="1">
          <a:off x="2784475" y="4739687"/>
          <a:ext cx="222250" cy="8726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35832</xdr:colOff>
      <xdr:row>16</xdr:row>
      <xdr:rowOff>59366</xdr:rowOff>
    </xdr:from>
    <xdr:to>
      <xdr:col>3</xdr:col>
      <xdr:colOff>258082</xdr:colOff>
      <xdr:row>16</xdr:row>
      <xdr:rowOff>141435</xdr:rowOff>
    </xdr:to>
    <xdr:cxnSp macro="">
      <xdr:nvCxnSpPr>
        <xdr:cNvPr id="1011" name="SCHEMA_T05_COND_0022">
          <a:extLst>
            <a:ext uri="{FF2B5EF4-FFF2-40B4-BE49-F238E27FC236}">
              <a16:creationId xmlns:a16="http://schemas.microsoft.com/office/drawing/2014/main" id="{87E2344C-D185-A967-FB6E-EE81FEA80314}"/>
            </a:ext>
          </a:extLst>
        </xdr:cNvPr>
        <xdr:cNvCxnSpPr/>
      </xdr:nvCxnSpPr>
      <xdr:spPr>
        <a:xfrm>
          <a:off x="2339975" y="4849080"/>
          <a:ext cx="222250" cy="8206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258082</xdr:colOff>
      <xdr:row>16</xdr:row>
      <xdr:rowOff>138838</xdr:rowOff>
    </xdr:from>
    <xdr:to>
      <xdr:col>4</xdr:col>
      <xdr:colOff>144689</xdr:colOff>
      <xdr:row>16</xdr:row>
      <xdr:rowOff>141435</xdr:rowOff>
    </xdr:to>
    <xdr:cxnSp macro="">
      <xdr:nvCxnSpPr>
        <xdr:cNvPr id="1012" name="SCHEMA_T05_COND_0023">
          <a:extLst>
            <a:ext uri="{FF2B5EF4-FFF2-40B4-BE49-F238E27FC236}">
              <a16:creationId xmlns:a16="http://schemas.microsoft.com/office/drawing/2014/main" id="{FB79952B-8E47-1A28-CED8-A82DE89F34D4}"/>
            </a:ext>
          </a:extLst>
        </xdr:cNvPr>
        <xdr:cNvCxnSpPr/>
      </xdr:nvCxnSpPr>
      <xdr:spPr>
        <a:xfrm flipV="1">
          <a:off x="2562225" y="4928552"/>
          <a:ext cx="222250" cy="259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144689</xdr:colOff>
      <xdr:row>16</xdr:row>
      <xdr:rowOff>51573</xdr:rowOff>
    </xdr:from>
    <xdr:to>
      <xdr:col>5</xdr:col>
      <xdr:colOff>31296</xdr:colOff>
      <xdr:row>16</xdr:row>
      <xdr:rowOff>138838</xdr:rowOff>
    </xdr:to>
    <xdr:cxnSp macro="">
      <xdr:nvCxnSpPr>
        <xdr:cNvPr id="1013" name="SCHEMA_T05_COND_0024">
          <a:extLst>
            <a:ext uri="{FF2B5EF4-FFF2-40B4-BE49-F238E27FC236}">
              <a16:creationId xmlns:a16="http://schemas.microsoft.com/office/drawing/2014/main" id="{C5A18836-6077-909A-2E69-749426D0E883}"/>
            </a:ext>
          </a:extLst>
        </xdr:cNvPr>
        <xdr:cNvCxnSpPr/>
      </xdr:nvCxnSpPr>
      <xdr:spPr>
        <a:xfrm flipV="1">
          <a:off x="2784475" y="4841287"/>
          <a:ext cx="222250" cy="8726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35832</xdr:colOff>
      <xdr:row>16</xdr:row>
      <xdr:rowOff>211766</xdr:rowOff>
    </xdr:from>
    <xdr:to>
      <xdr:col>3</xdr:col>
      <xdr:colOff>258082</xdr:colOff>
      <xdr:row>17</xdr:row>
      <xdr:rowOff>48906</xdr:rowOff>
    </xdr:to>
    <xdr:cxnSp macro="">
      <xdr:nvCxnSpPr>
        <xdr:cNvPr id="1014" name="SCHEMA_T05_COND_0025">
          <a:extLst>
            <a:ext uri="{FF2B5EF4-FFF2-40B4-BE49-F238E27FC236}">
              <a16:creationId xmlns:a16="http://schemas.microsoft.com/office/drawing/2014/main" id="{6D781EC8-2929-3ED5-2D43-83855993B0F5}"/>
            </a:ext>
          </a:extLst>
        </xdr:cNvPr>
        <xdr:cNvCxnSpPr/>
      </xdr:nvCxnSpPr>
      <xdr:spPr>
        <a:xfrm>
          <a:off x="2339975" y="5001480"/>
          <a:ext cx="222250" cy="8206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258082</xdr:colOff>
      <xdr:row>17</xdr:row>
      <xdr:rowOff>46309</xdr:rowOff>
    </xdr:from>
    <xdr:to>
      <xdr:col>4</xdr:col>
      <xdr:colOff>144689</xdr:colOff>
      <xdr:row>17</xdr:row>
      <xdr:rowOff>48906</xdr:rowOff>
    </xdr:to>
    <xdr:cxnSp macro="">
      <xdr:nvCxnSpPr>
        <xdr:cNvPr id="1015" name="SCHEMA_T05_COND_0026">
          <a:extLst>
            <a:ext uri="{FF2B5EF4-FFF2-40B4-BE49-F238E27FC236}">
              <a16:creationId xmlns:a16="http://schemas.microsoft.com/office/drawing/2014/main" id="{2553EEA2-B2A6-006D-24DB-60209871A476}"/>
            </a:ext>
          </a:extLst>
        </xdr:cNvPr>
        <xdr:cNvCxnSpPr/>
      </xdr:nvCxnSpPr>
      <xdr:spPr>
        <a:xfrm flipV="1">
          <a:off x="2562225" y="5080952"/>
          <a:ext cx="222250" cy="259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144689</xdr:colOff>
      <xdr:row>16</xdr:row>
      <xdr:rowOff>203973</xdr:rowOff>
    </xdr:from>
    <xdr:to>
      <xdr:col>5</xdr:col>
      <xdr:colOff>31296</xdr:colOff>
      <xdr:row>17</xdr:row>
      <xdr:rowOff>46309</xdr:rowOff>
    </xdr:to>
    <xdr:cxnSp macro="">
      <xdr:nvCxnSpPr>
        <xdr:cNvPr id="1016" name="SCHEMA_T05_COND_0027">
          <a:extLst>
            <a:ext uri="{FF2B5EF4-FFF2-40B4-BE49-F238E27FC236}">
              <a16:creationId xmlns:a16="http://schemas.microsoft.com/office/drawing/2014/main" id="{4A533ACA-5858-511C-FE88-BE36B4CEB840}"/>
            </a:ext>
          </a:extLst>
        </xdr:cNvPr>
        <xdr:cNvCxnSpPr/>
      </xdr:nvCxnSpPr>
      <xdr:spPr>
        <a:xfrm flipV="1">
          <a:off x="2784475" y="4993687"/>
          <a:ext cx="222250" cy="8726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35832</xdr:colOff>
      <xdr:row>17</xdr:row>
      <xdr:rowOff>68437</xdr:rowOff>
    </xdr:from>
    <xdr:to>
      <xdr:col>3</xdr:col>
      <xdr:colOff>258082</xdr:colOff>
      <xdr:row>17</xdr:row>
      <xdr:rowOff>150506</xdr:rowOff>
    </xdr:to>
    <xdr:cxnSp macro="">
      <xdr:nvCxnSpPr>
        <xdr:cNvPr id="1017" name="SCHEMA_T05_COND_0028">
          <a:extLst>
            <a:ext uri="{FF2B5EF4-FFF2-40B4-BE49-F238E27FC236}">
              <a16:creationId xmlns:a16="http://schemas.microsoft.com/office/drawing/2014/main" id="{4B6AF9BC-D0EE-AD7C-332D-CB8563E189B2}"/>
            </a:ext>
          </a:extLst>
        </xdr:cNvPr>
        <xdr:cNvCxnSpPr/>
      </xdr:nvCxnSpPr>
      <xdr:spPr>
        <a:xfrm>
          <a:off x="2339975" y="5103080"/>
          <a:ext cx="222250" cy="8206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258082</xdr:colOff>
      <xdr:row>17</xdr:row>
      <xdr:rowOff>147909</xdr:rowOff>
    </xdr:from>
    <xdr:to>
      <xdr:col>4</xdr:col>
      <xdr:colOff>144689</xdr:colOff>
      <xdr:row>17</xdr:row>
      <xdr:rowOff>150506</xdr:rowOff>
    </xdr:to>
    <xdr:cxnSp macro="">
      <xdr:nvCxnSpPr>
        <xdr:cNvPr id="1018" name="SCHEMA_T05_COND_0029">
          <a:extLst>
            <a:ext uri="{FF2B5EF4-FFF2-40B4-BE49-F238E27FC236}">
              <a16:creationId xmlns:a16="http://schemas.microsoft.com/office/drawing/2014/main" id="{F9C7D7A4-207A-76A4-5FD5-AD225529C71B}"/>
            </a:ext>
          </a:extLst>
        </xdr:cNvPr>
        <xdr:cNvCxnSpPr/>
      </xdr:nvCxnSpPr>
      <xdr:spPr>
        <a:xfrm flipV="1">
          <a:off x="2562225" y="5182552"/>
          <a:ext cx="222250" cy="259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144689</xdr:colOff>
      <xdr:row>17</xdr:row>
      <xdr:rowOff>60644</xdr:rowOff>
    </xdr:from>
    <xdr:to>
      <xdr:col>5</xdr:col>
      <xdr:colOff>31296</xdr:colOff>
      <xdr:row>17</xdr:row>
      <xdr:rowOff>147909</xdr:rowOff>
    </xdr:to>
    <xdr:cxnSp macro="">
      <xdr:nvCxnSpPr>
        <xdr:cNvPr id="1019" name="SCHEMA_T05_COND_0030">
          <a:extLst>
            <a:ext uri="{FF2B5EF4-FFF2-40B4-BE49-F238E27FC236}">
              <a16:creationId xmlns:a16="http://schemas.microsoft.com/office/drawing/2014/main" id="{79545868-9C09-7ADE-7C01-32197E666037}"/>
            </a:ext>
          </a:extLst>
        </xdr:cNvPr>
        <xdr:cNvCxnSpPr/>
      </xdr:nvCxnSpPr>
      <xdr:spPr>
        <a:xfrm flipV="1">
          <a:off x="2784475" y="5095287"/>
          <a:ext cx="222250" cy="8726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31296</xdr:colOff>
      <xdr:row>15</xdr:row>
      <xdr:rowOff>29801</xdr:rowOff>
    </xdr:from>
    <xdr:to>
      <xdr:col>5</xdr:col>
      <xdr:colOff>253546</xdr:colOff>
      <xdr:row>15</xdr:row>
      <xdr:rowOff>137846</xdr:rowOff>
    </xdr:to>
    <xdr:cxnSp macro="">
      <xdr:nvCxnSpPr>
        <xdr:cNvPr id="1020" name="SCHEMA_T05_COND_0031">
          <a:extLst>
            <a:ext uri="{FF2B5EF4-FFF2-40B4-BE49-F238E27FC236}">
              <a16:creationId xmlns:a16="http://schemas.microsoft.com/office/drawing/2014/main" id="{6DC33B79-FD60-01AF-0BC6-76A117011C6E}"/>
            </a:ext>
          </a:extLst>
        </xdr:cNvPr>
        <xdr:cNvCxnSpPr/>
      </xdr:nvCxnSpPr>
      <xdr:spPr>
        <a:xfrm>
          <a:off x="3006725" y="4574587"/>
          <a:ext cx="222250" cy="108045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253546</xdr:colOff>
      <xdr:row>15</xdr:row>
      <xdr:rowOff>137846</xdr:rowOff>
    </xdr:from>
    <xdr:to>
      <xdr:col>6</xdr:col>
      <xdr:colOff>140154</xdr:colOff>
      <xdr:row>15</xdr:row>
      <xdr:rowOff>161224</xdr:rowOff>
    </xdr:to>
    <xdr:cxnSp macro="">
      <xdr:nvCxnSpPr>
        <xdr:cNvPr id="1021" name="SCHEMA_T05_COND_0032">
          <a:extLst>
            <a:ext uri="{FF2B5EF4-FFF2-40B4-BE49-F238E27FC236}">
              <a16:creationId xmlns:a16="http://schemas.microsoft.com/office/drawing/2014/main" id="{0A3AD9DA-6BE9-5518-8F4F-C4DA1B6D65FD}"/>
            </a:ext>
          </a:extLst>
        </xdr:cNvPr>
        <xdr:cNvCxnSpPr/>
      </xdr:nvCxnSpPr>
      <xdr:spPr>
        <a:xfrm>
          <a:off x="3228975" y="4682632"/>
          <a:ext cx="222250" cy="23378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140154</xdr:colOff>
      <xdr:row>15</xdr:row>
      <xdr:rowOff>99936</xdr:rowOff>
    </xdr:from>
    <xdr:to>
      <xdr:col>7</xdr:col>
      <xdr:colOff>26761</xdr:colOff>
      <xdr:row>15</xdr:row>
      <xdr:rowOff>161224</xdr:rowOff>
    </xdr:to>
    <xdr:cxnSp macro="">
      <xdr:nvCxnSpPr>
        <xdr:cNvPr id="1022" name="SCHEMA_T05_COND_0033">
          <a:extLst>
            <a:ext uri="{FF2B5EF4-FFF2-40B4-BE49-F238E27FC236}">
              <a16:creationId xmlns:a16="http://schemas.microsoft.com/office/drawing/2014/main" id="{70C434EA-0039-64A1-E323-F9E8C713912B}"/>
            </a:ext>
          </a:extLst>
        </xdr:cNvPr>
        <xdr:cNvCxnSpPr/>
      </xdr:nvCxnSpPr>
      <xdr:spPr>
        <a:xfrm flipV="1">
          <a:off x="3451225" y="4644722"/>
          <a:ext cx="222250" cy="61288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31296</xdr:colOff>
      <xdr:row>15</xdr:row>
      <xdr:rowOff>194901</xdr:rowOff>
    </xdr:from>
    <xdr:to>
      <xdr:col>5</xdr:col>
      <xdr:colOff>253546</xdr:colOff>
      <xdr:row>16</xdr:row>
      <xdr:rowOff>58018</xdr:rowOff>
    </xdr:to>
    <xdr:cxnSp macro="">
      <xdr:nvCxnSpPr>
        <xdr:cNvPr id="1023" name="SCHEMA_T05_COND_0034">
          <a:extLst>
            <a:ext uri="{FF2B5EF4-FFF2-40B4-BE49-F238E27FC236}">
              <a16:creationId xmlns:a16="http://schemas.microsoft.com/office/drawing/2014/main" id="{821E6AE0-1049-89F6-70C2-C3B227EEE0E1}"/>
            </a:ext>
          </a:extLst>
        </xdr:cNvPr>
        <xdr:cNvCxnSpPr/>
      </xdr:nvCxnSpPr>
      <xdr:spPr>
        <a:xfrm>
          <a:off x="3006725" y="4739687"/>
          <a:ext cx="222250" cy="10804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253546</xdr:colOff>
      <xdr:row>16</xdr:row>
      <xdr:rowOff>58018</xdr:rowOff>
    </xdr:from>
    <xdr:to>
      <xdr:col>6</xdr:col>
      <xdr:colOff>140154</xdr:colOff>
      <xdr:row>16</xdr:row>
      <xdr:rowOff>81396</xdr:rowOff>
    </xdr:to>
    <xdr:cxnSp macro="">
      <xdr:nvCxnSpPr>
        <xdr:cNvPr id="192" name="SCHEMA_T05_COND_0035">
          <a:extLst>
            <a:ext uri="{FF2B5EF4-FFF2-40B4-BE49-F238E27FC236}">
              <a16:creationId xmlns:a16="http://schemas.microsoft.com/office/drawing/2014/main" id="{39EA67C5-B376-BC3D-3917-C59C39CF696D}"/>
            </a:ext>
          </a:extLst>
        </xdr:cNvPr>
        <xdr:cNvCxnSpPr/>
      </xdr:nvCxnSpPr>
      <xdr:spPr>
        <a:xfrm>
          <a:off x="3228975" y="4847732"/>
          <a:ext cx="222250" cy="2337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140154</xdr:colOff>
      <xdr:row>16</xdr:row>
      <xdr:rowOff>20108</xdr:rowOff>
    </xdr:from>
    <xdr:to>
      <xdr:col>7</xdr:col>
      <xdr:colOff>26761</xdr:colOff>
      <xdr:row>16</xdr:row>
      <xdr:rowOff>81396</xdr:rowOff>
    </xdr:to>
    <xdr:cxnSp macro="">
      <xdr:nvCxnSpPr>
        <xdr:cNvPr id="193" name="SCHEMA_T05_COND_0036">
          <a:extLst>
            <a:ext uri="{FF2B5EF4-FFF2-40B4-BE49-F238E27FC236}">
              <a16:creationId xmlns:a16="http://schemas.microsoft.com/office/drawing/2014/main" id="{A0A315E9-40A4-42E9-F8FF-28AA26D35A26}"/>
            </a:ext>
          </a:extLst>
        </xdr:cNvPr>
        <xdr:cNvCxnSpPr/>
      </xdr:nvCxnSpPr>
      <xdr:spPr>
        <a:xfrm flipV="1">
          <a:off x="3451225" y="4809822"/>
          <a:ext cx="222250" cy="6128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31296</xdr:colOff>
      <xdr:row>16</xdr:row>
      <xdr:rowOff>51573</xdr:rowOff>
    </xdr:from>
    <xdr:to>
      <xdr:col>5</xdr:col>
      <xdr:colOff>253546</xdr:colOff>
      <xdr:row>16</xdr:row>
      <xdr:rowOff>159618</xdr:rowOff>
    </xdr:to>
    <xdr:cxnSp macro="">
      <xdr:nvCxnSpPr>
        <xdr:cNvPr id="194" name="SCHEMA_T05_COND_0037">
          <a:extLst>
            <a:ext uri="{FF2B5EF4-FFF2-40B4-BE49-F238E27FC236}">
              <a16:creationId xmlns:a16="http://schemas.microsoft.com/office/drawing/2014/main" id="{0417BAF3-93F3-D2AD-A5F5-7539F87ECBEC}"/>
            </a:ext>
          </a:extLst>
        </xdr:cNvPr>
        <xdr:cNvCxnSpPr/>
      </xdr:nvCxnSpPr>
      <xdr:spPr>
        <a:xfrm>
          <a:off x="3006725" y="4841287"/>
          <a:ext cx="222250" cy="10804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253546</xdr:colOff>
      <xdr:row>16</xdr:row>
      <xdr:rowOff>159618</xdr:rowOff>
    </xdr:from>
    <xdr:to>
      <xdr:col>6</xdr:col>
      <xdr:colOff>140154</xdr:colOff>
      <xdr:row>16</xdr:row>
      <xdr:rowOff>182996</xdr:rowOff>
    </xdr:to>
    <xdr:cxnSp macro="">
      <xdr:nvCxnSpPr>
        <xdr:cNvPr id="195" name="SCHEMA_T05_COND_0038">
          <a:extLst>
            <a:ext uri="{FF2B5EF4-FFF2-40B4-BE49-F238E27FC236}">
              <a16:creationId xmlns:a16="http://schemas.microsoft.com/office/drawing/2014/main" id="{D7B08F47-436A-4CFC-E84F-25BDBC6CA73E}"/>
            </a:ext>
          </a:extLst>
        </xdr:cNvPr>
        <xdr:cNvCxnSpPr/>
      </xdr:nvCxnSpPr>
      <xdr:spPr>
        <a:xfrm>
          <a:off x="3228975" y="4949332"/>
          <a:ext cx="222250" cy="2337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140154</xdr:colOff>
      <xdr:row>16</xdr:row>
      <xdr:rowOff>121708</xdr:rowOff>
    </xdr:from>
    <xdr:to>
      <xdr:col>7</xdr:col>
      <xdr:colOff>26761</xdr:colOff>
      <xdr:row>16</xdr:row>
      <xdr:rowOff>182996</xdr:rowOff>
    </xdr:to>
    <xdr:cxnSp macro="">
      <xdr:nvCxnSpPr>
        <xdr:cNvPr id="196" name="SCHEMA_T05_COND_0039">
          <a:extLst>
            <a:ext uri="{FF2B5EF4-FFF2-40B4-BE49-F238E27FC236}">
              <a16:creationId xmlns:a16="http://schemas.microsoft.com/office/drawing/2014/main" id="{C62C4375-C270-77F3-D9D5-527F355D7BA9}"/>
            </a:ext>
          </a:extLst>
        </xdr:cNvPr>
        <xdr:cNvCxnSpPr/>
      </xdr:nvCxnSpPr>
      <xdr:spPr>
        <a:xfrm flipV="1">
          <a:off x="3451225" y="4911422"/>
          <a:ext cx="222250" cy="6128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31296</xdr:colOff>
      <xdr:row>16</xdr:row>
      <xdr:rowOff>203973</xdr:rowOff>
    </xdr:from>
    <xdr:to>
      <xdr:col>5</xdr:col>
      <xdr:colOff>253546</xdr:colOff>
      <xdr:row>17</xdr:row>
      <xdr:rowOff>67089</xdr:rowOff>
    </xdr:to>
    <xdr:cxnSp macro="">
      <xdr:nvCxnSpPr>
        <xdr:cNvPr id="197" name="SCHEMA_T05_COND_0040">
          <a:extLst>
            <a:ext uri="{FF2B5EF4-FFF2-40B4-BE49-F238E27FC236}">
              <a16:creationId xmlns:a16="http://schemas.microsoft.com/office/drawing/2014/main" id="{FBAF48F8-5712-97B0-282A-4138CD296C57}"/>
            </a:ext>
          </a:extLst>
        </xdr:cNvPr>
        <xdr:cNvCxnSpPr/>
      </xdr:nvCxnSpPr>
      <xdr:spPr>
        <a:xfrm>
          <a:off x="3006725" y="4993687"/>
          <a:ext cx="222250" cy="10804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253546</xdr:colOff>
      <xdr:row>17</xdr:row>
      <xdr:rowOff>67089</xdr:rowOff>
    </xdr:from>
    <xdr:to>
      <xdr:col>6</xdr:col>
      <xdr:colOff>140154</xdr:colOff>
      <xdr:row>17</xdr:row>
      <xdr:rowOff>90467</xdr:rowOff>
    </xdr:to>
    <xdr:cxnSp macro="">
      <xdr:nvCxnSpPr>
        <xdr:cNvPr id="198" name="SCHEMA_T05_COND_0041">
          <a:extLst>
            <a:ext uri="{FF2B5EF4-FFF2-40B4-BE49-F238E27FC236}">
              <a16:creationId xmlns:a16="http://schemas.microsoft.com/office/drawing/2014/main" id="{9F87FD63-A43C-B6CE-A3FE-47896C4B9FAB}"/>
            </a:ext>
          </a:extLst>
        </xdr:cNvPr>
        <xdr:cNvCxnSpPr/>
      </xdr:nvCxnSpPr>
      <xdr:spPr>
        <a:xfrm>
          <a:off x="3228975" y="5101732"/>
          <a:ext cx="222250" cy="2337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140154</xdr:colOff>
      <xdr:row>17</xdr:row>
      <xdr:rowOff>29179</xdr:rowOff>
    </xdr:from>
    <xdr:to>
      <xdr:col>7</xdr:col>
      <xdr:colOff>26761</xdr:colOff>
      <xdr:row>17</xdr:row>
      <xdr:rowOff>90467</xdr:rowOff>
    </xdr:to>
    <xdr:cxnSp macro="">
      <xdr:nvCxnSpPr>
        <xdr:cNvPr id="199" name="SCHEMA_T05_COND_0042">
          <a:extLst>
            <a:ext uri="{FF2B5EF4-FFF2-40B4-BE49-F238E27FC236}">
              <a16:creationId xmlns:a16="http://schemas.microsoft.com/office/drawing/2014/main" id="{6792EDC9-E339-BF2A-6597-39EEBBC237B5}"/>
            </a:ext>
          </a:extLst>
        </xdr:cNvPr>
        <xdr:cNvCxnSpPr/>
      </xdr:nvCxnSpPr>
      <xdr:spPr>
        <a:xfrm flipV="1">
          <a:off x="3451225" y="5063822"/>
          <a:ext cx="222250" cy="6128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31296</xdr:colOff>
      <xdr:row>17</xdr:row>
      <xdr:rowOff>60644</xdr:rowOff>
    </xdr:from>
    <xdr:to>
      <xdr:col>5</xdr:col>
      <xdr:colOff>253546</xdr:colOff>
      <xdr:row>17</xdr:row>
      <xdr:rowOff>168689</xdr:rowOff>
    </xdr:to>
    <xdr:cxnSp macro="">
      <xdr:nvCxnSpPr>
        <xdr:cNvPr id="200" name="SCHEMA_T05_COND_0043">
          <a:extLst>
            <a:ext uri="{FF2B5EF4-FFF2-40B4-BE49-F238E27FC236}">
              <a16:creationId xmlns:a16="http://schemas.microsoft.com/office/drawing/2014/main" id="{DDA66A15-DDF7-F242-2A8C-D0CB13F53441}"/>
            </a:ext>
          </a:extLst>
        </xdr:cNvPr>
        <xdr:cNvCxnSpPr/>
      </xdr:nvCxnSpPr>
      <xdr:spPr>
        <a:xfrm>
          <a:off x="3006725" y="5095287"/>
          <a:ext cx="222250" cy="10804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253546</xdr:colOff>
      <xdr:row>17</xdr:row>
      <xdr:rowOff>168689</xdr:rowOff>
    </xdr:from>
    <xdr:to>
      <xdr:col>6</xdr:col>
      <xdr:colOff>140154</xdr:colOff>
      <xdr:row>17</xdr:row>
      <xdr:rowOff>192067</xdr:rowOff>
    </xdr:to>
    <xdr:cxnSp macro="">
      <xdr:nvCxnSpPr>
        <xdr:cNvPr id="201" name="SCHEMA_T05_COND_0044">
          <a:extLst>
            <a:ext uri="{FF2B5EF4-FFF2-40B4-BE49-F238E27FC236}">
              <a16:creationId xmlns:a16="http://schemas.microsoft.com/office/drawing/2014/main" id="{09C429AD-33B7-4CC0-B023-8B13F338C4F1}"/>
            </a:ext>
          </a:extLst>
        </xdr:cNvPr>
        <xdr:cNvCxnSpPr/>
      </xdr:nvCxnSpPr>
      <xdr:spPr>
        <a:xfrm>
          <a:off x="3228975" y="5203332"/>
          <a:ext cx="222250" cy="2337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140154</xdr:colOff>
      <xdr:row>17</xdr:row>
      <xdr:rowOff>130779</xdr:rowOff>
    </xdr:from>
    <xdr:to>
      <xdr:col>7</xdr:col>
      <xdr:colOff>26761</xdr:colOff>
      <xdr:row>17</xdr:row>
      <xdr:rowOff>192067</xdr:rowOff>
    </xdr:to>
    <xdr:cxnSp macro="">
      <xdr:nvCxnSpPr>
        <xdr:cNvPr id="202" name="SCHEMA_T05_COND_0045">
          <a:extLst>
            <a:ext uri="{FF2B5EF4-FFF2-40B4-BE49-F238E27FC236}">
              <a16:creationId xmlns:a16="http://schemas.microsoft.com/office/drawing/2014/main" id="{D4B927CD-FD1D-884D-6F6C-C3CF8D262951}"/>
            </a:ext>
          </a:extLst>
        </xdr:cNvPr>
        <xdr:cNvCxnSpPr/>
      </xdr:nvCxnSpPr>
      <xdr:spPr>
        <a:xfrm flipV="1">
          <a:off x="3451225" y="5165422"/>
          <a:ext cx="222250" cy="6128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26761</xdr:colOff>
      <xdr:row>15</xdr:row>
      <xdr:rowOff>99936</xdr:rowOff>
    </xdr:from>
    <xdr:to>
      <xdr:col>7</xdr:col>
      <xdr:colOff>249011</xdr:colOff>
      <xdr:row>15</xdr:row>
      <xdr:rowOff>117066</xdr:rowOff>
    </xdr:to>
    <xdr:cxnSp macro="">
      <xdr:nvCxnSpPr>
        <xdr:cNvPr id="203" name="SCHEMA_T05_COND_0046">
          <a:extLst>
            <a:ext uri="{FF2B5EF4-FFF2-40B4-BE49-F238E27FC236}">
              <a16:creationId xmlns:a16="http://schemas.microsoft.com/office/drawing/2014/main" id="{368DB861-8C2A-F859-2B6F-6802E448264B}"/>
            </a:ext>
          </a:extLst>
        </xdr:cNvPr>
        <xdr:cNvCxnSpPr/>
      </xdr:nvCxnSpPr>
      <xdr:spPr>
        <a:xfrm>
          <a:off x="3673475" y="4644722"/>
          <a:ext cx="222250" cy="17130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249011</xdr:colOff>
      <xdr:row>15</xdr:row>
      <xdr:rowOff>49530</xdr:rowOff>
    </xdr:from>
    <xdr:to>
      <xdr:col>8</xdr:col>
      <xdr:colOff>135618</xdr:colOff>
      <xdr:row>15</xdr:row>
      <xdr:rowOff>117066</xdr:rowOff>
    </xdr:to>
    <xdr:cxnSp macro="">
      <xdr:nvCxnSpPr>
        <xdr:cNvPr id="204" name="SCHEMA_T05_COND_0047">
          <a:extLst>
            <a:ext uri="{FF2B5EF4-FFF2-40B4-BE49-F238E27FC236}">
              <a16:creationId xmlns:a16="http://schemas.microsoft.com/office/drawing/2014/main" id="{5EAC16E6-B8B8-065E-5385-B95C9F3BCF99}"/>
            </a:ext>
          </a:extLst>
        </xdr:cNvPr>
        <xdr:cNvCxnSpPr/>
      </xdr:nvCxnSpPr>
      <xdr:spPr>
        <a:xfrm flipV="1">
          <a:off x="3895725" y="4594316"/>
          <a:ext cx="222250" cy="67536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135618</xdr:colOff>
      <xdr:row>14</xdr:row>
      <xdr:rowOff>142256</xdr:rowOff>
    </xdr:from>
    <xdr:to>
      <xdr:col>9</xdr:col>
      <xdr:colOff>22225</xdr:colOff>
      <xdr:row>15</xdr:row>
      <xdr:rowOff>49530</xdr:rowOff>
    </xdr:to>
    <xdr:cxnSp macro="">
      <xdr:nvCxnSpPr>
        <xdr:cNvPr id="205" name="SCHEMA_T05_COND_0048">
          <a:extLst>
            <a:ext uri="{FF2B5EF4-FFF2-40B4-BE49-F238E27FC236}">
              <a16:creationId xmlns:a16="http://schemas.microsoft.com/office/drawing/2014/main" id="{EC6EEEB2-9117-26A0-0A7D-2503E8976C85}"/>
            </a:ext>
          </a:extLst>
        </xdr:cNvPr>
        <xdr:cNvCxnSpPr/>
      </xdr:nvCxnSpPr>
      <xdr:spPr>
        <a:xfrm flipV="1">
          <a:off x="4117975" y="4442113"/>
          <a:ext cx="222250" cy="152203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26761</xdr:colOff>
      <xdr:row>16</xdr:row>
      <xdr:rowOff>20108</xdr:rowOff>
    </xdr:from>
    <xdr:to>
      <xdr:col>7</xdr:col>
      <xdr:colOff>249011</xdr:colOff>
      <xdr:row>16</xdr:row>
      <xdr:rowOff>37238</xdr:rowOff>
    </xdr:to>
    <xdr:cxnSp macro="">
      <xdr:nvCxnSpPr>
        <xdr:cNvPr id="206" name="SCHEMA_T05_COND_0049">
          <a:extLst>
            <a:ext uri="{FF2B5EF4-FFF2-40B4-BE49-F238E27FC236}">
              <a16:creationId xmlns:a16="http://schemas.microsoft.com/office/drawing/2014/main" id="{7E36CF35-524C-0D20-EDAD-30268D3EDA91}"/>
            </a:ext>
          </a:extLst>
        </xdr:cNvPr>
        <xdr:cNvCxnSpPr/>
      </xdr:nvCxnSpPr>
      <xdr:spPr>
        <a:xfrm>
          <a:off x="3673475" y="4809822"/>
          <a:ext cx="222250" cy="1713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249011</xdr:colOff>
      <xdr:row>15</xdr:row>
      <xdr:rowOff>214630</xdr:rowOff>
    </xdr:from>
    <xdr:to>
      <xdr:col>8</xdr:col>
      <xdr:colOff>135618</xdr:colOff>
      <xdr:row>16</xdr:row>
      <xdr:rowOff>37238</xdr:rowOff>
    </xdr:to>
    <xdr:cxnSp macro="">
      <xdr:nvCxnSpPr>
        <xdr:cNvPr id="207" name="SCHEMA_T05_COND_0050">
          <a:extLst>
            <a:ext uri="{FF2B5EF4-FFF2-40B4-BE49-F238E27FC236}">
              <a16:creationId xmlns:a16="http://schemas.microsoft.com/office/drawing/2014/main" id="{81254C13-7508-A258-BC67-0D962457536F}"/>
            </a:ext>
          </a:extLst>
        </xdr:cNvPr>
        <xdr:cNvCxnSpPr/>
      </xdr:nvCxnSpPr>
      <xdr:spPr>
        <a:xfrm flipV="1">
          <a:off x="3895725" y="4759416"/>
          <a:ext cx="222250" cy="6753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135618</xdr:colOff>
      <xdr:row>15</xdr:row>
      <xdr:rowOff>62427</xdr:rowOff>
    </xdr:from>
    <xdr:to>
      <xdr:col>9</xdr:col>
      <xdr:colOff>22225</xdr:colOff>
      <xdr:row>15</xdr:row>
      <xdr:rowOff>214630</xdr:rowOff>
    </xdr:to>
    <xdr:cxnSp macro="">
      <xdr:nvCxnSpPr>
        <xdr:cNvPr id="208" name="SCHEMA_T05_COND_0051">
          <a:extLst>
            <a:ext uri="{FF2B5EF4-FFF2-40B4-BE49-F238E27FC236}">
              <a16:creationId xmlns:a16="http://schemas.microsoft.com/office/drawing/2014/main" id="{76BD3EB9-640A-985B-17BF-3EAE6E2DEC78}"/>
            </a:ext>
          </a:extLst>
        </xdr:cNvPr>
        <xdr:cNvCxnSpPr/>
      </xdr:nvCxnSpPr>
      <xdr:spPr>
        <a:xfrm flipV="1">
          <a:off x="4117975" y="4607213"/>
          <a:ext cx="222250" cy="15220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26761</xdr:colOff>
      <xdr:row>16</xdr:row>
      <xdr:rowOff>121708</xdr:rowOff>
    </xdr:from>
    <xdr:to>
      <xdr:col>7</xdr:col>
      <xdr:colOff>249011</xdr:colOff>
      <xdr:row>16</xdr:row>
      <xdr:rowOff>138838</xdr:rowOff>
    </xdr:to>
    <xdr:cxnSp macro="">
      <xdr:nvCxnSpPr>
        <xdr:cNvPr id="209" name="SCHEMA_T05_COND_0052">
          <a:extLst>
            <a:ext uri="{FF2B5EF4-FFF2-40B4-BE49-F238E27FC236}">
              <a16:creationId xmlns:a16="http://schemas.microsoft.com/office/drawing/2014/main" id="{1F6E69E2-4329-C05A-EFFF-464A3C8ADDE5}"/>
            </a:ext>
          </a:extLst>
        </xdr:cNvPr>
        <xdr:cNvCxnSpPr/>
      </xdr:nvCxnSpPr>
      <xdr:spPr>
        <a:xfrm>
          <a:off x="3673475" y="4911422"/>
          <a:ext cx="222250" cy="1713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249011</xdr:colOff>
      <xdr:row>16</xdr:row>
      <xdr:rowOff>71302</xdr:rowOff>
    </xdr:from>
    <xdr:to>
      <xdr:col>8</xdr:col>
      <xdr:colOff>135618</xdr:colOff>
      <xdr:row>16</xdr:row>
      <xdr:rowOff>138838</xdr:rowOff>
    </xdr:to>
    <xdr:cxnSp macro="">
      <xdr:nvCxnSpPr>
        <xdr:cNvPr id="210" name="SCHEMA_T05_COND_0053">
          <a:extLst>
            <a:ext uri="{FF2B5EF4-FFF2-40B4-BE49-F238E27FC236}">
              <a16:creationId xmlns:a16="http://schemas.microsoft.com/office/drawing/2014/main" id="{E9EB03F8-606A-C97D-DAA3-B11F8F0A8E4B}"/>
            </a:ext>
          </a:extLst>
        </xdr:cNvPr>
        <xdr:cNvCxnSpPr/>
      </xdr:nvCxnSpPr>
      <xdr:spPr>
        <a:xfrm flipV="1">
          <a:off x="3895725" y="4861016"/>
          <a:ext cx="222250" cy="6753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135618</xdr:colOff>
      <xdr:row>15</xdr:row>
      <xdr:rowOff>164027</xdr:rowOff>
    </xdr:from>
    <xdr:to>
      <xdr:col>9</xdr:col>
      <xdr:colOff>22225</xdr:colOff>
      <xdr:row>16</xdr:row>
      <xdr:rowOff>71302</xdr:rowOff>
    </xdr:to>
    <xdr:cxnSp macro="">
      <xdr:nvCxnSpPr>
        <xdr:cNvPr id="211" name="SCHEMA_T05_COND_0054">
          <a:extLst>
            <a:ext uri="{FF2B5EF4-FFF2-40B4-BE49-F238E27FC236}">
              <a16:creationId xmlns:a16="http://schemas.microsoft.com/office/drawing/2014/main" id="{2C21DAB8-07BD-35DF-A5EC-119DB50504E1}"/>
            </a:ext>
          </a:extLst>
        </xdr:cNvPr>
        <xdr:cNvCxnSpPr/>
      </xdr:nvCxnSpPr>
      <xdr:spPr>
        <a:xfrm flipV="1">
          <a:off x="4117975" y="4708813"/>
          <a:ext cx="222250" cy="15220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26761</xdr:colOff>
      <xdr:row>17</xdr:row>
      <xdr:rowOff>29179</xdr:rowOff>
    </xdr:from>
    <xdr:to>
      <xdr:col>7</xdr:col>
      <xdr:colOff>249011</xdr:colOff>
      <xdr:row>17</xdr:row>
      <xdr:rowOff>46309</xdr:rowOff>
    </xdr:to>
    <xdr:cxnSp macro="">
      <xdr:nvCxnSpPr>
        <xdr:cNvPr id="212" name="SCHEMA_T05_COND_0055">
          <a:extLst>
            <a:ext uri="{FF2B5EF4-FFF2-40B4-BE49-F238E27FC236}">
              <a16:creationId xmlns:a16="http://schemas.microsoft.com/office/drawing/2014/main" id="{D0BA0D11-E07E-E391-11EE-DAB5DA3C892E}"/>
            </a:ext>
          </a:extLst>
        </xdr:cNvPr>
        <xdr:cNvCxnSpPr/>
      </xdr:nvCxnSpPr>
      <xdr:spPr>
        <a:xfrm>
          <a:off x="3673475" y="5063822"/>
          <a:ext cx="222250" cy="1713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249011</xdr:colOff>
      <xdr:row>16</xdr:row>
      <xdr:rowOff>223702</xdr:rowOff>
    </xdr:from>
    <xdr:to>
      <xdr:col>8</xdr:col>
      <xdr:colOff>135618</xdr:colOff>
      <xdr:row>17</xdr:row>
      <xdr:rowOff>46309</xdr:rowOff>
    </xdr:to>
    <xdr:cxnSp macro="">
      <xdr:nvCxnSpPr>
        <xdr:cNvPr id="213" name="SCHEMA_T05_COND_0056">
          <a:extLst>
            <a:ext uri="{FF2B5EF4-FFF2-40B4-BE49-F238E27FC236}">
              <a16:creationId xmlns:a16="http://schemas.microsoft.com/office/drawing/2014/main" id="{C27D1163-97B6-52C4-A131-8F730B410F6F}"/>
            </a:ext>
          </a:extLst>
        </xdr:cNvPr>
        <xdr:cNvCxnSpPr/>
      </xdr:nvCxnSpPr>
      <xdr:spPr>
        <a:xfrm flipV="1">
          <a:off x="3895725" y="5013416"/>
          <a:ext cx="222250" cy="6753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135618</xdr:colOff>
      <xdr:row>16</xdr:row>
      <xdr:rowOff>71499</xdr:rowOff>
    </xdr:from>
    <xdr:to>
      <xdr:col>9</xdr:col>
      <xdr:colOff>22225</xdr:colOff>
      <xdr:row>16</xdr:row>
      <xdr:rowOff>223702</xdr:rowOff>
    </xdr:to>
    <xdr:cxnSp macro="">
      <xdr:nvCxnSpPr>
        <xdr:cNvPr id="214" name="SCHEMA_T05_COND_0057">
          <a:extLst>
            <a:ext uri="{FF2B5EF4-FFF2-40B4-BE49-F238E27FC236}">
              <a16:creationId xmlns:a16="http://schemas.microsoft.com/office/drawing/2014/main" id="{CD44642D-A1BC-11F9-B26F-D0AD2BE11F09}"/>
            </a:ext>
          </a:extLst>
        </xdr:cNvPr>
        <xdr:cNvCxnSpPr/>
      </xdr:nvCxnSpPr>
      <xdr:spPr>
        <a:xfrm flipV="1">
          <a:off x="4117975" y="4861213"/>
          <a:ext cx="222250" cy="15220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26761</xdr:colOff>
      <xdr:row>17</xdr:row>
      <xdr:rowOff>130779</xdr:rowOff>
    </xdr:from>
    <xdr:to>
      <xdr:col>7</xdr:col>
      <xdr:colOff>249011</xdr:colOff>
      <xdr:row>17</xdr:row>
      <xdr:rowOff>147909</xdr:rowOff>
    </xdr:to>
    <xdr:cxnSp macro="">
      <xdr:nvCxnSpPr>
        <xdr:cNvPr id="215" name="SCHEMA_T05_COND_0058">
          <a:extLst>
            <a:ext uri="{FF2B5EF4-FFF2-40B4-BE49-F238E27FC236}">
              <a16:creationId xmlns:a16="http://schemas.microsoft.com/office/drawing/2014/main" id="{2806B8F7-4178-C15A-88BD-44565FAEAA24}"/>
            </a:ext>
          </a:extLst>
        </xdr:cNvPr>
        <xdr:cNvCxnSpPr/>
      </xdr:nvCxnSpPr>
      <xdr:spPr>
        <a:xfrm>
          <a:off x="3673475" y="5165422"/>
          <a:ext cx="222250" cy="1713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249011</xdr:colOff>
      <xdr:row>17</xdr:row>
      <xdr:rowOff>80373</xdr:rowOff>
    </xdr:from>
    <xdr:to>
      <xdr:col>8</xdr:col>
      <xdr:colOff>135618</xdr:colOff>
      <xdr:row>17</xdr:row>
      <xdr:rowOff>147909</xdr:rowOff>
    </xdr:to>
    <xdr:cxnSp macro="">
      <xdr:nvCxnSpPr>
        <xdr:cNvPr id="216" name="SCHEMA_T05_COND_0059">
          <a:extLst>
            <a:ext uri="{FF2B5EF4-FFF2-40B4-BE49-F238E27FC236}">
              <a16:creationId xmlns:a16="http://schemas.microsoft.com/office/drawing/2014/main" id="{91BCA2EC-8914-7AF5-F771-EF72E59E503B}"/>
            </a:ext>
          </a:extLst>
        </xdr:cNvPr>
        <xdr:cNvCxnSpPr/>
      </xdr:nvCxnSpPr>
      <xdr:spPr>
        <a:xfrm flipV="1">
          <a:off x="3895725" y="5115016"/>
          <a:ext cx="222250" cy="6753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135618</xdr:colOff>
      <xdr:row>16</xdr:row>
      <xdr:rowOff>173099</xdr:rowOff>
    </xdr:from>
    <xdr:to>
      <xdr:col>9</xdr:col>
      <xdr:colOff>22225</xdr:colOff>
      <xdr:row>17</xdr:row>
      <xdr:rowOff>80373</xdr:rowOff>
    </xdr:to>
    <xdr:cxnSp macro="">
      <xdr:nvCxnSpPr>
        <xdr:cNvPr id="217" name="SCHEMA_T05_COND_0060">
          <a:extLst>
            <a:ext uri="{FF2B5EF4-FFF2-40B4-BE49-F238E27FC236}">
              <a16:creationId xmlns:a16="http://schemas.microsoft.com/office/drawing/2014/main" id="{D5AE04EE-5C00-29CD-07D4-80D402B398C8}"/>
            </a:ext>
          </a:extLst>
        </xdr:cNvPr>
        <xdr:cNvCxnSpPr/>
      </xdr:nvCxnSpPr>
      <xdr:spPr>
        <a:xfrm flipV="1">
          <a:off x="4117975" y="4962813"/>
          <a:ext cx="222250" cy="15220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22225</xdr:colOff>
      <xdr:row>14</xdr:row>
      <xdr:rowOff>142256</xdr:rowOff>
    </xdr:from>
    <xdr:to>
      <xdr:col>9</xdr:col>
      <xdr:colOff>244475</xdr:colOff>
      <xdr:row>15</xdr:row>
      <xdr:rowOff>46932</xdr:rowOff>
    </xdr:to>
    <xdr:cxnSp macro="">
      <xdr:nvCxnSpPr>
        <xdr:cNvPr id="218" name="SCHEMA_T05_COND_0061">
          <a:extLst>
            <a:ext uri="{FF2B5EF4-FFF2-40B4-BE49-F238E27FC236}">
              <a16:creationId xmlns:a16="http://schemas.microsoft.com/office/drawing/2014/main" id="{6AE29C82-B51F-4ADB-1B35-7BDE7EB24671}"/>
            </a:ext>
          </a:extLst>
        </xdr:cNvPr>
        <xdr:cNvCxnSpPr/>
      </xdr:nvCxnSpPr>
      <xdr:spPr>
        <a:xfrm>
          <a:off x="4340225" y="4442113"/>
          <a:ext cx="222250" cy="149605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244475</xdr:colOff>
      <xdr:row>15</xdr:row>
      <xdr:rowOff>46932</xdr:rowOff>
    </xdr:from>
    <xdr:to>
      <xdr:col>10</xdr:col>
      <xdr:colOff>131082</xdr:colOff>
      <xdr:row>15</xdr:row>
      <xdr:rowOff>111871</xdr:rowOff>
    </xdr:to>
    <xdr:cxnSp macro="">
      <xdr:nvCxnSpPr>
        <xdr:cNvPr id="219" name="SCHEMA_T05_COND_0062">
          <a:extLst>
            <a:ext uri="{FF2B5EF4-FFF2-40B4-BE49-F238E27FC236}">
              <a16:creationId xmlns:a16="http://schemas.microsoft.com/office/drawing/2014/main" id="{C9A1459A-1B28-C40F-C224-9B1354A21C72}"/>
            </a:ext>
          </a:extLst>
        </xdr:cNvPr>
        <xdr:cNvCxnSpPr/>
      </xdr:nvCxnSpPr>
      <xdr:spPr>
        <a:xfrm>
          <a:off x="4562475" y="4591718"/>
          <a:ext cx="222250" cy="64939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131082</xdr:colOff>
      <xdr:row>15</xdr:row>
      <xdr:rowOff>92143</xdr:rowOff>
    </xdr:from>
    <xdr:to>
      <xdr:col>11</xdr:col>
      <xdr:colOff>17689</xdr:colOff>
      <xdr:row>15</xdr:row>
      <xdr:rowOff>111871</xdr:rowOff>
    </xdr:to>
    <xdr:cxnSp macro="">
      <xdr:nvCxnSpPr>
        <xdr:cNvPr id="220" name="SCHEMA_T05_COND_0063">
          <a:extLst>
            <a:ext uri="{FF2B5EF4-FFF2-40B4-BE49-F238E27FC236}">
              <a16:creationId xmlns:a16="http://schemas.microsoft.com/office/drawing/2014/main" id="{19A971A7-DEB0-598D-2FF3-E8C177051481}"/>
            </a:ext>
          </a:extLst>
        </xdr:cNvPr>
        <xdr:cNvCxnSpPr/>
      </xdr:nvCxnSpPr>
      <xdr:spPr>
        <a:xfrm flipV="1">
          <a:off x="4784725" y="4636929"/>
          <a:ext cx="222250" cy="19728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22225</xdr:colOff>
      <xdr:row>15</xdr:row>
      <xdr:rowOff>62427</xdr:rowOff>
    </xdr:from>
    <xdr:to>
      <xdr:col>9</xdr:col>
      <xdr:colOff>244475</xdr:colOff>
      <xdr:row>15</xdr:row>
      <xdr:rowOff>212032</xdr:rowOff>
    </xdr:to>
    <xdr:cxnSp macro="">
      <xdr:nvCxnSpPr>
        <xdr:cNvPr id="221" name="SCHEMA_T05_COND_0064">
          <a:extLst>
            <a:ext uri="{FF2B5EF4-FFF2-40B4-BE49-F238E27FC236}">
              <a16:creationId xmlns:a16="http://schemas.microsoft.com/office/drawing/2014/main" id="{59DEACE9-0219-EC13-E61F-CD02DF9E82F3}"/>
            </a:ext>
          </a:extLst>
        </xdr:cNvPr>
        <xdr:cNvCxnSpPr/>
      </xdr:nvCxnSpPr>
      <xdr:spPr>
        <a:xfrm>
          <a:off x="4340225" y="4607213"/>
          <a:ext cx="222250" cy="14960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244475</xdr:colOff>
      <xdr:row>15</xdr:row>
      <xdr:rowOff>212032</xdr:rowOff>
    </xdr:from>
    <xdr:to>
      <xdr:col>10</xdr:col>
      <xdr:colOff>131082</xdr:colOff>
      <xdr:row>16</xdr:row>
      <xdr:rowOff>32043</xdr:rowOff>
    </xdr:to>
    <xdr:cxnSp macro="">
      <xdr:nvCxnSpPr>
        <xdr:cNvPr id="222" name="SCHEMA_T05_COND_0065">
          <a:extLst>
            <a:ext uri="{FF2B5EF4-FFF2-40B4-BE49-F238E27FC236}">
              <a16:creationId xmlns:a16="http://schemas.microsoft.com/office/drawing/2014/main" id="{7F4EB09B-8407-649C-CBDB-FA514808327D}"/>
            </a:ext>
          </a:extLst>
        </xdr:cNvPr>
        <xdr:cNvCxnSpPr/>
      </xdr:nvCxnSpPr>
      <xdr:spPr>
        <a:xfrm>
          <a:off x="4562475" y="4756818"/>
          <a:ext cx="222250" cy="6493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131082</xdr:colOff>
      <xdr:row>16</xdr:row>
      <xdr:rowOff>12315</xdr:rowOff>
    </xdr:from>
    <xdr:to>
      <xdr:col>11</xdr:col>
      <xdr:colOff>17689</xdr:colOff>
      <xdr:row>16</xdr:row>
      <xdr:rowOff>32043</xdr:rowOff>
    </xdr:to>
    <xdr:cxnSp macro="">
      <xdr:nvCxnSpPr>
        <xdr:cNvPr id="223" name="SCHEMA_T05_COND_0066">
          <a:extLst>
            <a:ext uri="{FF2B5EF4-FFF2-40B4-BE49-F238E27FC236}">
              <a16:creationId xmlns:a16="http://schemas.microsoft.com/office/drawing/2014/main" id="{3EBB57C7-960B-08E9-8CB3-0302BBABF278}"/>
            </a:ext>
          </a:extLst>
        </xdr:cNvPr>
        <xdr:cNvCxnSpPr/>
      </xdr:nvCxnSpPr>
      <xdr:spPr>
        <a:xfrm flipV="1">
          <a:off x="4784725" y="4802029"/>
          <a:ext cx="222250" cy="1972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22225</xdr:colOff>
      <xdr:row>15</xdr:row>
      <xdr:rowOff>164027</xdr:rowOff>
    </xdr:from>
    <xdr:to>
      <xdr:col>9</xdr:col>
      <xdr:colOff>244475</xdr:colOff>
      <xdr:row>16</xdr:row>
      <xdr:rowOff>68704</xdr:rowOff>
    </xdr:to>
    <xdr:cxnSp macro="">
      <xdr:nvCxnSpPr>
        <xdr:cNvPr id="224" name="SCHEMA_T05_COND_0067">
          <a:extLst>
            <a:ext uri="{FF2B5EF4-FFF2-40B4-BE49-F238E27FC236}">
              <a16:creationId xmlns:a16="http://schemas.microsoft.com/office/drawing/2014/main" id="{16BA5882-1F9B-7465-F012-F1B27FE51F5C}"/>
            </a:ext>
          </a:extLst>
        </xdr:cNvPr>
        <xdr:cNvCxnSpPr/>
      </xdr:nvCxnSpPr>
      <xdr:spPr>
        <a:xfrm>
          <a:off x="4340225" y="4708813"/>
          <a:ext cx="222250" cy="14960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244475</xdr:colOff>
      <xdr:row>16</xdr:row>
      <xdr:rowOff>68704</xdr:rowOff>
    </xdr:from>
    <xdr:to>
      <xdr:col>10</xdr:col>
      <xdr:colOff>131082</xdr:colOff>
      <xdr:row>16</xdr:row>
      <xdr:rowOff>133643</xdr:rowOff>
    </xdr:to>
    <xdr:cxnSp macro="">
      <xdr:nvCxnSpPr>
        <xdr:cNvPr id="225" name="SCHEMA_T05_COND_0068">
          <a:extLst>
            <a:ext uri="{FF2B5EF4-FFF2-40B4-BE49-F238E27FC236}">
              <a16:creationId xmlns:a16="http://schemas.microsoft.com/office/drawing/2014/main" id="{5BFEBB0F-9A4B-31D2-B1B5-6366E5DFDCE3}"/>
            </a:ext>
          </a:extLst>
        </xdr:cNvPr>
        <xdr:cNvCxnSpPr/>
      </xdr:nvCxnSpPr>
      <xdr:spPr>
        <a:xfrm>
          <a:off x="4562475" y="4858418"/>
          <a:ext cx="222250" cy="6493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131082</xdr:colOff>
      <xdr:row>16</xdr:row>
      <xdr:rowOff>113915</xdr:rowOff>
    </xdr:from>
    <xdr:to>
      <xdr:col>11</xdr:col>
      <xdr:colOff>17689</xdr:colOff>
      <xdr:row>16</xdr:row>
      <xdr:rowOff>133643</xdr:rowOff>
    </xdr:to>
    <xdr:cxnSp macro="">
      <xdr:nvCxnSpPr>
        <xdr:cNvPr id="226" name="SCHEMA_T05_COND_0069">
          <a:extLst>
            <a:ext uri="{FF2B5EF4-FFF2-40B4-BE49-F238E27FC236}">
              <a16:creationId xmlns:a16="http://schemas.microsoft.com/office/drawing/2014/main" id="{F7A78D0B-6D27-4233-99D6-F8B297FFCE51}"/>
            </a:ext>
          </a:extLst>
        </xdr:cNvPr>
        <xdr:cNvCxnSpPr/>
      </xdr:nvCxnSpPr>
      <xdr:spPr>
        <a:xfrm flipV="1">
          <a:off x="4784725" y="4903629"/>
          <a:ext cx="222250" cy="1972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22225</xdr:colOff>
      <xdr:row>16</xdr:row>
      <xdr:rowOff>71499</xdr:rowOff>
    </xdr:from>
    <xdr:to>
      <xdr:col>9</xdr:col>
      <xdr:colOff>244475</xdr:colOff>
      <xdr:row>16</xdr:row>
      <xdr:rowOff>221104</xdr:rowOff>
    </xdr:to>
    <xdr:cxnSp macro="">
      <xdr:nvCxnSpPr>
        <xdr:cNvPr id="227" name="SCHEMA_T05_COND_0070">
          <a:extLst>
            <a:ext uri="{FF2B5EF4-FFF2-40B4-BE49-F238E27FC236}">
              <a16:creationId xmlns:a16="http://schemas.microsoft.com/office/drawing/2014/main" id="{4A25CD24-0691-1D01-F34F-480B06D367DF}"/>
            </a:ext>
          </a:extLst>
        </xdr:cNvPr>
        <xdr:cNvCxnSpPr/>
      </xdr:nvCxnSpPr>
      <xdr:spPr>
        <a:xfrm>
          <a:off x="4340225" y="4861213"/>
          <a:ext cx="222250" cy="14960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244475</xdr:colOff>
      <xdr:row>16</xdr:row>
      <xdr:rowOff>221104</xdr:rowOff>
    </xdr:from>
    <xdr:to>
      <xdr:col>10</xdr:col>
      <xdr:colOff>131082</xdr:colOff>
      <xdr:row>17</xdr:row>
      <xdr:rowOff>41114</xdr:rowOff>
    </xdr:to>
    <xdr:cxnSp macro="">
      <xdr:nvCxnSpPr>
        <xdr:cNvPr id="228" name="SCHEMA_T05_COND_0071">
          <a:extLst>
            <a:ext uri="{FF2B5EF4-FFF2-40B4-BE49-F238E27FC236}">
              <a16:creationId xmlns:a16="http://schemas.microsoft.com/office/drawing/2014/main" id="{59738497-B429-491C-40B7-ECAA69DDDDA2}"/>
            </a:ext>
          </a:extLst>
        </xdr:cNvPr>
        <xdr:cNvCxnSpPr/>
      </xdr:nvCxnSpPr>
      <xdr:spPr>
        <a:xfrm>
          <a:off x="4562475" y="5010818"/>
          <a:ext cx="222250" cy="6493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131082</xdr:colOff>
      <xdr:row>17</xdr:row>
      <xdr:rowOff>21386</xdr:rowOff>
    </xdr:from>
    <xdr:to>
      <xdr:col>11</xdr:col>
      <xdr:colOff>17689</xdr:colOff>
      <xdr:row>17</xdr:row>
      <xdr:rowOff>41114</xdr:rowOff>
    </xdr:to>
    <xdr:cxnSp macro="">
      <xdr:nvCxnSpPr>
        <xdr:cNvPr id="229" name="SCHEMA_T05_COND_0072">
          <a:extLst>
            <a:ext uri="{FF2B5EF4-FFF2-40B4-BE49-F238E27FC236}">
              <a16:creationId xmlns:a16="http://schemas.microsoft.com/office/drawing/2014/main" id="{426A3A09-3AF6-C59A-2C47-88E49F6EEE62}"/>
            </a:ext>
          </a:extLst>
        </xdr:cNvPr>
        <xdr:cNvCxnSpPr/>
      </xdr:nvCxnSpPr>
      <xdr:spPr>
        <a:xfrm flipV="1">
          <a:off x="4784725" y="5056029"/>
          <a:ext cx="222250" cy="1972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22225</xdr:colOff>
      <xdr:row>16</xdr:row>
      <xdr:rowOff>173099</xdr:rowOff>
    </xdr:from>
    <xdr:to>
      <xdr:col>9</xdr:col>
      <xdr:colOff>244475</xdr:colOff>
      <xdr:row>17</xdr:row>
      <xdr:rowOff>77775</xdr:rowOff>
    </xdr:to>
    <xdr:cxnSp macro="">
      <xdr:nvCxnSpPr>
        <xdr:cNvPr id="230" name="SCHEMA_T05_COND_0073">
          <a:extLst>
            <a:ext uri="{FF2B5EF4-FFF2-40B4-BE49-F238E27FC236}">
              <a16:creationId xmlns:a16="http://schemas.microsoft.com/office/drawing/2014/main" id="{9840DB99-128F-8F26-C9B6-666DDCC987F2}"/>
            </a:ext>
          </a:extLst>
        </xdr:cNvPr>
        <xdr:cNvCxnSpPr/>
      </xdr:nvCxnSpPr>
      <xdr:spPr>
        <a:xfrm>
          <a:off x="4340225" y="4962813"/>
          <a:ext cx="222250" cy="14960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244475</xdr:colOff>
      <xdr:row>17</xdr:row>
      <xdr:rowOff>77775</xdr:rowOff>
    </xdr:from>
    <xdr:to>
      <xdr:col>10</xdr:col>
      <xdr:colOff>131082</xdr:colOff>
      <xdr:row>17</xdr:row>
      <xdr:rowOff>142714</xdr:rowOff>
    </xdr:to>
    <xdr:cxnSp macro="">
      <xdr:nvCxnSpPr>
        <xdr:cNvPr id="231" name="SCHEMA_T05_COND_0074">
          <a:extLst>
            <a:ext uri="{FF2B5EF4-FFF2-40B4-BE49-F238E27FC236}">
              <a16:creationId xmlns:a16="http://schemas.microsoft.com/office/drawing/2014/main" id="{910C3969-70B2-4E17-CCB7-449A9E70C0CC}"/>
            </a:ext>
          </a:extLst>
        </xdr:cNvPr>
        <xdr:cNvCxnSpPr/>
      </xdr:nvCxnSpPr>
      <xdr:spPr>
        <a:xfrm>
          <a:off x="4562475" y="5112418"/>
          <a:ext cx="222250" cy="6493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131082</xdr:colOff>
      <xdr:row>17</xdr:row>
      <xdr:rowOff>122986</xdr:rowOff>
    </xdr:from>
    <xdr:to>
      <xdr:col>11</xdr:col>
      <xdr:colOff>17689</xdr:colOff>
      <xdr:row>17</xdr:row>
      <xdr:rowOff>142714</xdr:rowOff>
    </xdr:to>
    <xdr:cxnSp macro="">
      <xdr:nvCxnSpPr>
        <xdr:cNvPr id="232" name="SCHEMA_T05_COND_0075">
          <a:extLst>
            <a:ext uri="{FF2B5EF4-FFF2-40B4-BE49-F238E27FC236}">
              <a16:creationId xmlns:a16="http://schemas.microsoft.com/office/drawing/2014/main" id="{9D858B76-A6E7-0675-387D-597E2FC34758}"/>
            </a:ext>
          </a:extLst>
        </xdr:cNvPr>
        <xdr:cNvCxnSpPr/>
      </xdr:nvCxnSpPr>
      <xdr:spPr>
        <a:xfrm flipV="1">
          <a:off x="4784725" y="5157629"/>
          <a:ext cx="222250" cy="1972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317500</xdr:colOff>
      <xdr:row>25</xdr:row>
      <xdr:rowOff>41729</xdr:rowOff>
    </xdr:from>
    <xdr:to>
      <xdr:col>10</xdr:col>
      <xdr:colOff>58057</xdr:colOff>
      <xdr:row>25</xdr:row>
      <xdr:rowOff>117929</xdr:rowOff>
    </xdr:to>
    <xdr:sp macro="" textlink="">
      <xdr:nvSpPr>
        <xdr:cNvPr id="233" name="SCHEMA_T05_ATTRAV_05">
          <a:extLst>
            <a:ext uri="{FF2B5EF4-FFF2-40B4-BE49-F238E27FC236}">
              <a16:creationId xmlns:a16="http://schemas.microsoft.com/office/drawing/2014/main" id="{51876C8F-7BB9-8FE0-8154-89027DB03AC9}"/>
            </a:ext>
          </a:extLst>
        </xdr:cNvPr>
        <xdr:cNvSpPr/>
      </xdr:nvSpPr>
      <xdr:spPr>
        <a:xfrm>
          <a:off x="4635500" y="7035800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11</xdr:col>
      <xdr:colOff>17689</xdr:colOff>
      <xdr:row>15</xdr:row>
      <xdr:rowOff>92143</xdr:rowOff>
    </xdr:from>
    <xdr:to>
      <xdr:col>11</xdr:col>
      <xdr:colOff>239939</xdr:colOff>
      <xdr:row>15</xdr:row>
      <xdr:rowOff>124858</xdr:rowOff>
    </xdr:to>
    <xdr:cxnSp macro="">
      <xdr:nvCxnSpPr>
        <xdr:cNvPr id="234" name="SCHEMA_T05_COND_0076">
          <a:extLst>
            <a:ext uri="{FF2B5EF4-FFF2-40B4-BE49-F238E27FC236}">
              <a16:creationId xmlns:a16="http://schemas.microsoft.com/office/drawing/2014/main" id="{80345D45-7976-B2DF-ACC6-A5A008B2CF5D}"/>
            </a:ext>
          </a:extLst>
        </xdr:cNvPr>
        <xdr:cNvCxnSpPr/>
      </xdr:nvCxnSpPr>
      <xdr:spPr>
        <a:xfrm>
          <a:off x="5006975" y="4636929"/>
          <a:ext cx="222250" cy="32715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239939</xdr:colOff>
      <xdr:row>15</xdr:row>
      <xdr:rowOff>72908</xdr:rowOff>
    </xdr:from>
    <xdr:to>
      <xdr:col>12</xdr:col>
      <xdr:colOff>126546</xdr:colOff>
      <xdr:row>15</xdr:row>
      <xdr:rowOff>124858</xdr:rowOff>
    </xdr:to>
    <xdr:cxnSp macro="">
      <xdr:nvCxnSpPr>
        <xdr:cNvPr id="235" name="SCHEMA_T05_COND_0077">
          <a:extLst>
            <a:ext uri="{FF2B5EF4-FFF2-40B4-BE49-F238E27FC236}">
              <a16:creationId xmlns:a16="http://schemas.microsoft.com/office/drawing/2014/main" id="{BE39483A-81E8-D8E8-54B2-4A144C05B1CD}"/>
            </a:ext>
          </a:extLst>
        </xdr:cNvPr>
        <xdr:cNvCxnSpPr/>
      </xdr:nvCxnSpPr>
      <xdr:spPr>
        <a:xfrm flipV="1">
          <a:off x="5229225" y="4617694"/>
          <a:ext cx="222250" cy="51950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126546</xdr:colOff>
      <xdr:row>14</xdr:row>
      <xdr:rowOff>181219</xdr:rowOff>
    </xdr:from>
    <xdr:to>
      <xdr:col>13</xdr:col>
      <xdr:colOff>13154</xdr:colOff>
      <xdr:row>15</xdr:row>
      <xdr:rowOff>72908</xdr:rowOff>
    </xdr:to>
    <xdr:cxnSp macro="">
      <xdr:nvCxnSpPr>
        <xdr:cNvPr id="236" name="SCHEMA_T05_COND_0078">
          <a:extLst>
            <a:ext uri="{FF2B5EF4-FFF2-40B4-BE49-F238E27FC236}">
              <a16:creationId xmlns:a16="http://schemas.microsoft.com/office/drawing/2014/main" id="{296DE56F-DC50-8B95-D43E-889D1126A05A}"/>
            </a:ext>
          </a:extLst>
        </xdr:cNvPr>
        <xdr:cNvCxnSpPr/>
      </xdr:nvCxnSpPr>
      <xdr:spPr>
        <a:xfrm flipV="1">
          <a:off x="5451475" y="4481076"/>
          <a:ext cx="222250" cy="136618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17689</xdr:colOff>
      <xdr:row>16</xdr:row>
      <xdr:rowOff>12315</xdr:rowOff>
    </xdr:from>
    <xdr:to>
      <xdr:col>11</xdr:col>
      <xdr:colOff>239939</xdr:colOff>
      <xdr:row>16</xdr:row>
      <xdr:rowOff>45030</xdr:rowOff>
    </xdr:to>
    <xdr:cxnSp macro="">
      <xdr:nvCxnSpPr>
        <xdr:cNvPr id="237" name="SCHEMA_T05_COND_0079">
          <a:extLst>
            <a:ext uri="{FF2B5EF4-FFF2-40B4-BE49-F238E27FC236}">
              <a16:creationId xmlns:a16="http://schemas.microsoft.com/office/drawing/2014/main" id="{221702D7-1AEF-AD86-2721-5A1E1E643578}"/>
            </a:ext>
          </a:extLst>
        </xdr:cNvPr>
        <xdr:cNvCxnSpPr/>
      </xdr:nvCxnSpPr>
      <xdr:spPr>
        <a:xfrm>
          <a:off x="5006975" y="4802029"/>
          <a:ext cx="222250" cy="3271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239939</xdr:colOff>
      <xdr:row>15</xdr:row>
      <xdr:rowOff>238008</xdr:rowOff>
    </xdr:from>
    <xdr:to>
      <xdr:col>12</xdr:col>
      <xdr:colOff>126546</xdr:colOff>
      <xdr:row>16</xdr:row>
      <xdr:rowOff>45030</xdr:rowOff>
    </xdr:to>
    <xdr:cxnSp macro="">
      <xdr:nvCxnSpPr>
        <xdr:cNvPr id="238" name="SCHEMA_T05_COND_0080">
          <a:extLst>
            <a:ext uri="{FF2B5EF4-FFF2-40B4-BE49-F238E27FC236}">
              <a16:creationId xmlns:a16="http://schemas.microsoft.com/office/drawing/2014/main" id="{A9A75941-C5AA-B663-A3EA-B6676BB70FB1}"/>
            </a:ext>
          </a:extLst>
        </xdr:cNvPr>
        <xdr:cNvCxnSpPr/>
      </xdr:nvCxnSpPr>
      <xdr:spPr>
        <a:xfrm flipV="1">
          <a:off x="5229225" y="4782794"/>
          <a:ext cx="222250" cy="5195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126546</xdr:colOff>
      <xdr:row>15</xdr:row>
      <xdr:rowOff>101390</xdr:rowOff>
    </xdr:from>
    <xdr:to>
      <xdr:col>13</xdr:col>
      <xdr:colOff>13154</xdr:colOff>
      <xdr:row>15</xdr:row>
      <xdr:rowOff>238008</xdr:rowOff>
    </xdr:to>
    <xdr:cxnSp macro="">
      <xdr:nvCxnSpPr>
        <xdr:cNvPr id="239" name="SCHEMA_T05_COND_0081">
          <a:extLst>
            <a:ext uri="{FF2B5EF4-FFF2-40B4-BE49-F238E27FC236}">
              <a16:creationId xmlns:a16="http://schemas.microsoft.com/office/drawing/2014/main" id="{40A55EE7-16B5-5328-0E93-55D09AF958C6}"/>
            </a:ext>
          </a:extLst>
        </xdr:cNvPr>
        <xdr:cNvCxnSpPr/>
      </xdr:nvCxnSpPr>
      <xdr:spPr>
        <a:xfrm flipV="1">
          <a:off x="5451475" y="4646176"/>
          <a:ext cx="222250" cy="13661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17689</xdr:colOff>
      <xdr:row>16</xdr:row>
      <xdr:rowOff>113915</xdr:rowOff>
    </xdr:from>
    <xdr:to>
      <xdr:col>11</xdr:col>
      <xdr:colOff>239939</xdr:colOff>
      <xdr:row>16</xdr:row>
      <xdr:rowOff>146630</xdr:rowOff>
    </xdr:to>
    <xdr:cxnSp macro="">
      <xdr:nvCxnSpPr>
        <xdr:cNvPr id="240" name="SCHEMA_T05_COND_0082">
          <a:extLst>
            <a:ext uri="{FF2B5EF4-FFF2-40B4-BE49-F238E27FC236}">
              <a16:creationId xmlns:a16="http://schemas.microsoft.com/office/drawing/2014/main" id="{D5BFAEC7-18C5-83CD-DF0C-E9A7459B86E0}"/>
            </a:ext>
          </a:extLst>
        </xdr:cNvPr>
        <xdr:cNvCxnSpPr/>
      </xdr:nvCxnSpPr>
      <xdr:spPr>
        <a:xfrm>
          <a:off x="5006975" y="4903629"/>
          <a:ext cx="222250" cy="3271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239939</xdr:colOff>
      <xdr:row>16</xdr:row>
      <xdr:rowOff>94680</xdr:rowOff>
    </xdr:from>
    <xdr:to>
      <xdr:col>12</xdr:col>
      <xdr:colOff>126546</xdr:colOff>
      <xdr:row>16</xdr:row>
      <xdr:rowOff>146630</xdr:rowOff>
    </xdr:to>
    <xdr:cxnSp macro="">
      <xdr:nvCxnSpPr>
        <xdr:cNvPr id="241" name="SCHEMA_T05_COND_0083">
          <a:extLst>
            <a:ext uri="{FF2B5EF4-FFF2-40B4-BE49-F238E27FC236}">
              <a16:creationId xmlns:a16="http://schemas.microsoft.com/office/drawing/2014/main" id="{A19A404A-2502-3A3A-9D81-AE752344E9AB}"/>
            </a:ext>
          </a:extLst>
        </xdr:cNvPr>
        <xdr:cNvCxnSpPr/>
      </xdr:nvCxnSpPr>
      <xdr:spPr>
        <a:xfrm flipV="1">
          <a:off x="5229225" y="4884394"/>
          <a:ext cx="222250" cy="5195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126546</xdr:colOff>
      <xdr:row>15</xdr:row>
      <xdr:rowOff>202990</xdr:rowOff>
    </xdr:from>
    <xdr:to>
      <xdr:col>13</xdr:col>
      <xdr:colOff>13154</xdr:colOff>
      <xdr:row>16</xdr:row>
      <xdr:rowOff>94680</xdr:rowOff>
    </xdr:to>
    <xdr:cxnSp macro="">
      <xdr:nvCxnSpPr>
        <xdr:cNvPr id="242" name="SCHEMA_T05_COND_0084">
          <a:extLst>
            <a:ext uri="{FF2B5EF4-FFF2-40B4-BE49-F238E27FC236}">
              <a16:creationId xmlns:a16="http://schemas.microsoft.com/office/drawing/2014/main" id="{1F895F42-0616-CFC6-7013-2D307540CD1D}"/>
            </a:ext>
          </a:extLst>
        </xdr:cNvPr>
        <xdr:cNvCxnSpPr/>
      </xdr:nvCxnSpPr>
      <xdr:spPr>
        <a:xfrm flipV="1">
          <a:off x="5451475" y="4747776"/>
          <a:ext cx="222250" cy="13661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17689</xdr:colOff>
      <xdr:row>17</xdr:row>
      <xdr:rowOff>21386</xdr:rowOff>
    </xdr:from>
    <xdr:to>
      <xdr:col>11</xdr:col>
      <xdr:colOff>239939</xdr:colOff>
      <xdr:row>17</xdr:row>
      <xdr:rowOff>54101</xdr:rowOff>
    </xdr:to>
    <xdr:cxnSp macro="">
      <xdr:nvCxnSpPr>
        <xdr:cNvPr id="243" name="SCHEMA_T05_COND_0085">
          <a:extLst>
            <a:ext uri="{FF2B5EF4-FFF2-40B4-BE49-F238E27FC236}">
              <a16:creationId xmlns:a16="http://schemas.microsoft.com/office/drawing/2014/main" id="{27CB77B7-2B0D-5AD7-177F-34F5EDCF2108}"/>
            </a:ext>
          </a:extLst>
        </xdr:cNvPr>
        <xdr:cNvCxnSpPr/>
      </xdr:nvCxnSpPr>
      <xdr:spPr>
        <a:xfrm>
          <a:off x="5006975" y="5056029"/>
          <a:ext cx="222250" cy="3271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239939</xdr:colOff>
      <xdr:row>17</xdr:row>
      <xdr:rowOff>2151</xdr:rowOff>
    </xdr:from>
    <xdr:to>
      <xdr:col>12</xdr:col>
      <xdr:colOff>126546</xdr:colOff>
      <xdr:row>17</xdr:row>
      <xdr:rowOff>54101</xdr:rowOff>
    </xdr:to>
    <xdr:cxnSp macro="">
      <xdr:nvCxnSpPr>
        <xdr:cNvPr id="244" name="SCHEMA_T05_COND_0086">
          <a:extLst>
            <a:ext uri="{FF2B5EF4-FFF2-40B4-BE49-F238E27FC236}">
              <a16:creationId xmlns:a16="http://schemas.microsoft.com/office/drawing/2014/main" id="{FDAB3CF8-C143-91F6-0167-A1C99E69EAFD}"/>
            </a:ext>
          </a:extLst>
        </xdr:cNvPr>
        <xdr:cNvCxnSpPr/>
      </xdr:nvCxnSpPr>
      <xdr:spPr>
        <a:xfrm flipV="1">
          <a:off x="5229225" y="5036794"/>
          <a:ext cx="222250" cy="5195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126546</xdr:colOff>
      <xdr:row>16</xdr:row>
      <xdr:rowOff>110462</xdr:rowOff>
    </xdr:from>
    <xdr:to>
      <xdr:col>13</xdr:col>
      <xdr:colOff>13154</xdr:colOff>
      <xdr:row>17</xdr:row>
      <xdr:rowOff>2151</xdr:rowOff>
    </xdr:to>
    <xdr:cxnSp macro="">
      <xdr:nvCxnSpPr>
        <xdr:cNvPr id="704" name="SCHEMA_T05_COND_0087">
          <a:extLst>
            <a:ext uri="{FF2B5EF4-FFF2-40B4-BE49-F238E27FC236}">
              <a16:creationId xmlns:a16="http://schemas.microsoft.com/office/drawing/2014/main" id="{5247B431-F5E2-9668-09B4-D2ABC384D828}"/>
            </a:ext>
          </a:extLst>
        </xdr:cNvPr>
        <xdr:cNvCxnSpPr/>
      </xdr:nvCxnSpPr>
      <xdr:spPr>
        <a:xfrm flipV="1">
          <a:off x="5451475" y="4900176"/>
          <a:ext cx="222250" cy="13661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17689</xdr:colOff>
      <xdr:row>17</xdr:row>
      <xdr:rowOff>122986</xdr:rowOff>
    </xdr:from>
    <xdr:to>
      <xdr:col>11</xdr:col>
      <xdr:colOff>239939</xdr:colOff>
      <xdr:row>17</xdr:row>
      <xdr:rowOff>155701</xdr:rowOff>
    </xdr:to>
    <xdr:cxnSp macro="">
      <xdr:nvCxnSpPr>
        <xdr:cNvPr id="705" name="SCHEMA_T05_COND_0088">
          <a:extLst>
            <a:ext uri="{FF2B5EF4-FFF2-40B4-BE49-F238E27FC236}">
              <a16:creationId xmlns:a16="http://schemas.microsoft.com/office/drawing/2014/main" id="{27531305-B539-5440-E364-85C7BF291AAA}"/>
            </a:ext>
          </a:extLst>
        </xdr:cNvPr>
        <xdr:cNvCxnSpPr/>
      </xdr:nvCxnSpPr>
      <xdr:spPr>
        <a:xfrm>
          <a:off x="5006975" y="5157629"/>
          <a:ext cx="222250" cy="3271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239939</xdr:colOff>
      <xdr:row>17</xdr:row>
      <xdr:rowOff>103751</xdr:rowOff>
    </xdr:from>
    <xdr:to>
      <xdr:col>12</xdr:col>
      <xdr:colOff>126546</xdr:colOff>
      <xdr:row>17</xdr:row>
      <xdr:rowOff>155701</xdr:rowOff>
    </xdr:to>
    <xdr:cxnSp macro="">
      <xdr:nvCxnSpPr>
        <xdr:cNvPr id="706" name="SCHEMA_T05_COND_0089">
          <a:extLst>
            <a:ext uri="{FF2B5EF4-FFF2-40B4-BE49-F238E27FC236}">
              <a16:creationId xmlns:a16="http://schemas.microsoft.com/office/drawing/2014/main" id="{5216FD03-140C-B82E-7BFE-6266F93311A3}"/>
            </a:ext>
          </a:extLst>
        </xdr:cNvPr>
        <xdr:cNvCxnSpPr/>
      </xdr:nvCxnSpPr>
      <xdr:spPr>
        <a:xfrm flipV="1">
          <a:off x="5229225" y="5138394"/>
          <a:ext cx="222250" cy="5195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126546</xdr:colOff>
      <xdr:row>16</xdr:row>
      <xdr:rowOff>212062</xdr:rowOff>
    </xdr:from>
    <xdr:to>
      <xdr:col>13</xdr:col>
      <xdr:colOff>13154</xdr:colOff>
      <xdr:row>17</xdr:row>
      <xdr:rowOff>103751</xdr:rowOff>
    </xdr:to>
    <xdr:cxnSp macro="">
      <xdr:nvCxnSpPr>
        <xdr:cNvPr id="707" name="SCHEMA_T05_COND_0090">
          <a:extLst>
            <a:ext uri="{FF2B5EF4-FFF2-40B4-BE49-F238E27FC236}">
              <a16:creationId xmlns:a16="http://schemas.microsoft.com/office/drawing/2014/main" id="{A2CFE394-F5B4-8965-F859-E2CCEEBF3AC2}"/>
            </a:ext>
          </a:extLst>
        </xdr:cNvPr>
        <xdr:cNvCxnSpPr/>
      </xdr:nvCxnSpPr>
      <xdr:spPr>
        <a:xfrm flipV="1">
          <a:off x="5451475" y="5001776"/>
          <a:ext cx="222250" cy="13661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312964</xdr:colOff>
      <xdr:row>25</xdr:row>
      <xdr:rowOff>41729</xdr:rowOff>
    </xdr:from>
    <xdr:to>
      <xdr:col>12</xdr:col>
      <xdr:colOff>53521</xdr:colOff>
      <xdr:row>25</xdr:row>
      <xdr:rowOff>117929</xdr:rowOff>
    </xdr:to>
    <xdr:sp macro="" textlink="">
      <xdr:nvSpPr>
        <xdr:cNvPr id="708" name="SCHEMA_T05_ATTRAV_06">
          <a:extLst>
            <a:ext uri="{FF2B5EF4-FFF2-40B4-BE49-F238E27FC236}">
              <a16:creationId xmlns:a16="http://schemas.microsoft.com/office/drawing/2014/main" id="{51CA232C-99E8-DF6B-8910-33CA91C402C1}"/>
            </a:ext>
          </a:extLst>
        </xdr:cNvPr>
        <xdr:cNvSpPr/>
      </xdr:nvSpPr>
      <xdr:spPr>
        <a:xfrm>
          <a:off x="5302250" y="7035800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13</xdr:col>
      <xdr:colOff>13154</xdr:colOff>
      <xdr:row>14</xdr:row>
      <xdr:rowOff>181219</xdr:rowOff>
    </xdr:from>
    <xdr:to>
      <xdr:col>13</xdr:col>
      <xdr:colOff>235404</xdr:colOff>
      <xdr:row>15</xdr:row>
      <xdr:rowOff>104078</xdr:rowOff>
    </xdr:to>
    <xdr:cxnSp macro="">
      <xdr:nvCxnSpPr>
        <xdr:cNvPr id="709" name="SCHEMA_T05_COND_0091">
          <a:extLst>
            <a:ext uri="{FF2B5EF4-FFF2-40B4-BE49-F238E27FC236}">
              <a16:creationId xmlns:a16="http://schemas.microsoft.com/office/drawing/2014/main" id="{1D474994-F68E-A25C-F3A3-743000DA95C2}"/>
            </a:ext>
          </a:extLst>
        </xdr:cNvPr>
        <xdr:cNvCxnSpPr/>
      </xdr:nvCxnSpPr>
      <xdr:spPr>
        <a:xfrm>
          <a:off x="5673725" y="4481076"/>
          <a:ext cx="222250" cy="167788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235404</xdr:colOff>
      <xdr:row>15</xdr:row>
      <xdr:rowOff>104078</xdr:rowOff>
    </xdr:from>
    <xdr:to>
      <xdr:col>14</xdr:col>
      <xdr:colOff>122011</xdr:colOff>
      <xdr:row>15</xdr:row>
      <xdr:rowOff>187200</xdr:rowOff>
    </xdr:to>
    <xdr:cxnSp macro="">
      <xdr:nvCxnSpPr>
        <xdr:cNvPr id="710" name="SCHEMA_T05_COND_0092">
          <a:extLst>
            <a:ext uri="{FF2B5EF4-FFF2-40B4-BE49-F238E27FC236}">
              <a16:creationId xmlns:a16="http://schemas.microsoft.com/office/drawing/2014/main" id="{36D17953-8B95-1700-8E8D-0356497EFFFD}"/>
            </a:ext>
          </a:extLst>
        </xdr:cNvPr>
        <xdr:cNvCxnSpPr/>
      </xdr:nvCxnSpPr>
      <xdr:spPr>
        <a:xfrm>
          <a:off x="5895975" y="4648864"/>
          <a:ext cx="222250" cy="83122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122011</xdr:colOff>
      <xdr:row>15</xdr:row>
      <xdr:rowOff>185654</xdr:rowOff>
    </xdr:from>
    <xdr:to>
      <xdr:col>15</xdr:col>
      <xdr:colOff>8618</xdr:colOff>
      <xdr:row>15</xdr:row>
      <xdr:rowOff>187200</xdr:rowOff>
    </xdr:to>
    <xdr:cxnSp macro="">
      <xdr:nvCxnSpPr>
        <xdr:cNvPr id="711" name="SCHEMA_T05_COND_0093">
          <a:extLst>
            <a:ext uri="{FF2B5EF4-FFF2-40B4-BE49-F238E27FC236}">
              <a16:creationId xmlns:a16="http://schemas.microsoft.com/office/drawing/2014/main" id="{864D622E-2330-5C3B-04B2-C33F5A5F0D75}"/>
            </a:ext>
          </a:extLst>
        </xdr:cNvPr>
        <xdr:cNvCxnSpPr/>
      </xdr:nvCxnSpPr>
      <xdr:spPr>
        <a:xfrm flipV="1">
          <a:off x="6118225" y="4730440"/>
          <a:ext cx="222250" cy="1546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13154</xdr:colOff>
      <xdr:row>15</xdr:row>
      <xdr:rowOff>101390</xdr:rowOff>
    </xdr:from>
    <xdr:to>
      <xdr:col>13</xdr:col>
      <xdr:colOff>235404</xdr:colOff>
      <xdr:row>16</xdr:row>
      <xdr:rowOff>24250</xdr:rowOff>
    </xdr:to>
    <xdr:cxnSp macro="">
      <xdr:nvCxnSpPr>
        <xdr:cNvPr id="712" name="SCHEMA_T05_COND_0094">
          <a:extLst>
            <a:ext uri="{FF2B5EF4-FFF2-40B4-BE49-F238E27FC236}">
              <a16:creationId xmlns:a16="http://schemas.microsoft.com/office/drawing/2014/main" id="{FC22C19F-C62C-1209-99E9-1A2B901F49F8}"/>
            </a:ext>
          </a:extLst>
        </xdr:cNvPr>
        <xdr:cNvCxnSpPr/>
      </xdr:nvCxnSpPr>
      <xdr:spPr>
        <a:xfrm>
          <a:off x="5673725" y="4646176"/>
          <a:ext cx="222250" cy="16778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235404</xdr:colOff>
      <xdr:row>16</xdr:row>
      <xdr:rowOff>24250</xdr:rowOff>
    </xdr:from>
    <xdr:to>
      <xdr:col>14</xdr:col>
      <xdr:colOff>122011</xdr:colOff>
      <xdr:row>16</xdr:row>
      <xdr:rowOff>107372</xdr:rowOff>
    </xdr:to>
    <xdr:cxnSp macro="">
      <xdr:nvCxnSpPr>
        <xdr:cNvPr id="713" name="SCHEMA_T05_COND_0095">
          <a:extLst>
            <a:ext uri="{FF2B5EF4-FFF2-40B4-BE49-F238E27FC236}">
              <a16:creationId xmlns:a16="http://schemas.microsoft.com/office/drawing/2014/main" id="{DD834C4A-74A7-F2E3-89F2-D42729FF52C2}"/>
            </a:ext>
          </a:extLst>
        </xdr:cNvPr>
        <xdr:cNvCxnSpPr/>
      </xdr:nvCxnSpPr>
      <xdr:spPr>
        <a:xfrm>
          <a:off x="5895975" y="4813964"/>
          <a:ext cx="222250" cy="8312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122011</xdr:colOff>
      <xdr:row>16</xdr:row>
      <xdr:rowOff>105826</xdr:rowOff>
    </xdr:from>
    <xdr:to>
      <xdr:col>15</xdr:col>
      <xdr:colOff>8618</xdr:colOff>
      <xdr:row>16</xdr:row>
      <xdr:rowOff>107372</xdr:rowOff>
    </xdr:to>
    <xdr:cxnSp macro="">
      <xdr:nvCxnSpPr>
        <xdr:cNvPr id="714" name="SCHEMA_T05_COND_0096">
          <a:extLst>
            <a:ext uri="{FF2B5EF4-FFF2-40B4-BE49-F238E27FC236}">
              <a16:creationId xmlns:a16="http://schemas.microsoft.com/office/drawing/2014/main" id="{06A47229-7C57-0A2E-0EF7-4F18B303B894}"/>
            </a:ext>
          </a:extLst>
        </xdr:cNvPr>
        <xdr:cNvCxnSpPr/>
      </xdr:nvCxnSpPr>
      <xdr:spPr>
        <a:xfrm flipV="1">
          <a:off x="6118225" y="4895540"/>
          <a:ext cx="222250" cy="154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13154</xdr:colOff>
      <xdr:row>15</xdr:row>
      <xdr:rowOff>202990</xdr:rowOff>
    </xdr:from>
    <xdr:to>
      <xdr:col>13</xdr:col>
      <xdr:colOff>235404</xdr:colOff>
      <xdr:row>16</xdr:row>
      <xdr:rowOff>125850</xdr:rowOff>
    </xdr:to>
    <xdr:cxnSp macro="">
      <xdr:nvCxnSpPr>
        <xdr:cNvPr id="715" name="SCHEMA_T05_COND_0097">
          <a:extLst>
            <a:ext uri="{FF2B5EF4-FFF2-40B4-BE49-F238E27FC236}">
              <a16:creationId xmlns:a16="http://schemas.microsoft.com/office/drawing/2014/main" id="{1E719D72-C772-550E-ED33-D91ADC879B68}"/>
            </a:ext>
          </a:extLst>
        </xdr:cNvPr>
        <xdr:cNvCxnSpPr/>
      </xdr:nvCxnSpPr>
      <xdr:spPr>
        <a:xfrm>
          <a:off x="5673725" y="4747776"/>
          <a:ext cx="222250" cy="16778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235404</xdr:colOff>
      <xdr:row>16</xdr:row>
      <xdr:rowOff>125850</xdr:rowOff>
    </xdr:from>
    <xdr:to>
      <xdr:col>14</xdr:col>
      <xdr:colOff>122011</xdr:colOff>
      <xdr:row>16</xdr:row>
      <xdr:rowOff>208972</xdr:rowOff>
    </xdr:to>
    <xdr:cxnSp macro="">
      <xdr:nvCxnSpPr>
        <xdr:cNvPr id="716" name="SCHEMA_T05_COND_0098">
          <a:extLst>
            <a:ext uri="{FF2B5EF4-FFF2-40B4-BE49-F238E27FC236}">
              <a16:creationId xmlns:a16="http://schemas.microsoft.com/office/drawing/2014/main" id="{C10A8191-AF81-98FD-B60E-8A41058D9278}"/>
            </a:ext>
          </a:extLst>
        </xdr:cNvPr>
        <xdr:cNvCxnSpPr/>
      </xdr:nvCxnSpPr>
      <xdr:spPr>
        <a:xfrm>
          <a:off x="5895975" y="4915564"/>
          <a:ext cx="222250" cy="8312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122011</xdr:colOff>
      <xdr:row>16</xdr:row>
      <xdr:rowOff>207426</xdr:rowOff>
    </xdr:from>
    <xdr:to>
      <xdr:col>15</xdr:col>
      <xdr:colOff>8618</xdr:colOff>
      <xdr:row>16</xdr:row>
      <xdr:rowOff>208972</xdr:rowOff>
    </xdr:to>
    <xdr:cxnSp macro="">
      <xdr:nvCxnSpPr>
        <xdr:cNvPr id="717" name="SCHEMA_T05_COND_0099">
          <a:extLst>
            <a:ext uri="{FF2B5EF4-FFF2-40B4-BE49-F238E27FC236}">
              <a16:creationId xmlns:a16="http://schemas.microsoft.com/office/drawing/2014/main" id="{C88FB7E4-94E6-9DA0-FCFB-F73E5BB0AF9A}"/>
            </a:ext>
          </a:extLst>
        </xdr:cNvPr>
        <xdr:cNvCxnSpPr/>
      </xdr:nvCxnSpPr>
      <xdr:spPr>
        <a:xfrm flipV="1">
          <a:off x="6118225" y="4997140"/>
          <a:ext cx="222250" cy="154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13154</xdr:colOff>
      <xdr:row>16</xdr:row>
      <xdr:rowOff>110462</xdr:rowOff>
    </xdr:from>
    <xdr:to>
      <xdr:col>13</xdr:col>
      <xdr:colOff>235404</xdr:colOff>
      <xdr:row>17</xdr:row>
      <xdr:rowOff>33321</xdr:rowOff>
    </xdr:to>
    <xdr:cxnSp macro="">
      <xdr:nvCxnSpPr>
        <xdr:cNvPr id="718" name="SCHEMA_T05_COND_0100">
          <a:extLst>
            <a:ext uri="{FF2B5EF4-FFF2-40B4-BE49-F238E27FC236}">
              <a16:creationId xmlns:a16="http://schemas.microsoft.com/office/drawing/2014/main" id="{7D34123C-A88B-0B0D-1D68-760B1EDFB105}"/>
            </a:ext>
          </a:extLst>
        </xdr:cNvPr>
        <xdr:cNvCxnSpPr/>
      </xdr:nvCxnSpPr>
      <xdr:spPr>
        <a:xfrm>
          <a:off x="5673725" y="4900176"/>
          <a:ext cx="222250" cy="16778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235404</xdr:colOff>
      <xdr:row>17</xdr:row>
      <xdr:rowOff>33321</xdr:rowOff>
    </xdr:from>
    <xdr:to>
      <xdr:col>14</xdr:col>
      <xdr:colOff>122011</xdr:colOff>
      <xdr:row>17</xdr:row>
      <xdr:rowOff>116443</xdr:rowOff>
    </xdr:to>
    <xdr:cxnSp macro="">
      <xdr:nvCxnSpPr>
        <xdr:cNvPr id="719" name="SCHEMA_T05_COND_0101">
          <a:extLst>
            <a:ext uri="{FF2B5EF4-FFF2-40B4-BE49-F238E27FC236}">
              <a16:creationId xmlns:a16="http://schemas.microsoft.com/office/drawing/2014/main" id="{A89773E7-DF9E-544D-74CF-FD83278BAA5C}"/>
            </a:ext>
          </a:extLst>
        </xdr:cNvPr>
        <xdr:cNvCxnSpPr/>
      </xdr:nvCxnSpPr>
      <xdr:spPr>
        <a:xfrm>
          <a:off x="5895975" y="5067964"/>
          <a:ext cx="222250" cy="8312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122011</xdr:colOff>
      <xdr:row>17</xdr:row>
      <xdr:rowOff>114897</xdr:rowOff>
    </xdr:from>
    <xdr:to>
      <xdr:col>15</xdr:col>
      <xdr:colOff>8618</xdr:colOff>
      <xdr:row>17</xdr:row>
      <xdr:rowOff>116443</xdr:rowOff>
    </xdr:to>
    <xdr:cxnSp macro="">
      <xdr:nvCxnSpPr>
        <xdr:cNvPr id="720" name="SCHEMA_T05_COND_0102">
          <a:extLst>
            <a:ext uri="{FF2B5EF4-FFF2-40B4-BE49-F238E27FC236}">
              <a16:creationId xmlns:a16="http://schemas.microsoft.com/office/drawing/2014/main" id="{331A2195-FB0F-8B9A-1DD9-E769DD9E0587}"/>
            </a:ext>
          </a:extLst>
        </xdr:cNvPr>
        <xdr:cNvCxnSpPr/>
      </xdr:nvCxnSpPr>
      <xdr:spPr>
        <a:xfrm flipV="1">
          <a:off x="6118225" y="5149540"/>
          <a:ext cx="222250" cy="154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13154</xdr:colOff>
      <xdr:row>16</xdr:row>
      <xdr:rowOff>212062</xdr:rowOff>
    </xdr:from>
    <xdr:to>
      <xdr:col>13</xdr:col>
      <xdr:colOff>235404</xdr:colOff>
      <xdr:row>17</xdr:row>
      <xdr:rowOff>134921</xdr:rowOff>
    </xdr:to>
    <xdr:cxnSp macro="">
      <xdr:nvCxnSpPr>
        <xdr:cNvPr id="721" name="SCHEMA_T05_COND_0103">
          <a:extLst>
            <a:ext uri="{FF2B5EF4-FFF2-40B4-BE49-F238E27FC236}">
              <a16:creationId xmlns:a16="http://schemas.microsoft.com/office/drawing/2014/main" id="{B9CA1E9D-0626-0BB8-9959-8AAF04B28EEE}"/>
            </a:ext>
          </a:extLst>
        </xdr:cNvPr>
        <xdr:cNvCxnSpPr/>
      </xdr:nvCxnSpPr>
      <xdr:spPr>
        <a:xfrm>
          <a:off x="5673725" y="5001776"/>
          <a:ext cx="222250" cy="16778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235404</xdr:colOff>
      <xdr:row>17</xdr:row>
      <xdr:rowOff>134921</xdr:rowOff>
    </xdr:from>
    <xdr:to>
      <xdr:col>14</xdr:col>
      <xdr:colOff>122011</xdr:colOff>
      <xdr:row>17</xdr:row>
      <xdr:rowOff>218043</xdr:rowOff>
    </xdr:to>
    <xdr:cxnSp macro="">
      <xdr:nvCxnSpPr>
        <xdr:cNvPr id="722" name="SCHEMA_T05_COND_0104">
          <a:extLst>
            <a:ext uri="{FF2B5EF4-FFF2-40B4-BE49-F238E27FC236}">
              <a16:creationId xmlns:a16="http://schemas.microsoft.com/office/drawing/2014/main" id="{23576E43-1F1A-775E-055E-129DBD0F4576}"/>
            </a:ext>
          </a:extLst>
        </xdr:cNvPr>
        <xdr:cNvCxnSpPr/>
      </xdr:nvCxnSpPr>
      <xdr:spPr>
        <a:xfrm>
          <a:off x="5895975" y="5169564"/>
          <a:ext cx="222250" cy="8312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122011</xdr:colOff>
      <xdr:row>17</xdr:row>
      <xdr:rowOff>216497</xdr:rowOff>
    </xdr:from>
    <xdr:to>
      <xdr:col>15</xdr:col>
      <xdr:colOff>8618</xdr:colOff>
      <xdr:row>17</xdr:row>
      <xdr:rowOff>218043</xdr:rowOff>
    </xdr:to>
    <xdr:cxnSp macro="">
      <xdr:nvCxnSpPr>
        <xdr:cNvPr id="723" name="SCHEMA_T05_COND_0105">
          <a:extLst>
            <a:ext uri="{FF2B5EF4-FFF2-40B4-BE49-F238E27FC236}">
              <a16:creationId xmlns:a16="http://schemas.microsoft.com/office/drawing/2014/main" id="{8BDC29E9-7295-425A-7FBC-4F4300702B89}"/>
            </a:ext>
          </a:extLst>
        </xdr:cNvPr>
        <xdr:cNvCxnSpPr/>
      </xdr:nvCxnSpPr>
      <xdr:spPr>
        <a:xfrm flipV="1">
          <a:off x="6118225" y="5251140"/>
          <a:ext cx="222250" cy="154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308429</xdr:colOff>
      <xdr:row>25</xdr:row>
      <xdr:rowOff>41729</xdr:rowOff>
    </xdr:from>
    <xdr:to>
      <xdr:col>14</xdr:col>
      <xdr:colOff>48986</xdr:colOff>
      <xdr:row>25</xdr:row>
      <xdr:rowOff>117929</xdr:rowOff>
    </xdr:to>
    <xdr:sp macro="" textlink="">
      <xdr:nvSpPr>
        <xdr:cNvPr id="724" name="SCHEMA_T05_ATTRAV_07">
          <a:extLst>
            <a:ext uri="{FF2B5EF4-FFF2-40B4-BE49-F238E27FC236}">
              <a16:creationId xmlns:a16="http://schemas.microsoft.com/office/drawing/2014/main" id="{DA04EDD6-D9FF-5C82-6F05-0BBC7FF61D3A}"/>
            </a:ext>
          </a:extLst>
        </xdr:cNvPr>
        <xdr:cNvSpPr/>
      </xdr:nvSpPr>
      <xdr:spPr>
        <a:xfrm>
          <a:off x="5969000" y="7035800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15</xdr:col>
      <xdr:colOff>8618</xdr:colOff>
      <xdr:row>15</xdr:row>
      <xdr:rowOff>185654</xdr:rowOff>
    </xdr:from>
    <xdr:to>
      <xdr:col>15</xdr:col>
      <xdr:colOff>230868</xdr:colOff>
      <xdr:row>15</xdr:row>
      <xdr:rowOff>241748</xdr:rowOff>
    </xdr:to>
    <xdr:cxnSp macro="">
      <xdr:nvCxnSpPr>
        <xdr:cNvPr id="725" name="SCHEMA_T05_COND_0106">
          <a:extLst>
            <a:ext uri="{FF2B5EF4-FFF2-40B4-BE49-F238E27FC236}">
              <a16:creationId xmlns:a16="http://schemas.microsoft.com/office/drawing/2014/main" id="{44D132B2-B570-DC2D-0C54-BF9A308E9DBD}"/>
            </a:ext>
          </a:extLst>
        </xdr:cNvPr>
        <xdr:cNvCxnSpPr/>
      </xdr:nvCxnSpPr>
      <xdr:spPr>
        <a:xfrm>
          <a:off x="6340475" y="4730440"/>
          <a:ext cx="222250" cy="56094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230868</xdr:colOff>
      <xdr:row>15</xdr:row>
      <xdr:rowOff>213175</xdr:rowOff>
    </xdr:from>
    <xdr:to>
      <xdr:col>16</xdr:col>
      <xdr:colOff>117475</xdr:colOff>
      <xdr:row>15</xdr:row>
      <xdr:rowOff>241748</xdr:rowOff>
    </xdr:to>
    <xdr:cxnSp macro="">
      <xdr:nvCxnSpPr>
        <xdr:cNvPr id="726" name="SCHEMA_T05_COND_0107">
          <a:extLst>
            <a:ext uri="{FF2B5EF4-FFF2-40B4-BE49-F238E27FC236}">
              <a16:creationId xmlns:a16="http://schemas.microsoft.com/office/drawing/2014/main" id="{6C682C82-5315-FB6E-194E-A3613AE6ADAA}"/>
            </a:ext>
          </a:extLst>
        </xdr:cNvPr>
        <xdr:cNvCxnSpPr/>
      </xdr:nvCxnSpPr>
      <xdr:spPr>
        <a:xfrm flipV="1">
          <a:off x="6562725" y="4757961"/>
          <a:ext cx="222250" cy="28573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117475</xdr:colOff>
      <xdr:row>15</xdr:row>
      <xdr:rowOff>99936</xdr:rowOff>
    </xdr:from>
    <xdr:to>
      <xdr:col>17</xdr:col>
      <xdr:colOff>4082</xdr:colOff>
      <xdr:row>15</xdr:row>
      <xdr:rowOff>213175</xdr:rowOff>
    </xdr:to>
    <xdr:cxnSp macro="">
      <xdr:nvCxnSpPr>
        <xdr:cNvPr id="727" name="SCHEMA_T05_COND_0108">
          <a:extLst>
            <a:ext uri="{FF2B5EF4-FFF2-40B4-BE49-F238E27FC236}">
              <a16:creationId xmlns:a16="http://schemas.microsoft.com/office/drawing/2014/main" id="{4A3259AC-23A7-52CE-8E63-03FC04FE1786}"/>
            </a:ext>
          </a:extLst>
        </xdr:cNvPr>
        <xdr:cNvCxnSpPr/>
      </xdr:nvCxnSpPr>
      <xdr:spPr>
        <a:xfrm flipV="1">
          <a:off x="6784975" y="4644722"/>
          <a:ext cx="222250" cy="113239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8618</xdr:colOff>
      <xdr:row>16</xdr:row>
      <xdr:rowOff>105826</xdr:rowOff>
    </xdr:from>
    <xdr:to>
      <xdr:col>15</xdr:col>
      <xdr:colOff>230868</xdr:colOff>
      <xdr:row>16</xdr:row>
      <xdr:rowOff>161920</xdr:rowOff>
    </xdr:to>
    <xdr:cxnSp macro="">
      <xdr:nvCxnSpPr>
        <xdr:cNvPr id="728" name="SCHEMA_T05_COND_0109">
          <a:extLst>
            <a:ext uri="{FF2B5EF4-FFF2-40B4-BE49-F238E27FC236}">
              <a16:creationId xmlns:a16="http://schemas.microsoft.com/office/drawing/2014/main" id="{D1A19D96-2CA2-F7F7-14EC-4C7B7628EBB8}"/>
            </a:ext>
          </a:extLst>
        </xdr:cNvPr>
        <xdr:cNvCxnSpPr/>
      </xdr:nvCxnSpPr>
      <xdr:spPr>
        <a:xfrm>
          <a:off x="6340475" y="4895540"/>
          <a:ext cx="222250" cy="56094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230868</xdr:colOff>
      <xdr:row>16</xdr:row>
      <xdr:rowOff>133347</xdr:rowOff>
    </xdr:from>
    <xdr:to>
      <xdr:col>16</xdr:col>
      <xdr:colOff>117475</xdr:colOff>
      <xdr:row>16</xdr:row>
      <xdr:rowOff>161920</xdr:rowOff>
    </xdr:to>
    <xdr:cxnSp macro="">
      <xdr:nvCxnSpPr>
        <xdr:cNvPr id="729" name="SCHEMA_T05_COND_0110">
          <a:extLst>
            <a:ext uri="{FF2B5EF4-FFF2-40B4-BE49-F238E27FC236}">
              <a16:creationId xmlns:a16="http://schemas.microsoft.com/office/drawing/2014/main" id="{0A148F1B-9911-57A1-7F7B-1109A56B367B}"/>
            </a:ext>
          </a:extLst>
        </xdr:cNvPr>
        <xdr:cNvCxnSpPr/>
      </xdr:nvCxnSpPr>
      <xdr:spPr>
        <a:xfrm flipV="1">
          <a:off x="6562725" y="4923061"/>
          <a:ext cx="222250" cy="2857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117475</xdr:colOff>
      <xdr:row>16</xdr:row>
      <xdr:rowOff>20108</xdr:rowOff>
    </xdr:from>
    <xdr:to>
      <xdr:col>17</xdr:col>
      <xdr:colOff>4082</xdr:colOff>
      <xdr:row>16</xdr:row>
      <xdr:rowOff>133347</xdr:rowOff>
    </xdr:to>
    <xdr:cxnSp macro="">
      <xdr:nvCxnSpPr>
        <xdr:cNvPr id="730" name="SCHEMA_T05_COND_0111">
          <a:extLst>
            <a:ext uri="{FF2B5EF4-FFF2-40B4-BE49-F238E27FC236}">
              <a16:creationId xmlns:a16="http://schemas.microsoft.com/office/drawing/2014/main" id="{63F603DA-1913-4B8B-14B0-990F1FBD022C}"/>
            </a:ext>
          </a:extLst>
        </xdr:cNvPr>
        <xdr:cNvCxnSpPr/>
      </xdr:nvCxnSpPr>
      <xdr:spPr>
        <a:xfrm flipV="1">
          <a:off x="6784975" y="4809822"/>
          <a:ext cx="222250" cy="11323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8618</xdr:colOff>
      <xdr:row>16</xdr:row>
      <xdr:rowOff>207426</xdr:rowOff>
    </xdr:from>
    <xdr:to>
      <xdr:col>15</xdr:col>
      <xdr:colOff>230868</xdr:colOff>
      <xdr:row>17</xdr:row>
      <xdr:rowOff>18591</xdr:rowOff>
    </xdr:to>
    <xdr:cxnSp macro="">
      <xdr:nvCxnSpPr>
        <xdr:cNvPr id="731" name="SCHEMA_T05_COND_0112">
          <a:extLst>
            <a:ext uri="{FF2B5EF4-FFF2-40B4-BE49-F238E27FC236}">
              <a16:creationId xmlns:a16="http://schemas.microsoft.com/office/drawing/2014/main" id="{1FFC74B3-49DF-4858-FDB4-A9B0257B0DE9}"/>
            </a:ext>
          </a:extLst>
        </xdr:cNvPr>
        <xdr:cNvCxnSpPr/>
      </xdr:nvCxnSpPr>
      <xdr:spPr>
        <a:xfrm>
          <a:off x="6340475" y="4997140"/>
          <a:ext cx="222250" cy="56094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230868</xdr:colOff>
      <xdr:row>16</xdr:row>
      <xdr:rowOff>234947</xdr:rowOff>
    </xdr:from>
    <xdr:to>
      <xdr:col>16</xdr:col>
      <xdr:colOff>117475</xdr:colOff>
      <xdr:row>17</xdr:row>
      <xdr:rowOff>18591</xdr:rowOff>
    </xdr:to>
    <xdr:cxnSp macro="">
      <xdr:nvCxnSpPr>
        <xdr:cNvPr id="732" name="SCHEMA_T05_COND_0113">
          <a:extLst>
            <a:ext uri="{FF2B5EF4-FFF2-40B4-BE49-F238E27FC236}">
              <a16:creationId xmlns:a16="http://schemas.microsoft.com/office/drawing/2014/main" id="{289A5FAA-B683-7E65-C225-2A7CFA86B4B8}"/>
            </a:ext>
          </a:extLst>
        </xdr:cNvPr>
        <xdr:cNvCxnSpPr/>
      </xdr:nvCxnSpPr>
      <xdr:spPr>
        <a:xfrm flipV="1">
          <a:off x="6562725" y="5024661"/>
          <a:ext cx="222250" cy="2857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117475</xdr:colOff>
      <xdr:row>16</xdr:row>
      <xdr:rowOff>121708</xdr:rowOff>
    </xdr:from>
    <xdr:to>
      <xdr:col>17</xdr:col>
      <xdr:colOff>4082</xdr:colOff>
      <xdr:row>16</xdr:row>
      <xdr:rowOff>234947</xdr:rowOff>
    </xdr:to>
    <xdr:cxnSp macro="">
      <xdr:nvCxnSpPr>
        <xdr:cNvPr id="733" name="SCHEMA_T05_COND_0114">
          <a:extLst>
            <a:ext uri="{FF2B5EF4-FFF2-40B4-BE49-F238E27FC236}">
              <a16:creationId xmlns:a16="http://schemas.microsoft.com/office/drawing/2014/main" id="{15844C35-20F8-DA84-8B23-616AEFC9B65D}"/>
            </a:ext>
          </a:extLst>
        </xdr:cNvPr>
        <xdr:cNvCxnSpPr/>
      </xdr:nvCxnSpPr>
      <xdr:spPr>
        <a:xfrm flipV="1">
          <a:off x="6784975" y="4911422"/>
          <a:ext cx="222250" cy="11323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8618</xdr:colOff>
      <xdr:row>17</xdr:row>
      <xdr:rowOff>114897</xdr:rowOff>
    </xdr:from>
    <xdr:to>
      <xdr:col>15</xdr:col>
      <xdr:colOff>230868</xdr:colOff>
      <xdr:row>17</xdr:row>
      <xdr:rowOff>170991</xdr:rowOff>
    </xdr:to>
    <xdr:cxnSp macro="">
      <xdr:nvCxnSpPr>
        <xdr:cNvPr id="734" name="SCHEMA_T05_COND_0115">
          <a:extLst>
            <a:ext uri="{FF2B5EF4-FFF2-40B4-BE49-F238E27FC236}">
              <a16:creationId xmlns:a16="http://schemas.microsoft.com/office/drawing/2014/main" id="{1D477979-E559-6D5E-2403-A68DF2E46455}"/>
            </a:ext>
          </a:extLst>
        </xdr:cNvPr>
        <xdr:cNvCxnSpPr/>
      </xdr:nvCxnSpPr>
      <xdr:spPr>
        <a:xfrm>
          <a:off x="6340475" y="5149540"/>
          <a:ext cx="222250" cy="56094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230868</xdr:colOff>
      <xdr:row>17</xdr:row>
      <xdr:rowOff>142418</xdr:rowOff>
    </xdr:from>
    <xdr:to>
      <xdr:col>16</xdr:col>
      <xdr:colOff>117475</xdr:colOff>
      <xdr:row>17</xdr:row>
      <xdr:rowOff>170991</xdr:rowOff>
    </xdr:to>
    <xdr:cxnSp macro="">
      <xdr:nvCxnSpPr>
        <xdr:cNvPr id="735" name="SCHEMA_T05_COND_0116">
          <a:extLst>
            <a:ext uri="{FF2B5EF4-FFF2-40B4-BE49-F238E27FC236}">
              <a16:creationId xmlns:a16="http://schemas.microsoft.com/office/drawing/2014/main" id="{E41C019F-B861-57F4-A645-8EDB6A171091}"/>
            </a:ext>
          </a:extLst>
        </xdr:cNvPr>
        <xdr:cNvCxnSpPr/>
      </xdr:nvCxnSpPr>
      <xdr:spPr>
        <a:xfrm flipV="1">
          <a:off x="6562725" y="5177061"/>
          <a:ext cx="222250" cy="2857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117475</xdr:colOff>
      <xdr:row>17</xdr:row>
      <xdr:rowOff>29179</xdr:rowOff>
    </xdr:from>
    <xdr:to>
      <xdr:col>17</xdr:col>
      <xdr:colOff>4082</xdr:colOff>
      <xdr:row>17</xdr:row>
      <xdr:rowOff>142418</xdr:rowOff>
    </xdr:to>
    <xdr:cxnSp macro="">
      <xdr:nvCxnSpPr>
        <xdr:cNvPr id="736" name="SCHEMA_T05_COND_0117">
          <a:extLst>
            <a:ext uri="{FF2B5EF4-FFF2-40B4-BE49-F238E27FC236}">
              <a16:creationId xmlns:a16="http://schemas.microsoft.com/office/drawing/2014/main" id="{3F2D4427-04E1-4E7D-C549-BC09E0B49A38}"/>
            </a:ext>
          </a:extLst>
        </xdr:cNvPr>
        <xdr:cNvCxnSpPr/>
      </xdr:nvCxnSpPr>
      <xdr:spPr>
        <a:xfrm flipV="1">
          <a:off x="6784975" y="5063822"/>
          <a:ext cx="222250" cy="11323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8618</xdr:colOff>
      <xdr:row>17</xdr:row>
      <xdr:rowOff>216497</xdr:rowOff>
    </xdr:from>
    <xdr:to>
      <xdr:col>15</xdr:col>
      <xdr:colOff>230868</xdr:colOff>
      <xdr:row>18</xdr:row>
      <xdr:rowOff>27663</xdr:rowOff>
    </xdr:to>
    <xdr:cxnSp macro="">
      <xdr:nvCxnSpPr>
        <xdr:cNvPr id="737" name="SCHEMA_T05_COND_0118">
          <a:extLst>
            <a:ext uri="{FF2B5EF4-FFF2-40B4-BE49-F238E27FC236}">
              <a16:creationId xmlns:a16="http://schemas.microsoft.com/office/drawing/2014/main" id="{F6FB4604-2D7C-4CFA-DE80-27B0FC90EBF3}"/>
            </a:ext>
          </a:extLst>
        </xdr:cNvPr>
        <xdr:cNvCxnSpPr/>
      </xdr:nvCxnSpPr>
      <xdr:spPr>
        <a:xfrm>
          <a:off x="6340475" y="5251140"/>
          <a:ext cx="222250" cy="56094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230868</xdr:colOff>
      <xdr:row>17</xdr:row>
      <xdr:rowOff>244018</xdr:rowOff>
    </xdr:from>
    <xdr:to>
      <xdr:col>16</xdr:col>
      <xdr:colOff>117475</xdr:colOff>
      <xdr:row>18</xdr:row>
      <xdr:rowOff>27663</xdr:rowOff>
    </xdr:to>
    <xdr:cxnSp macro="">
      <xdr:nvCxnSpPr>
        <xdr:cNvPr id="738" name="SCHEMA_T05_COND_0119">
          <a:extLst>
            <a:ext uri="{FF2B5EF4-FFF2-40B4-BE49-F238E27FC236}">
              <a16:creationId xmlns:a16="http://schemas.microsoft.com/office/drawing/2014/main" id="{B8522C25-FE40-B215-F0C9-DDAF42CF96F1}"/>
            </a:ext>
          </a:extLst>
        </xdr:cNvPr>
        <xdr:cNvCxnSpPr/>
      </xdr:nvCxnSpPr>
      <xdr:spPr>
        <a:xfrm flipV="1">
          <a:off x="6562725" y="5278661"/>
          <a:ext cx="222250" cy="2857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117475</xdr:colOff>
      <xdr:row>17</xdr:row>
      <xdr:rowOff>130779</xdr:rowOff>
    </xdr:from>
    <xdr:to>
      <xdr:col>17</xdr:col>
      <xdr:colOff>4082</xdr:colOff>
      <xdr:row>17</xdr:row>
      <xdr:rowOff>244018</xdr:rowOff>
    </xdr:to>
    <xdr:cxnSp macro="">
      <xdr:nvCxnSpPr>
        <xdr:cNvPr id="739" name="SCHEMA_T05_COND_0120">
          <a:extLst>
            <a:ext uri="{FF2B5EF4-FFF2-40B4-BE49-F238E27FC236}">
              <a16:creationId xmlns:a16="http://schemas.microsoft.com/office/drawing/2014/main" id="{C46B7884-A020-6AD2-759F-F596A820DBC0}"/>
            </a:ext>
          </a:extLst>
        </xdr:cNvPr>
        <xdr:cNvCxnSpPr/>
      </xdr:nvCxnSpPr>
      <xdr:spPr>
        <a:xfrm flipV="1">
          <a:off x="6784975" y="5165422"/>
          <a:ext cx="222250" cy="11323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4082</xdr:colOff>
      <xdr:row>15</xdr:row>
      <xdr:rowOff>99936</xdr:rowOff>
    </xdr:from>
    <xdr:to>
      <xdr:col>17</xdr:col>
      <xdr:colOff>226332</xdr:colOff>
      <xdr:row>15</xdr:row>
      <xdr:rowOff>207980</xdr:rowOff>
    </xdr:to>
    <xdr:cxnSp macro="">
      <xdr:nvCxnSpPr>
        <xdr:cNvPr id="740" name="SCHEMA_T05_COND_0121">
          <a:extLst>
            <a:ext uri="{FF2B5EF4-FFF2-40B4-BE49-F238E27FC236}">
              <a16:creationId xmlns:a16="http://schemas.microsoft.com/office/drawing/2014/main" id="{06F4DB99-CD19-92D9-BE8E-D6294C9969F5}"/>
            </a:ext>
          </a:extLst>
        </xdr:cNvPr>
        <xdr:cNvCxnSpPr/>
      </xdr:nvCxnSpPr>
      <xdr:spPr>
        <a:xfrm>
          <a:off x="7007225" y="4644722"/>
          <a:ext cx="222250" cy="108044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226332</xdr:colOff>
      <xdr:row>15</xdr:row>
      <xdr:rowOff>207980</xdr:rowOff>
    </xdr:from>
    <xdr:to>
      <xdr:col>18</xdr:col>
      <xdr:colOff>112939</xdr:colOff>
      <xdr:row>15</xdr:row>
      <xdr:rowOff>231358</xdr:rowOff>
    </xdr:to>
    <xdr:cxnSp macro="">
      <xdr:nvCxnSpPr>
        <xdr:cNvPr id="741" name="SCHEMA_T05_COND_0122">
          <a:extLst>
            <a:ext uri="{FF2B5EF4-FFF2-40B4-BE49-F238E27FC236}">
              <a16:creationId xmlns:a16="http://schemas.microsoft.com/office/drawing/2014/main" id="{8071FADD-E0F8-E13F-44A0-4A81CCD0792B}"/>
            </a:ext>
          </a:extLst>
        </xdr:cNvPr>
        <xdr:cNvCxnSpPr/>
      </xdr:nvCxnSpPr>
      <xdr:spPr>
        <a:xfrm>
          <a:off x="7229475" y="4752766"/>
          <a:ext cx="222250" cy="23378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112939</xdr:colOff>
      <xdr:row>15</xdr:row>
      <xdr:rowOff>170069</xdr:rowOff>
    </xdr:from>
    <xdr:to>
      <xdr:col>18</xdr:col>
      <xdr:colOff>335189</xdr:colOff>
      <xdr:row>15</xdr:row>
      <xdr:rowOff>231358</xdr:rowOff>
    </xdr:to>
    <xdr:cxnSp macro="">
      <xdr:nvCxnSpPr>
        <xdr:cNvPr id="742" name="SCHEMA_T05_COND_0123">
          <a:extLst>
            <a:ext uri="{FF2B5EF4-FFF2-40B4-BE49-F238E27FC236}">
              <a16:creationId xmlns:a16="http://schemas.microsoft.com/office/drawing/2014/main" id="{3BECFDD0-B289-E993-556E-19D391438FD0}"/>
            </a:ext>
          </a:extLst>
        </xdr:cNvPr>
        <xdr:cNvCxnSpPr/>
      </xdr:nvCxnSpPr>
      <xdr:spPr>
        <a:xfrm flipV="1">
          <a:off x="7451725" y="4714855"/>
          <a:ext cx="222250" cy="61289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4082</xdr:colOff>
      <xdr:row>16</xdr:row>
      <xdr:rowOff>20108</xdr:rowOff>
    </xdr:from>
    <xdr:to>
      <xdr:col>17</xdr:col>
      <xdr:colOff>226332</xdr:colOff>
      <xdr:row>16</xdr:row>
      <xdr:rowOff>128152</xdr:rowOff>
    </xdr:to>
    <xdr:cxnSp macro="">
      <xdr:nvCxnSpPr>
        <xdr:cNvPr id="743" name="SCHEMA_T05_COND_0124">
          <a:extLst>
            <a:ext uri="{FF2B5EF4-FFF2-40B4-BE49-F238E27FC236}">
              <a16:creationId xmlns:a16="http://schemas.microsoft.com/office/drawing/2014/main" id="{500610C7-558E-1516-36AC-9D1F1DD4DE27}"/>
            </a:ext>
          </a:extLst>
        </xdr:cNvPr>
        <xdr:cNvCxnSpPr/>
      </xdr:nvCxnSpPr>
      <xdr:spPr>
        <a:xfrm>
          <a:off x="7007225" y="4809822"/>
          <a:ext cx="222250" cy="108044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226332</xdr:colOff>
      <xdr:row>16</xdr:row>
      <xdr:rowOff>128152</xdr:rowOff>
    </xdr:from>
    <xdr:to>
      <xdr:col>18</xdr:col>
      <xdr:colOff>112939</xdr:colOff>
      <xdr:row>16</xdr:row>
      <xdr:rowOff>151530</xdr:rowOff>
    </xdr:to>
    <xdr:cxnSp macro="">
      <xdr:nvCxnSpPr>
        <xdr:cNvPr id="1024" name="SCHEMA_T05_COND_0125">
          <a:extLst>
            <a:ext uri="{FF2B5EF4-FFF2-40B4-BE49-F238E27FC236}">
              <a16:creationId xmlns:a16="http://schemas.microsoft.com/office/drawing/2014/main" id="{7DB7ADF2-9CF1-993B-9FC2-34514B7AB22C}"/>
            </a:ext>
          </a:extLst>
        </xdr:cNvPr>
        <xdr:cNvCxnSpPr/>
      </xdr:nvCxnSpPr>
      <xdr:spPr>
        <a:xfrm>
          <a:off x="7229475" y="4917866"/>
          <a:ext cx="222250" cy="2337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112939</xdr:colOff>
      <xdr:row>16</xdr:row>
      <xdr:rowOff>90241</xdr:rowOff>
    </xdr:from>
    <xdr:to>
      <xdr:col>18</xdr:col>
      <xdr:colOff>335189</xdr:colOff>
      <xdr:row>16</xdr:row>
      <xdr:rowOff>151530</xdr:rowOff>
    </xdr:to>
    <xdr:cxnSp macro="">
      <xdr:nvCxnSpPr>
        <xdr:cNvPr id="1025" name="SCHEMA_T05_COND_0126">
          <a:extLst>
            <a:ext uri="{FF2B5EF4-FFF2-40B4-BE49-F238E27FC236}">
              <a16:creationId xmlns:a16="http://schemas.microsoft.com/office/drawing/2014/main" id="{320756C6-9E9C-7955-AA47-264A2D538D3B}"/>
            </a:ext>
          </a:extLst>
        </xdr:cNvPr>
        <xdr:cNvCxnSpPr/>
      </xdr:nvCxnSpPr>
      <xdr:spPr>
        <a:xfrm flipV="1">
          <a:off x="7451725" y="4879955"/>
          <a:ext cx="222250" cy="6128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4082</xdr:colOff>
      <xdr:row>16</xdr:row>
      <xdr:rowOff>121708</xdr:rowOff>
    </xdr:from>
    <xdr:to>
      <xdr:col>17</xdr:col>
      <xdr:colOff>226332</xdr:colOff>
      <xdr:row>16</xdr:row>
      <xdr:rowOff>229752</xdr:rowOff>
    </xdr:to>
    <xdr:cxnSp macro="">
      <xdr:nvCxnSpPr>
        <xdr:cNvPr id="1026" name="SCHEMA_T05_COND_0127">
          <a:extLst>
            <a:ext uri="{FF2B5EF4-FFF2-40B4-BE49-F238E27FC236}">
              <a16:creationId xmlns:a16="http://schemas.microsoft.com/office/drawing/2014/main" id="{B0FEFC12-817B-D752-74FB-689C3FB7315D}"/>
            </a:ext>
          </a:extLst>
        </xdr:cNvPr>
        <xdr:cNvCxnSpPr/>
      </xdr:nvCxnSpPr>
      <xdr:spPr>
        <a:xfrm>
          <a:off x="7007225" y="4911422"/>
          <a:ext cx="222250" cy="108044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226332</xdr:colOff>
      <xdr:row>16</xdr:row>
      <xdr:rowOff>229752</xdr:rowOff>
    </xdr:from>
    <xdr:to>
      <xdr:col>18</xdr:col>
      <xdr:colOff>112939</xdr:colOff>
      <xdr:row>17</xdr:row>
      <xdr:rowOff>8201</xdr:rowOff>
    </xdr:to>
    <xdr:cxnSp macro="">
      <xdr:nvCxnSpPr>
        <xdr:cNvPr id="1027" name="SCHEMA_T05_COND_0128">
          <a:extLst>
            <a:ext uri="{FF2B5EF4-FFF2-40B4-BE49-F238E27FC236}">
              <a16:creationId xmlns:a16="http://schemas.microsoft.com/office/drawing/2014/main" id="{1B501437-9FF6-5714-FD1F-D29B3C0D0623}"/>
            </a:ext>
          </a:extLst>
        </xdr:cNvPr>
        <xdr:cNvCxnSpPr/>
      </xdr:nvCxnSpPr>
      <xdr:spPr>
        <a:xfrm>
          <a:off x="7229475" y="5019466"/>
          <a:ext cx="222250" cy="2337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112939</xdr:colOff>
      <xdr:row>16</xdr:row>
      <xdr:rowOff>191841</xdr:rowOff>
    </xdr:from>
    <xdr:to>
      <xdr:col>18</xdr:col>
      <xdr:colOff>335189</xdr:colOff>
      <xdr:row>17</xdr:row>
      <xdr:rowOff>8201</xdr:rowOff>
    </xdr:to>
    <xdr:cxnSp macro="">
      <xdr:nvCxnSpPr>
        <xdr:cNvPr id="1028" name="SCHEMA_T05_COND_0129">
          <a:extLst>
            <a:ext uri="{FF2B5EF4-FFF2-40B4-BE49-F238E27FC236}">
              <a16:creationId xmlns:a16="http://schemas.microsoft.com/office/drawing/2014/main" id="{2788145A-4FD7-515D-4DD6-D5929EDBCA70}"/>
            </a:ext>
          </a:extLst>
        </xdr:cNvPr>
        <xdr:cNvCxnSpPr/>
      </xdr:nvCxnSpPr>
      <xdr:spPr>
        <a:xfrm flipV="1">
          <a:off x="7451725" y="4981555"/>
          <a:ext cx="222250" cy="6128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4082</xdr:colOff>
      <xdr:row>17</xdr:row>
      <xdr:rowOff>29179</xdr:rowOff>
    </xdr:from>
    <xdr:to>
      <xdr:col>17</xdr:col>
      <xdr:colOff>226332</xdr:colOff>
      <xdr:row>17</xdr:row>
      <xdr:rowOff>137223</xdr:rowOff>
    </xdr:to>
    <xdr:cxnSp macro="">
      <xdr:nvCxnSpPr>
        <xdr:cNvPr id="1029" name="SCHEMA_T05_COND_0130">
          <a:extLst>
            <a:ext uri="{FF2B5EF4-FFF2-40B4-BE49-F238E27FC236}">
              <a16:creationId xmlns:a16="http://schemas.microsoft.com/office/drawing/2014/main" id="{7113EF99-96C5-E558-66BB-902662CED6FA}"/>
            </a:ext>
          </a:extLst>
        </xdr:cNvPr>
        <xdr:cNvCxnSpPr/>
      </xdr:nvCxnSpPr>
      <xdr:spPr>
        <a:xfrm>
          <a:off x="7007225" y="5063822"/>
          <a:ext cx="222250" cy="108044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226332</xdr:colOff>
      <xdr:row>17</xdr:row>
      <xdr:rowOff>137223</xdr:rowOff>
    </xdr:from>
    <xdr:to>
      <xdr:col>18</xdr:col>
      <xdr:colOff>112939</xdr:colOff>
      <xdr:row>17</xdr:row>
      <xdr:rowOff>160601</xdr:rowOff>
    </xdr:to>
    <xdr:cxnSp macro="">
      <xdr:nvCxnSpPr>
        <xdr:cNvPr id="1030" name="SCHEMA_T05_COND_0131">
          <a:extLst>
            <a:ext uri="{FF2B5EF4-FFF2-40B4-BE49-F238E27FC236}">
              <a16:creationId xmlns:a16="http://schemas.microsoft.com/office/drawing/2014/main" id="{D8425E0F-8DA7-F9DD-3427-E4AEFE0D98EB}"/>
            </a:ext>
          </a:extLst>
        </xdr:cNvPr>
        <xdr:cNvCxnSpPr/>
      </xdr:nvCxnSpPr>
      <xdr:spPr>
        <a:xfrm>
          <a:off x="7229475" y="5171866"/>
          <a:ext cx="222250" cy="2337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112939</xdr:colOff>
      <xdr:row>17</xdr:row>
      <xdr:rowOff>99312</xdr:rowOff>
    </xdr:from>
    <xdr:to>
      <xdr:col>18</xdr:col>
      <xdr:colOff>335189</xdr:colOff>
      <xdr:row>17</xdr:row>
      <xdr:rowOff>160601</xdr:rowOff>
    </xdr:to>
    <xdr:cxnSp macro="">
      <xdr:nvCxnSpPr>
        <xdr:cNvPr id="1031" name="SCHEMA_T05_COND_0132">
          <a:extLst>
            <a:ext uri="{FF2B5EF4-FFF2-40B4-BE49-F238E27FC236}">
              <a16:creationId xmlns:a16="http://schemas.microsoft.com/office/drawing/2014/main" id="{9A3E72EB-799A-A3EA-A95E-975324639869}"/>
            </a:ext>
          </a:extLst>
        </xdr:cNvPr>
        <xdr:cNvCxnSpPr/>
      </xdr:nvCxnSpPr>
      <xdr:spPr>
        <a:xfrm flipV="1">
          <a:off x="7451725" y="5133955"/>
          <a:ext cx="222250" cy="6128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4082</xdr:colOff>
      <xdr:row>17</xdr:row>
      <xdr:rowOff>130779</xdr:rowOff>
    </xdr:from>
    <xdr:to>
      <xdr:col>17</xdr:col>
      <xdr:colOff>226332</xdr:colOff>
      <xdr:row>17</xdr:row>
      <xdr:rowOff>238823</xdr:rowOff>
    </xdr:to>
    <xdr:cxnSp macro="">
      <xdr:nvCxnSpPr>
        <xdr:cNvPr id="1032" name="SCHEMA_T05_COND_0133">
          <a:extLst>
            <a:ext uri="{FF2B5EF4-FFF2-40B4-BE49-F238E27FC236}">
              <a16:creationId xmlns:a16="http://schemas.microsoft.com/office/drawing/2014/main" id="{25F9CBBC-6A16-2C8D-BBEB-DD8DE8F39F3D}"/>
            </a:ext>
          </a:extLst>
        </xdr:cNvPr>
        <xdr:cNvCxnSpPr/>
      </xdr:nvCxnSpPr>
      <xdr:spPr>
        <a:xfrm>
          <a:off x="7007225" y="5165422"/>
          <a:ext cx="222250" cy="108044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226332</xdr:colOff>
      <xdr:row>17</xdr:row>
      <xdr:rowOff>238823</xdr:rowOff>
    </xdr:from>
    <xdr:to>
      <xdr:col>18</xdr:col>
      <xdr:colOff>112939</xdr:colOff>
      <xdr:row>18</xdr:row>
      <xdr:rowOff>17273</xdr:rowOff>
    </xdr:to>
    <xdr:cxnSp macro="">
      <xdr:nvCxnSpPr>
        <xdr:cNvPr id="1033" name="SCHEMA_T05_COND_0134">
          <a:extLst>
            <a:ext uri="{FF2B5EF4-FFF2-40B4-BE49-F238E27FC236}">
              <a16:creationId xmlns:a16="http://schemas.microsoft.com/office/drawing/2014/main" id="{EFC622A9-67AF-3175-8181-591F4F56BBF9}"/>
            </a:ext>
          </a:extLst>
        </xdr:cNvPr>
        <xdr:cNvCxnSpPr/>
      </xdr:nvCxnSpPr>
      <xdr:spPr>
        <a:xfrm>
          <a:off x="7229475" y="5273466"/>
          <a:ext cx="222250" cy="2337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112939</xdr:colOff>
      <xdr:row>17</xdr:row>
      <xdr:rowOff>200912</xdr:rowOff>
    </xdr:from>
    <xdr:to>
      <xdr:col>18</xdr:col>
      <xdr:colOff>335189</xdr:colOff>
      <xdr:row>18</xdr:row>
      <xdr:rowOff>17273</xdr:rowOff>
    </xdr:to>
    <xdr:cxnSp macro="">
      <xdr:nvCxnSpPr>
        <xdr:cNvPr id="1034" name="SCHEMA_T05_COND_0135">
          <a:extLst>
            <a:ext uri="{FF2B5EF4-FFF2-40B4-BE49-F238E27FC236}">
              <a16:creationId xmlns:a16="http://schemas.microsoft.com/office/drawing/2014/main" id="{B56FD811-B567-B3E0-BF5D-1BA3139378BC}"/>
            </a:ext>
          </a:extLst>
        </xdr:cNvPr>
        <xdr:cNvCxnSpPr/>
      </xdr:nvCxnSpPr>
      <xdr:spPr>
        <a:xfrm flipV="1">
          <a:off x="7451725" y="5235555"/>
          <a:ext cx="222250" cy="6128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335189</xdr:colOff>
      <xdr:row>15</xdr:row>
      <xdr:rowOff>170069</xdr:rowOff>
    </xdr:from>
    <xdr:to>
      <xdr:col>19</xdr:col>
      <xdr:colOff>221796</xdr:colOff>
      <xdr:row>16</xdr:row>
      <xdr:rowOff>2015</xdr:rowOff>
    </xdr:to>
    <xdr:cxnSp macro="">
      <xdr:nvCxnSpPr>
        <xdr:cNvPr id="1035" name="SCHEMA_T05_COND_0136">
          <a:extLst>
            <a:ext uri="{FF2B5EF4-FFF2-40B4-BE49-F238E27FC236}">
              <a16:creationId xmlns:a16="http://schemas.microsoft.com/office/drawing/2014/main" id="{DA1E667A-F225-E597-B45E-68CCABB9B188}"/>
            </a:ext>
          </a:extLst>
        </xdr:cNvPr>
        <xdr:cNvCxnSpPr/>
      </xdr:nvCxnSpPr>
      <xdr:spPr>
        <a:xfrm>
          <a:off x="7673975" y="4714855"/>
          <a:ext cx="222250" cy="76874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221796</xdr:colOff>
      <xdr:row>15</xdr:row>
      <xdr:rowOff>239151</xdr:rowOff>
    </xdr:from>
    <xdr:to>
      <xdr:col>20</xdr:col>
      <xdr:colOff>108404</xdr:colOff>
      <xdr:row>16</xdr:row>
      <xdr:rowOff>2015</xdr:rowOff>
    </xdr:to>
    <xdr:cxnSp macro="">
      <xdr:nvCxnSpPr>
        <xdr:cNvPr id="1036" name="SCHEMA_T05_COND_0137">
          <a:extLst>
            <a:ext uri="{FF2B5EF4-FFF2-40B4-BE49-F238E27FC236}">
              <a16:creationId xmlns:a16="http://schemas.microsoft.com/office/drawing/2014/main" id="{741BC969-2917-E7A8-4D07-8A446361BD96}"/>
            </a:ext>
          </a:extLst>
        </xdr:cNvPr>
        <xdr:cNvCxnSpPr/>
      </xdr:nvCxnSpPr>
      <xdr:spPr>
        <a:xfrm flipV="1">
          <a:off x="7896225" y="4783937"/>
          <a:ext cx="222250" cy="7792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108404</xdr:colOff>
      <xdr:row>15</xdr:row>
      <xdr:rowOff>146691</xdr:rowOff>
    </xdr:from>
    <xdr:to>
      <xdr:col>20</xdr:col>
      <xdr:colOff>330654</xdr:colOff>
      <xdr:row>15</xdr:row>
      <xdr:rowOff>239151</xdr:rowOff>
    </xdr:to>
    <xdr:cxnSp macro="">
      <xdr:nvCxnSpPr>
        <xdr:cNvPr id="1037" name="SCHEMA_T05_COND_0138">
          <a:extLst>
            <a:ext uri="{FF2B5EF4-FFF2-40B4-BE49-F238E27FC236}">
              <a16:creationId xmlns:a16="http://schemas.microsoft.com/office/drawing/2014/main" id="{E09292C7-EF19-CBB7-A722-85565FE0901A}"/>
            </a:ext>
          </a:extLst>
        </xdr:cNvPr>
        <xdr:cNvCxnSpPr/>
      </xdr:nvCxnSpPr>
      <xdr:spPr>
        <a:xfrm flipV="1">
          <a:off x="8118475" y="4691477"/>
          <a:ext cx="222250" cy="92460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335189</xdr:colOff>
      <xdr:row>16</xdr:row>
      <xdr:rowOff>90241</xdr:rowOff>
    </xdr:from>
    <xdr:to>
      <xdr:col>19</xdr:col>
      <xdr:colOff>221796</xdr:colOff>
      <xdr:row>16</xdr:row>
      <xdr:rowOff>167115</xdr:rowOff>
    </xdr:to>
    <xdr:cxnSp macro="">
      <xdr:nvCxnSpPr>
        <xdr:cNvPr id="1038" name="SCHEMA_T05_COND_0139">
          <a:extLst>
            <a:ext uri="{FF2B5EF4-FFF2-40B4-BE49-F238E27FC236}">
              <a16:creationId xmlns:a16="http://schemas.microsoft.com/office/drawing/2014/main" id="{349106FB-DC8B-9577-E536-BEB4F89F9C0C}"/>
            </a:ext>
          </a:extLst>
        </xdr:cNvPr>
        <xdr:cNvCxnSpPr/>
      </xdr:nvCxnSpPr>
      <xdr:spPr>
        <a:xfrm>
          <a:off x="7673975" y="4879955"/>
          <a:ext cx="222250" cy="76874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221796</xdr:colOff>
      <xdr:row>16</xdr:row>
      <xdr:rowOff>159323</xdr:rowOff>
    </xdr:from>
    <xdr:to>
      <xdr:col>20</xdr:col>
      <xdr:colOff>108404</xdr:colOff>
      <xdr:row>16</xdr:row>
      <xdr:rowOff>167115</xdr:rowOff>
    </xdr:to>
    <xdr:cxnSp macro="">
      <xdr:nvCxnSpPr>
        <xdr:cNvPr id="1039" name="SCHEMA_T05_COND_0140">
          <a:extLst>
            <a:ext uri="{FF2B5EF4-FFF2-40B4-BE49-F238E27FC236}">
              <a16:creationId xmlns:a16="http://schemas.microsoft.com/office/drawing/2014/main" id="{2A8FCCD0-C5E5-5B82-1FB5-834031E046F9}"/>
            </a:ext>
          </a:extLst>
        </xdr:cNvPr>
        <xdr:cNvCxnSpPr/>
      </xdr:nvCxnSpPr>
      <xdr:spPr>
        <a:xfrm flipV="1">
          <a:off x="7896225" y="4949037"/>
          <a:ext cx="222250" cy="779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108404</xdr:colOff>
      <xdr:row>16</xdr:row>
      <xdr:rowOff>66863</xdr:rowOff>
    </xdr:from>
    <xdr:to>
      <xdr:col>20</xdr:col>
      <xdr:colOff>330654</xdr:colOff>
      <xdr:row>16</xdr:row>
      <xdr:rowOff>159323</xdr:rowOff>
    </xdr:to>
    <xdr:cxnSp macro="">
      <xdr:nvCxnSpPr>
        <xdr:cNvPr id="1040" name="SCHEMA_T05_COND_0141">
          <a:extLst>
            <a:ext uri="{FF2B5EF4-FFF2-40B4-BE49-F238E27FC236}">
              <a16:creationId xmlns:a16="http://schemas.microsoft.com/office/drawing/2014/main" id="{D0FD5FC6-DD45-B591-E032-A0CC4BF158B2}"/>
            </a:ext>
          </a:extLst>
        </xdr:cNvPr>
        <xdr:cNvCxnSpPr/>
      </xdr:nvCxnSpPr>
      <xdr:spPr>
        <a:xfrm flipV="1">
          <a:off x="8118475" y="4856577"/>
          <a:ext cx="222250" cy="9246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335189</xdr:colOff>
      <xdr:row>16</xdr:row>
      <xdr:rowOff>191841</xdr:rowOff>
    </xdr:from>
    <xdr:to>
      <xdr:col>19</xdr:col>
      <xdr:colOff>221796</xdr:colOff>
      <xdr:row>17</xdr:row>
      <xdr:rowOff>23786</xdr:rowOff>
    </xdr:to>
    <xdr:cxnSp macro="">
      <xdr:nvCxnSpPr>
        <xdr:cNvPr id="1041" name="SCHEMA_T05_COND_0142">
          <a:extLst>
            <a:ext uri="{FF2B5EF4-FFF2-40B4-BE49-F238E27FC236}">
              <a16:creationId xmlns:a16="http://schemas.microsoft.com/office/drawing/2014/main" id="{12F4200A-F9B6-1000-D7E7-738B5CCD8C0A}"/>
            </a:ext>
          </a:extLst>
        </xdr:cNvPr>
        <xdr:cNvCxnSpPr/>
      </xdr:nvCxnSpPr>
      <xdr:spPr>
        <a:xfrm>
          <a:off x="7673975" y="4981555"/>
          <a:ext cx="222250" cy="76874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221796</xdr:colOff>
      <xdr:row>17</xdr:row>
      <xdr:rowOff>15994</xdr:rowOff>
    </xdr:from>
    <xdr:to>
      <xdr:col>20</xdr:col>
      <xdr:colOff>108404</xdr:colOff>
      <xdr:row>17</xdr:row>
      <xdr:rowOff>23786</xdr:rowOff>
    </xdr:to>
    <xdr:cxnSp macro="">
      <xdr:nvCxnSpPr>
        <xdr:cNvPr id="1042" name="SCHEMA_T05_COND_0143">
          <a:extLst>
            <a:ext uri="{FF2B5EF4-FFF2-40B4-BE49-F238E27FC236}">
              <a16:creationId xmlns:a16="http://schemas.microsoft.com/office/drawing/2014/main" id="{E95CA274-7F89-4065-88B4-6176B9CB2814}"/>
            </a:ext>
          </a:extLst>
        </xdr:cNvPr>
        <xdr:cNvCxnSpPr/>
      </xdr:nvCxnSpPr>
      <xdr:spPr>
        <a:xfrm flipV="1">
          <a:off x="7896225" y="5050637"/>
          <a:ext cx="222250" cy="779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108404</xdr:colOff>
      <xdr:row>16</xdr:row>
      <xdr:rowOff>168463</xdr:rowOff>
    </xdr:from>
    <xdr:to>
      <xdr:col>20</xdr:col>
      <xdr:colOff>330654</xdr:colOff>
      <xdr:row>17</xdr:row>
      <xdr:rowOff>15994</xdr:rowOff>
    </xdr:to>
    <xdr:cxnSp macro="">
      <xdr:nvCxnSpPr>
        <xdr:cNvPr id="1043" name="SCHEMA_T05_COND_0144">
          <a:extLst>
            <a:ext uri="{FF2B5EF4-FFF2-40B4-BE49-F238E27FC236}">
              <a16:creationId xmlns:a16="http://schemas.microsoft.com/office/drawing/2014/main" id="{C51D8B6A-9528-34AF-6E04-3F77A672C673}"/>
            </a:ext>
          </a:extLst>
        </xdr:cNvPr>
        <xdr:cNvCxnSpPr/>
      </xdr:nvCxnSpPr>
      <xdr:spPr>
        <a:xfrm flipV="1">
          <a:off x="8118475" y="4958177"/>
          <a:ext cx="222250" cy="9246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335189</xdr:colOff>
      <xdr:row>17</xdr:row>
      <xdr:rowOff>99312</xdr:rowOff>
    </xdr:from>
    <xdr:to>
      <xdr:col>19</xdr:col>
      <xdr:colOff>221796</xdr:colOff>
      <xdr:row>17</xdr:row>
      <xdr:rowOff>176186</xdr:rowOff>
    </xdr:to>
    <xdr:cxnSp macro="">
      <xdr:nvCxnSpPr>
        <xdr:cNvPr id="1044" name="SCHEMA_T05_COND_0145">
          <a:extLst>
            <a:ext uri="{FF2B5EF4-FFF2-40B4-BE49-F238E27FC236}">
              <a16:creationId xmlns:a16="http://schemas.microsoft.com/office/drawing/2014/main" id="{98D42CFE-C91C-D773-0C92-DA01D24BD6AF}"/>
            </a:ext>
          </a:extLst>
        </xdr:cNvPr>
        <xdr:cNvCxnSpPr/>
      </xdr:nvCxnSpPr>
      <xdr:spPr>
        <a:xfrm>
          <a:off x="7673975" y="5133955"/>
          <a:ext cx="222250" cy="76874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221796</xdr:colOff>
      <xdr:row>17</xdr:row>
      <xdr:rowOff>168394</xdr:rowOff>
    </xdr:from>
    <xdr:to>
      <xdr:col>20</xdr:col>
      <xdr:colOff>108404</xdr:colOff>
      <xdr:row>17</xdr:row>
      <xdr:rowOff>176186</xdr:rowOff>
    </xdr:to>
    <xdr:cxnSp macro="">
      <xdr:nvCxnSpPr>
        <xdr:cNvPr id="1045" name="SCHEMA_T05_COND_0146">
          <a:extLst>
            <a:ext uri="{FF2B5EF4-FFF2-40B4-BE49-F238E27FC236}">
              <a16:creationId xmlns:a16="http://schemas.microsoft.com/office/drawing/2014/main" id="{C5573CBA-BE91-81B7-B4AE-684FB76150E1}"/>
            </a:ext>
          </a:extLst>
        </xdr:cNvPr>
        <xdr:cNvCxnSpPr/>
      </xdr:nvCxnSpPr>
      <xdr:spPr>
        <a:xfrm flipV="1">
          <a:off x="7896225" y="5203037"/>
          <a:ext cx="222250" cy="779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108404</xdr:colOff>
      <xdr:row>17</xdr:row>
      <xdr:rowOff>75934</xdr:rowOff>
    </xdr:from>
    <xdr:to>
      <xdr:col>20</xdr:col>
      <xdr:colOff>330654</xdr:colOff>
      <xdr:row>17</xdr:row>
      <xdr:rowOff>168394</xdr:rowOff>
    </xdr:to>
    <xdr:cxnSp macro="">
      <xdr:nvCxnSpPr>
        <xdr:cNvPr id="1046" name="SCHEMA_T05_COND_0147">
          <a:extLst>
            <a:ext uri="{FF2B5EF4-FFF2-40B4-BE49-F238E27FC236}">
              <a16:creationId xmlns:a16="http://schemas.microsoft.com/office/drawing/2014/main" id="{F935B64D-75E2-E5BF-63BC-66A7529668FC}"/>
            </a:ext>
          </a:extLst>
        </xdr:cNvPr>
        <xdr:cNvCxnSpPr/>
      </xdr:nvCxnSpPr>
      <xdr:spPr>
        <a:xfrm flipV="1">
          <a:off x="8118475" y="5110577"/>
          <a:ext cx="222250" cy="9246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335189</xdr:colOff>
      <xdr:row>17</xdr:row>
      <xdr:rowOff>200912</xdr:rowOff>
    </xdr:from>
    <xdr:to>
      <xdr:col>19</xdr:col>
      <xdr:colOff>221796</xdr:colOff>
      <xdr:row>18</xdr:row>
      <xdr:rowOff>32858</xdr:rowOff>
    </xdr:to>
    <xdr:cxnSp macro="">
      <xdr:nvCxnSpPr>
        <xdr:cNvPr id="1047" name="SCHEMA_T05_COND_0148">
          <a:extLst>
            <a:ext uri="{FF2B5EF4-FFF2-40B4-BE49-F238E27FC236}">
              <a16:creationId xmlns:a16="http://schemas.microsoft.com/office/drawing/2014/main" id="{CAA28A2D-5C7E-A12F-80CA-F41D65EFF83C}"/>
            </a:ext>
          </a:extLst>
        </xdr:cNvPr>
        <xdr:cNvCxnSpPr/>
      </xdr:nvCxnSpPr>
      <xdr:spPr>
        <a:xfrm>
          <a:off x="7673975" y="5235555"/>
          <a:ext cx="222250" cy="76874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221796</xdr:colOff>
      <xdr:row>18</xdr:row>
      <xdr:rowOff>25066</xdr:rowOff>
    </xdr:from>
    <xdr:to>
      <xdr:col>20</xdr:col>
      <xdr:colOff>108404</xdr:colOff>
      <xdr:row>18</xdr:row>
      <xdr:rowOff>32858</xdr:rowOff>
    </xdr:to>
    <xdr:cxnSp macro="">
      <xdr:nvCxnSpPr>
        <xdr:cNvPr id="1048" name="SCHEMA_T05_COND_0149">
          <a:extLst>
            <a:ext uri="{FF2B5EF4-FFF2-40B4-BE49-F238E27FC236}">
              <a16:creationId xmlns:a16="http://schemas.microsoft.com/office/drawing/2014/main" id="{D05C55F6-2B6F-86C5-145B-9572BE9B23A6}"/>
            </a:ext>
          </a:extLst>
        </xdr:cNvPr>
        <xdr:cNvCxnSpPr/>
      </xdr:nvCxnSpPr>
      <xdr:spPr>
        <a:xfrm flipV="1">
          <a:off x="7896225" y="5304637"/>
          <a:ext cx="222250" cy="779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108404</xdr:colOff>
      <xdr:row>17</xdr:row>
      <xdr:rowOff>177534</xdr:rowOff>
    </xdr:from>
    <xdr:to>
      <xdr:col>20</xdr:col>
      <xdr:colOff>330654</xdr:colOff>
      <xdr:row>18</xdr:row>
      <xdr:rowOff>25066</xdr:rowOff>
    </xdr:to>
    <xdr:cxnSp macro="">
      <xdr:nvCxnSpPr>
        <xdr:cNvPr id="1049" name="SCHEMA_T05_COND_0150">
          <a:extLst>
            <a:ext uri="{FF2B5EF4-FFF2-40B4-BE49-F238E27FC236}">
              <a16:creationId xmlns:a16="http://schemas.microsoft.com/office/drawing/2014/main" id="{4E7C4745-9CB8-7D10-F08B-B8A2BE0208B8}"/>
            </a:ext>
          </a:extLst>
        </xdr:cNvPr>
        <xdr:cNvCxnSpPr/>
      </xdr:nvCxnSpPr>
      <xdr:spPr>
        <a:xfrm flipV="1">
          <a:off x="8118475" y="5212177"/>
          <a:ext cx="222250" cy="9246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330654</xdr:colOff>
      <xdr:row>15</xdr:row>
      <xdr:rowOff>146691</xdr:rowOff>
    </xdr:from>
    <xdr:to>
      <xdr:col>21</xdr:col>
      <xdr:colOff>217261</xdr:colOff>
      <xdr:row>15</xdr:row>
      <xdr:rowOff>150834</xdr:rowOff>
    </xdr:to>
    <xdr:cxnSp macro="">
      <xdr:nvCxnSpPr>
        <xdr:cNvPr id="1050" name="SCHEMA_T05_COND_0151">
          <a:extLst>
            <a:ext uri="{FF2B5EF4-FFF2-40B4-BE49-F238E27FC236}">
              <a16:creationId xmlns:a16="http://schemas.microsoft.com/office/drawing/2014/main" id="{0232E696-8934-1E0D-0304-49A1605CA27B}"/>
            </a:ext>
          </a:extLst>
        </xdr:cNvPr>
        <xdr:cNvCxnSpPr/>
      </xdr:nvCxnSpPr>
      <xdr:spPr>
        <a:xfrm>
          <a:off x="8340725" y="4691477"/>
          <a:ext cx="222250" cy="4143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217261</xdr:colOff>
      <xdr:row>15</xdr:row>
      <xdr:rowOff>70310</xdr:rowOff>
    </xdr:from>
    <xdr:to>
      <xdr:col>22</xdr:col>
      <xdr:colOff>103868</xdr:colOff>
      <xdr:row>15</xdr:row>
      <xdr:rowOff>150834</xdr:rowOff>
    </xdr:to>
    <xdr:cxnSp macro="">
      <xdr:nvCxnSpPr>
        <xdr:cNvPr id="1051" name="SCHEMA_T05_COND_0152">
          <a:extLst>
            <a:ext uri="{FF2B5EF4-FFF2-40B4-BE49-F238E27FC236}">
              <a16:creationId xmlns:a16="http://schemas.microsoft.com/office/drawing/2014/main" id="{1B8F7557-B377-7088-16B5-E9E5D4457DF8}"/>
            </a:ext>
          </a:extLst>
        </xdr:cNvPr>
        <xdr:cNvCxnSpPr/>
      </xdr:nvCxnSpPr>
      <xdr:spPr>
        <a:xfrm flipV="1">
          <a:off x="8562975" y="4615096"/>
          <a:ext cx="222250" cy="80524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103868</xdr:colOff>
      <xdr:row>14</xdr:row>
      <xdr:rowOff>150049</xdr:rowOff>
    </xdr:from>
    <xdr:to>
      <xdr:col>22</xdr:col>
      <xdr:colOff>326118</xdr:colOff>
      <xdr:row>15</xdr:row>
      <xdr:rowOff>70310</xdr:rowOff>
    </xdr:to>
    <xdr:cxnSp macro="">
      <xdr:nvCxnSpPr>
        <xdr:cNvPr id="1052" name="SCHEMA_T05_COND_0153">
          <a:extLst>
            <a:ext uri="{FF2B5EF4-FFF2-40B4-BE49-F238E27FC236}">
              <a16:creationId xmlns:a16="http://schemas.microsoft.com/office/drawing/2014/main" id="{873D7337-DADF-C967-019D-489E0A06A8DC}"/>
            </a:ext>
          </a:extLst>
        </xdr:cNvPr>
        <xdr:cNvCxnSpPr/>
      </xdr:nvCxnSpPr>
      <xdr:spPr>
        <a:xfrm flipV="1">
          <a:off x="8785225" y="4449906"/>
          <a:ext cx="222250" cy="165190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330654</xdr:colOff>
      <xdr:row>16</xdr:row>
      <xdr:rowOff>66863</xdr:rowOff>
    </xdr:from>
    <xdr:to>
      <xdr:col>21</xdr:col>
      <xdr:colOff>217261</xdr:colOff>
      <xdr:row>16</xdr:row>
      <xdr:rowOff>71006</xdr:rowOff>
    </xdr:to>
    <xdr:cxnSp macro="">
      <xdr:nvCxnSpPr>
        <xdr:cNvPr id="1053" name="SCHEMA_T05_COND_0154">
          <a:extLst>
            <a:ext uri="{FF2B5EF4-FFF2-40B4-BE49-F238E27FC236}">
              <a16:creationId xmlns:a16="http://schemas.microsoft.com/office/drawing/2014/main" id="{5489853D-8C88-A833-2F47-38585C81BCDC}"/>
            </a:ext>
          </a:extLst>
        </xdr:cNvPr>
        <xdr:cNvCxnSpPr/>
      </xdr:nvCxnSpPr>
      <xdr:spPr>
        <a:xfrm>
          <a:off x="8340725" y="4856577"/>
          <a:ext cx="222250" cy="414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217261</xdr:colOff>
      <xdr:row>15</xdr:row>
      <xdr:rowOff>235410</xdr:rowOff>
    </xdr:from>
    <xdr:to>
      <xdr:col>22</xdr:col>
      <xdr:colOff>103868</xdr:colOff>
      <xdr:row>16</xdr:row>
      <xdr:rowOff>71006</xdr:rowOff>
    </xdr:to>
    <xdr:cxnSp macro="">
      <xdr:nvCxnSpPr>
        <xdr:cNvPr id="1054" name="SCHEMA_T05_COND_0155">
          <a:extLst>
            <a:ext uri="{FF2B5EF4-FFF2-40B4-BE49-F238E27FC236}">
              <a16:creationId xmlns:a16="http://schemas.microsoft.com/office/drawing/2014/main" id="{D49FCA00-11CA-5FDA-B90E-F0FF7DA37884}"/>
            </a:ext>
          </a:extLst>
        </xdr:cNvPr>
        <xdr:cNvCxnSpPr/>
      </xdr:nvCxnSpPr>
      <xdr:spPr>
        <a:xfrm flipV="1">
          <a:off x="8562975" y="4780196"/>
          <a:ext cx="222250" cy="80524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103868</xdr:colOff>
      <xdr:row>15</xdr:row>
      <xdr:rowOff>70220</xdr:rowOff>
    </xdr:from>
    <xdr:to>
      <xdr:col>22</xdr:col>
      <xdr:colOff>326118</xdr:colOff>
      <xdr:row>15</xdr:row>
      <xdr:rowOff>235410</xdr:rowOff>
    </xdr:to>
    <xdr:cxnSp macro="">
      <xdr:nvCxnSpPr>
        <xdr:cNvPr id="1055" name="SCHEMA_T05_COND_0156">
          <a:extLst>
            <a:ext uri="{FF2B5EF4-FFF2-40B4-BE49-F238E27FC236}">
              <a16:creationId xmlns:a16="http://schemas.microsoft.com/office/drawing/2014/main" id="{B01C790E-F388-89A5-D2F9-42CE3CD5C9B3}"/>
            </a:ext>
          </a:extLst>
        </xdr:cNvPr>
        <xdr:cNvCxnSpPr/>
      </xdr:nvCxnSpPr>
      <xdr:spPr>
        <a:xfrm flipV="1">
          <a:off x="8785225" y="4615006"/>
          <a:ext cx="222250" cy="16519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330654</xdr:colOff>
      <xdr:row>16</xdr:row>
      <xdr:rowOff>168463</xdr:rowOff>
    </xdr:from>
    <xdr:to>
      <xdr:col>21</xdr:col>
      <xdr:colOff>217261</xdr:colOff>
      <xdr:row>16</xdr:row>
      <xdr:rowOff>172606</xdr:rowOff>
    </xdr:to>
    <xdr:cxnSp macro="">
      <xdr:nvCxnSpPr>
        <xdr:cNvPr id="1056" name="SCHEMA_T05_COND_0157">
          <a:extLst>
            <a:ext uri="{FF2B5EF4-FFF2-40B4-BE49-F238E27FC236}">
              <a16:creationId xmlns:a16="http://schemas.microsoft.com/office/drawing/2014/main" id="{1C423E82-C735-A6E5-25E4-044BB520A4EF}"/>
            </a:ext>
          </a:extLst>
        </xdr:cNvPr>
        <xdr:cNvCxnSpPr/>
      </xdr:nvCxnSpPr>
      <xdr:spPr>
        <a:xfrm>
          <a:off x="8340725" y="4958177"/>
          <a:ext cx="222250" cy="414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217261</xdr:colOff>
      <xdr:row>16</xdr:row>
      <xdr:rowOff>92082</xdr:rowOff>
    </xdr:from>
    <xdr:to>
      <xdr:col>22</xdr:col>
      <xdr:colOff>103868</xdr:colOff>
      <xdr:row>16</xdr:row>
      <xdr:rowOff>172606</xdr:rowOff>
    </xdr:to>
    <xdr:cxnSp macro="">
      <xdr:nvCxnSpPr>
        <xdr:cNvPr id="1057" name="SCHEMA_T05_COND_0158">
          <a:extLst>
            <a:ext uri="{FF2B5EF4-FFF2-40B4-BE49-F238E27FC236}">
              <a16:creationId xmlns:a16="http://schemas.microsoft.com/office/drawing/2014/main" id="{BF1F7EE4-DDEA-A1F0-03B3-FD245B52F930}"/>
            </a:ext>
          </a:extLst>
        </xdr:cNvPr>
        <xdr:cNvCxnSpPr/>
      </xdr:nvCxnSpPr>
      <xdr:spPr>
        <a:xfrm flipV="1">
          <a:off x="8562975" y="4881796"/>
          <a:ext cx="222250" cy="80524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103868</xdr:colOff>
      <xdr:row>15</xdr:row>
      <xdr:rowOff>171820</xdr:rowOff>
    </xdr:from>
    <xdr:to>
      <xdr:col>22</xdr:col>
      <xdr:colOff>326118</xdr:colOff>
      <xdr:row>16</xdr:row>
      <xdr:rowOff>92082</xdr:rowOff>
    </xdr:to>
    <xdr:cxnSp macro="">
      <xdr:nvCxnSpPr>
        <xdr:cNvPr id="1058" name="SCHEMA_T05_COND_0159">
          <a:extLst>
            <a:ext uri="{FF2B5EF4-FFF2-40B4-BE49-F238E27FC236}">
              <a16:creationId xmlns:a16="http://schemas.microsoft.com/office/drawing/2014/main" id="{5497C4C2-8F55-AF83-ECD3-60314D5F7301}"/>
            </a:ext>
          </a:extLst>
        </xdr:cNvPr>
        <xdr:cNvCxnSpPr/>
      </xdr:nvCxnSpPr>
      <xdr:spPr>
        <a:xfrm flipV="1">
          <a:off x="8785225" y="4716606"/>
          <a:ext cx="222250" cy="16519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330654</xdr:colOff>
      <xdr:row>17</xdr:row>
      <xdr:rowOff>75934</xdr:rowOff>
    </xdr:from>
    <xdr:to>
      <xdr:col>21</xdr:col>
      <xdr:colOff>217261</xdr:colOff>
      <xdr:row>17</xdr:row>
      <xdr:rowOff>80077</xdr:rowOff>
    </xdr:to>
    <xdr:cxnSp macro="">
      <xdr:nvCxnSpPr>
        <xdr:cNvPr id="1059" name="SCHEMA_T05_COND_0160">
          <a:extLst>
            <a:ext uri="{FF2B5EF4-FFF2-40B4-BE49-F238E27FC236}">
              <a16:creationId xmlns:a16="http://schemas.microsoft.com/office/drawing/2014/main" id="{BDF809B8-759A-2E4D-650D-C8FB37BFC6BD}"/>
            </a:ext>
          </a:extLst>
        </xdr:cNvPr>
        <xdr:cNvCxnSpPr/>
      </xdr:nvCxnSpPr>
      <xdr:spPr>
        <a:xfrm>
          <a:off x="8340725" y="5110577"/>
          <a:ext cx="222250" cy="414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217261</xdr:colOff>
      <xdr:row>16</xdr:row>
      <xdr:rowOff>244482</xdr:rowOff>
    </xdr:from>
    <xdr:to>
      <xdr:col>22</xdr:col>
      <xdr:colOff>103868</xdr:colOff>
      <xdr:row>17</xdr:row>
      <xdr:rowOff>80077</xdr:rowOff>
    </xdr:to>
    <xdr:cxnSp macro="">
      <xdr:nvCxnSpPr>
        <xdr:cNvPr id="1060" name="SCHEMA_T05_COND_0161">
          <a:extLst>
            <a:ext uri="{FF2B5EF4-FFF2-40B4-BE49-F238E27FC236}">
              <a16:creationId xmlns:a16="http://schemas.microsoft.com/office/drawing/2014/main" id="{6E0BCFEB-8CFC-AB01-CC6B-B2E9730582F6}"/>
            </a:ext>
          </a:extLst>
        </xdr:cNvPr>
        <xdr:cNvCxnSpPr/>
      </xdr:nvCxnSpPr>
      <xdr:spPr>
        <a:xfrm flipV="1">
          <a:off x="8562975" y="5034196"/>
          <a:ext cx="222250" cy="80524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103868</xdr:colOff>
      <xdr:row>16</xdr:row>
      <xdr:rowOff>79292</xdr:rowOff>
    </xdr:from>
    <xdr:to>
      <xdr:col>22</xdr:col>
      <xdr:colOff>326118</xdr:colOff>
      <xdr:row>16</xdr:row>
      <xdr:rowOff>244482</xdr:rowOff>
    </xdr:to>
    <xdr:cxnSp macro="">
      <xdr:nvCxnSpPr>
        <xdr:cNvPr id="1061" name="SCHEMA_T05_COND_0162">
          <a:extLst>
            <a:ext uri="{FF2B5EF4-FFF2-40B4-BE49-F238E27FC236}">
              <a16:creationId xmlns:a16="http://schemas.microsoft.com/office/drawing/2014/main" id="{E8A6DDFB-D17E-3007-E633-B29A6196E2A5}"/>
            </a:ext>
          </a:extLst>
        </xdr:cNvPr>
        <xdr:cNvCxnSpPr/>
      </xdr:nvCxnSpPr>
      <xdr:spPr>
        <a:xfrm flipV="1">
          <a:off x="8785225" y="4869006"/>
          <a:ext cx="222250" cy="16519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330654</xdr:colOff>
      <xdr:row>17</xdr:row>
      <xdr:rowOff>177534</xdr:rowOff>
    </xdr:from>
    <xdr:to>
      <xdr:col>21</xdr:col>
      <xdr:colOff>217261</xdr:colOff>
      <xdr:row>17</xdr:row>
      <xdr:rowOff>181677</xdr:rowOff>
    </xdr:to>
    <xdr:cxnSp macro="">
      <xdr:nvCxnSpPr>
        <xdr:cNvPr id="1062" name="SCHEMA_T05_COND_0163">
          <a:extLst>
            <a:ext uri="{FF2B5EF4-FFF2-40B4-BE49-F238E27FC236}">
              <a16:creationId xmlns:a16="http://schemas.microsoft.com/office/drawing/2014/main" id="{2294059E-B0CD-CEFC-2F4C-D958E7978B17}"/>
            </a:ext>
          </a:extLst>
        </xdr:cNvPr>
        <xdr:cNvCxnSpPr/>
      </xdr:nvCxnSpPr>
      <xdr:spPr>
        <a:xfrm>
          <a:off x="8340725" y="5212177"/>
          <a:ext cx="222250" cy="414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217261</xdr:colOff>
      <xdr:row>17</xdr:row>
      <xdr:rowOff>101153</xdr:rowOff>
    </xdr:from>
    <xdr:to>
      <xdr:col>22</xdr:col>
      <xdr:colOff>103868</xdr:colOff>
      <xdr:row>17</xdr:row>
      <xdr:rowOff>181677</xdr:rowOff>
    </xdr:to>
    <xdr:cxnSp macro="">
      <xdr:nvCxnSpPr>
        <xdr:cNvPr id="1063" name="SCHEMA_T05_COND_0164">
          <a:extLst>
            <a:ext uri="{FF2B5EF4-FFF2-40B4-BE49-F238E27FC236}">
              <a16:creationId xmlns:a16="http://schemas.microsoft.com/office/drawing/2014/main" id="{21108871-5C4D-AD68-7149-7CD1087F4462}"/>
            </a:ext>
          </a:extLst>
        </xdr:cNvPr>
        <xdr:cNvCxnSpPr/>
      </xdr:nvCxnSpPr>
      <xdr:spPr>
        <a:xfrm flipV="1">
          <a:off x="8562975" y="5135796"/>
          <a:ext cx="222250" cy="80524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103868</xdr:colOff>
      <xdr:row>16</xdr:row>
      <xdr:rowOff>180892</xdr:rowOff>
    </xdr:from>
    <xdr:to>
      <xdr:col>22</xdr:col>
      <xdr:colOff>326118</xdr:colOff>
      <xdr:row>17</xdr:row>
      <xdr:rowOff>101153</xdr:rowOff>
    </xdr:to>
    <xdr:cxnSp macro="">
      <xdr:nvCxnSpPr>
        <xdr:cNvPr id="1064" name="SCHEMA_T05_COND_0165">
          <a:extLst>
            <a:ext uri="{FF2B5EF4-FFF2-40B4-BE49-F238E27FC236}">
              <a16:creationId xmlns:a16="http://schemas.microsoft.com/office/drawing/2014/main" id="{63A72D15-B970-9074-81CD-D91162AFC3E5}"/>
            </a:ext>
          </a:extLst>
        </xdr:cNvPr>
        <xdr:cNvCxnSpPr/>
      </xdr:nvCxnSpPr>
      <xdr:spPr>
        <a:xfrm flipV="1">
          <a:off x="8785225" y="4970606"/>
          <a:ext cx="222250" cy="16519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326118</xdr:colOff>
      <xdr:row>14</xdr:row>
      <xdr:rowOff>150049</xdr:rowOff>
    </xdr:from>
    <xdr:to>
      <xdr:col>23</xdr:col>
      <xdr:colOff>212725</xdr:colOff>
      <xdr:row>15</xdr:row>
      <xdr:rowOff>54725</xdr:rowOff>
    </xdr:to>
    <xdr:cxnSp macro="">
      <xdr:nvCxnSpPr>
        <xdr:cNvPr id="1065" name="SCHEMA_T05_COND_0166">
          <a:extLst>
            <a:ext uri="{FF2B5EF4-FFF2-40B4-BE49-F238E27FC236}">
              <a16:creationId xmlns:a16="http://schemas.microsoft.com/office/drawing/2014/main" id="{3A1CECBE-EE0C-009D-48B7-846FDDD5B0BE}"/>
            </a:ext>
          </a:extLst>
        </xdr:cNvPr>
        <xdr:cNvCxnSpPr/>
      </xdr:nvCxnSpPr>
      <xdr:spPr>
        <a:xfrm>
          <a:off x="9007475" y="4449906"/>
          <a:ext cx="222250" cy="149605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212725</xdr:colOff>
      <xdr:row>15</xdr:row>
      <xdr:rowOff>54725</xdr:rowOff>
    </xdr:from>
    <xdr:to>
      <xdr:col>24</xdr:col>
      <xdr:colOff>99332</xdr:colOff>
      <xdr:row>15</xdr:row>
      <xdr:rowOff>119663</xdr:rowOff>
    </xdr:to>
    <xdr:cxnSp macro="">
      <xdr:nvCxnSpPr>
        <xdr:cNvPr id="1066" name="SCHEMA_T05_COND_0167">
          <a:extLst>
            <a:ext uri="{FF2B5EF4-FFF2-40B4-BE49-F238E27FC236}">
              <a16:creationId xmlns:a16="http://schemas.microsoft.com/office/drawing/2014/main" id="{5717B315-4429-031E-96B2-32EB50C65E42}"/>
            </a:ext>
          </a:extLst>
        </xdr:cNvPr>
        <xdr:cNvCxnSpPr/>
      </xdr:nvCxnSpPr>
      <xdr:spPr>
        <a:xfrm>
          <a:off x="9229725" y="4599511"/>
          <a:ext cx="222250" cy="64938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99332</xdr:colOff>
      <xdr:row>15</xdr:row>
      <xdr:rowOff>99936</xdr:rowOff>
    </xdr:from>
    <xdr:to>
      <xdr:col>24</xdr:col>
      <xdr:colOff>321582</xdr:colOff>
      <xdr:row>15</xdr:row>
      <xdr:rowOff>119663</xdr:rowOff>
    </xdr:to>
    <xdr:cxnSp macro="">
      <xdr:nvCxnSpPr>
        <xdr:cNvPr id="1067" name="SCHEMA_T05_COND_0168">
          <a:extLst>
            <a:ext uri="{FF2B5EF4-FFF2-40B4-BE49-F238E27FC236}">
              <a16:creationId xmlns:a16="http://schemas.microsoft.com/office/drawing/2014/main" id="{1D969521-AA37-2DDE-05E3-2A61598E1D34}"/>
            </a:ext>
          </a:extLst>
        </xdr:cNvPr>
        <xdr:cNvCxnSpPr/>
      </xdr:nvCxnSpPr>
      <xdr:spPr>
        <a:xfrm flipV="1">
          <a:off x="9451975" y="4644722"/>
          <a:ext cx="222250" cy="19727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326118</xdr:colOff>
      <xdr:row>15</xdr:row>
      <xdr:rowOff>70220</xdr:rowOff>
    </xdr:from>
    <xdr:to>
      <xdr:col>23</xdr:col>
      <xdr:colOff>212725</xdr:colOff>
      <xdr:row>15</xdr:row>
      <xdr:rowOff>219825</xdr:rowOff>
    </xdr:to>
    <xdr:cxnSp macro="">
      <xdr:nvCxnSpPr>
        <xdr:cNvPr id="1068" name="SCHEMA_T05_COND_0169">
          <a:extLst>
            <a:ext uri="{FF2B5EF4-FFF2-40B4-BE49-F238E27FC236}">
              <a16:creationId xmlns:a16="http://schemas.microsoft.com/office/drawing/2014/main" id="{2DFFCF6C-3767-7D63-2E4B-0037EE194458}"/>
            </a:ext>
          </a:extLst>
        </xdr:cNvPr>
        <xdr:cNvCxnSpPr/>
      </xdr:nvCxnSpPr>
      <xdr:spPr>
        <a:xfrm>
          <a:off x="9007475" y="4615006"/>
          <a:ext cx="222250" cy="14960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212725</xdr:colOff>
      <xdr:row>15</xdr:row>
      <xdr:rowOff>219825</xdr:rowOff>
    </xdr:from>
    <xdr:to>
      <xdr:col>24</xdr:col>
      <xdr:colOff>99332</xdr:colOff>
      <xdr:row>16</xdr:row>
      <xdr:rowOff>39835</xdr:rowOff>
    </xdr:to>
    <xdr:cxnSp macro="">
      <xdr:nvCxnSpPr>
        <xdr:cNvPr id="1069" name="SCHEMA_T05_COND_0170">
          <a:extLst>
            <a:ext uri="{FF2B5EF4-FFF2-40B4-BE49-F238E27FC236}">
              <a16:creationId xmlns:a16="http://schemas.microsoft.com/office/drawing/2014/main" id="{8D687D13-3454-4B0B-802B-6DE232E650EE}"/>
            </a:ext>
          </a:extLst>
        </xdr:cNvPr>
        <xdr:cNvCxnSpPr/>
      </xdr:nvCxnSpPr>
      <xdr:spPr>
        <a:xfrm>
          <a:off x="9229725" y="4764611"/>
          <a:ext cx="222250" cy="6493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99332</xdr:colOff>
      <xdr:row>16</xdr:row>
      <xdr:rowOff>20108</xdr:rowOff>
    </xdr:from>
    <xdr:to>
      <xdr:col>24</xdr:col>
      <xdr:colOff>321582</xdr:colOff>
      <xdr:row>16</xdr:row>
      <xdr:rowOff>39835</xdr:rowOff>
    </xdr:to>
    <xdr:cxnSp macro="">
      <xdr:nvCxnSpPr>
        <xdr:cNvPr id="1070" name="SCHEMA_T05_COND_0171">
          <a:extLst>
            <a:ext uri="{FF2B5EF4-FFF2-40B4-BE49-F238E27FC236}">
              <a16:creationId xmlns:a16="http://schemas.microsoft.com/office/drawing/2014/main" id="{99459F12-0CD3-72BF-EA86-B0EC995E8165}"/>
            </a:ext>
          </a:extLst>
        </xdr:cNvPr>
        <xdr:cNvCxnSpPr/>
      </xdr:nvCxnSpPr>
      <xdr:spPr>
        <a:xfrm flipV="1">
          <a:off x="9451975" y="4809822"/>
          <a:ext cx="222250" cy="1972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326118</xdr:colOff>
      <xdr:row>15</xdr:row>
      <xdr:rowOff>171820</xdr:rowOff>
    </xdr:from>
    <xdr:to>
      <xdr:col>23</xdr:col>
      <xdr:colOff>212725</xdr:colOff>
      <xdr:row>16</xdr:row>
      <xdr:rowOff>76497</xdr:rowOff>
    </xdr:to>
    <xdr:cxnSp macro="">
      <xdr:nvCxnSpPr>
        <xdr:cNvPr id="1071" name="SCHEMA_T05_COND_0172">
          <a:extLst>
            <a:ext uri="{FF2B5EF4-FFF2-40B4-BE49-F238E27FC236}">
              <a16:creationId xmlns:a16="http://schemas.microsoft.com/office/drawing/2014/main" id="{39B1EF6B-4C5C-0F6F-E25F-BEEDFC1EAA81}"/>
            </a:ext>
          </a:extLst>
        </xdr:cNvPr>
        <xdr:cNvCxnSpPr/>
      </xdr:nvCxnSpPr>
      <xdr:spPr>
        <a:xfrm>
          <a:off x="9007475" y="4716606"/>
          <a:ext cx="222250" cy="14960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212725</xdr:colOff>
      <xdr:row>16</xdr:row>
      <xdr:rowOff>76497</xdr:rowOff>
    </xdr:from>
    <xdr:to>
      <xdr:col>24</xdr:col>
      <xdr:colOff>99332</xdr:colOff>
      <xdr:row>16</xdr:row>
      <xdr:rowOff>141435</xdr:rowOff>
    </xdr:to>
    <xdr:cxnSp macro="">
      <xdr:nvCxnSpPr>
        <xdr:cNvPr id="1072" name="SCHEMA_T05_COND_0173">
          <a:extLst>
            <a:ext uri="{FF2B5EF4-FFF2-40B4-BE49-F238E27FC236}">
              <a16:creationId xmlns:a16="http://schemas.microsoft.com/office/drawing/2014/main" id="{8E38DF9F-9516-9610-1D72-222FC3FB1B78}"/>
            </a:ext>
          </a:extLst>
        </xdr:cNvPr>
        <xdr:cNvCxnSpPr/>
      </xdr:nvCxnSpPr>
      <xdr:spPr>
        <a:xfrm>
          <a:off x="9229725" y="4866211"/>
          <a:ext cx="222250" cy="6493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99332</xdr:colOff>
      <xdr:row>16</xdr:row>
      <xdr:rowOff>121708</xdr:rowOff>
    </xdr:from>
    <xdr:to>
      <xdr:col>24</xdr:col>
      <xdr:colOff>321582</xdr:colOff>
      <xdr:row>16</xdr:row>
      <xdr:rowOff>141435</xdr:rowOff>
    </xdr:to>
    <xdr:cxnSp macro="">
      <xdr:nvCxnSpPr>
        <xdr:cNvPr id="1073" name="SCHEMA_T05_COND_0174">
          <a:extLst>
            <a:ext uri="{FF2B5EF4-FFF2-40B4-BE49-F238E27FC236}">
              <a16:creationId xmlns:a16="http://schemas.microsoft.com/office/drawing/2014/main" id="{410928FC-4A78-F3C6-C06E-5AC713670E12}"/>
            </a:ext>
          </a:extLst>
        </xdr:cNvPr>
        <xdr:cNvCxnSpPr/>
      </xdr:nvCxnSpPr>
      <xdr:spPr>
        <a:xfrm flipV="1">
          <a:off x="9451975" y="4911422"/>
          <a:ext cx="222250" cy="1972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326118</xdr:colOff>
      <xdr:row>16</xdr:row>
      <xdr:rowOff>79292</xdr:rowOff>
    </xdr:from>
    <xdr:to>
      <xdr:col>23</xdr:col>
      <xdr:colOff>212725</xdr:colOff>
      <xdr:row>16</xdr:row>
      <xdr:rowOff>228897</xdr:rowOff>
    </xdr:to>
    <xdr:cxnSp macro="">
      <xdr:nvCxnSpPr>
        <xdr:cNvPr id="1074" name="SCHEMA_T05_COND_0175">
          <a:extLst>
            <a:ext uri="{FF2B5EF4-FFF2-40B4-BE49-F238E27FC236}">
              <a16:creationId xmlns:a16="http://schemas.microsoft.com/office/drawing/2014/main" id="{3A4C5822-904C-A990-5B4E-E1765AFCD152}"/>
            </a:ext>
          </a:extLst>
        </xdr:cNvPr>
        <xdr:cNvCxnSpPr/>
      </xdr:nvCxnSpPr>
      <xdr:spPr>
        <a:xfrm>
          <a:off x="9007475" y="4869006"/>
          <a:ext cx="222250" cy="14960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212725</xdr:colOff>
      <xdr:row>16</xdr:row>
      <xdr:rowOff>228897</xdr:rowOff>
    </xdr:from>
    <xdr:to>
      <xdr:col>24</xdr:col>
      <xdr:colOff>99332</xdr:colOff>
      <xdr:row>17</xdr:row>
      <xdr:rowOff>48906</xdr:rowOff>
    </xdr:to>
    <xdr:cxnSp macro="">
      <xdr:nvCxnSpPr>
        <xdr:cNvPr id="1075" name="SCHEMA_T05_COND_0176">
          <a:extLst>
            <a:ext uri="{FF2B5EF4-FFF2-40B4-BE49-F238E27FC236}">
              <a16:creationId xmlns:a16="http://schemas.microsoft.com/office/drawing/2014/main" id="{EA7F6911-38B0-3D4D-281A-7475548A2E89}"/>
            </a:ext>
          </a:extLst>
        </xdr:cNvPr>
        <xdr:cNvCxnSpPr/>
      </xdr:nvCxnSpPr>
      <xdr:spPr>
        <a:xfrm>
          <a:off x="9229725" y="5018611"/>
          <a:ext cx="222250" cy="6493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99332</xdr:colOff>
      <xdr:row>17</xdr:row>
      <xdr:rowOff>29179</xdr:rowOff>
    </xdr:from>
    <xdr:to>
      <xdr:col>24</xdr:col>
      <xdr:colOff>321582</xdr:colOff>
      <xdr:row>17</xdr:row>
      <xdr:rowOff>48906</xdr:rowOff>
    </xdr:to>
    <xdr:cxnSp macro="">
      <xdr:nvCxnSpPr>
        <xdr:cNvPr id="1076" name="SCHEMA_T05_COND_0177">
          <a:extLst>
            <a:ext uri="{FF2B5EF4-FFF2-40B4-BE49-F238E27FC236}">
              <a16:creationId xmlns:a16="http://schemas.microsoft.com/office/drawing/2014/main" id="{59E30B5D-C399-1269-6AC3-26BFA816048D}"/>
            </a:ext>
          </a:extLst>
        </xdr:cNvPr>
        <xdr:cNvCxnSpPr/>
      </xdr:nvCxnSpPr>
      <xdr:spPr>
        <a:xfrm flipV="1">
          <a:off x="9451975" y="5063822"/>
          <a:ext cx="222250" cy="1972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326118</xdr:colOff>
      <xdr:row>16</xdr:row>
      <xdr:rowOff>180892</xdr:rowOff>
    </xdr:from>
    <xdr:to>
      <xdr:col>23</xdr:col>
      <xdr:colOff>212725</xdr:colOff>
      <xdr:row>17</xdr:row>
      <xdr:rowOff>85568</xdr:rowOff>
    </xdr:to>
    <xdr:cxnSp macro="">
      <xdr:nvCxnSpPr>
        <xdr:cNvPr id="1077" name="SCHEMA_T05_COND_0178">
          <a:extLst>
            <a:ext uri="{FF2B5EF4-FFF2-40B4-BE49-F238E27FC236}">
              <a16:creationId xmlns:a16="http://schemas.microsoft.com/office/drawing/2014/main" id="{1A67106C-3545-98BE-9AD2-0C02CC31F7F2}"/>
            </a:ext>
          </a:extLst>
        </xdr:cNvPr>
        <xdr:cNvCxnSpPr/>
      </xdr:nvCxnSpPr>
      <xdr:spPr>
        <a:xfrm>
          <a:off x="9007475" y="4970606"/>
          <a:ext cx="222250" cy="14960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212725</xdr:colOff>
      <xdr:row>17</xdr:row>
      <xdr:rowOff>85568</xdr:rowOff>
    </xdr:from>
    <xdr:to>
      <xdr:col>24</xdr:col>
      <xdr:colOff>99332</xdr:colOff>
      <xdr:row>17</xdr:row>
      <xdr:rowOff>150506</xdr:rowOff>
    </xdr:to>
    <xdr:cxnSp macro="">
      <xdr:nvCxnSpPr>
        <xdr:cNvPr id="1078" name="SCHEMA_T05_COND_0179">
          <a:extLst>
            <a:ext uri="{FF2B5EF4-FFF2-40B4-BE49-F238E27FC236}">
              <a16:creationId xmlns:a16="http://schemas.microsoft.com/office/drawing/2014/main" id="{2D65CFBD-896A-BD5E-4F20-4395EB634681}"/>
            </a:ext>
          </a:extLst>
        </xdr:cNvPr>
        <xdr:cNvCxnSpPr/>
      </xdr:nvCxnSpPr>
      <xdr:spPr>
        <a:xfrm>
          <a:off x="9229725" y="5120211"/>
          <a:ext cx="222250" cy="6493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99332</xdr:colOff>
      <xdr:row>17</xdr:row>
      <xdr:rowOff>130779</xdr:rowOff>
    </xdr:from>
    <xdr:to>
      <xdr:col>24</xdr:col>
      <xdr:colOff>321582</xdr:colOff>
      <xdr:row>17</xdr:row>
      <xdr:rowOff>150506</xdr:rowOff>
    </xdr:to>
    <xdr:cxnSp macro="">
      <xdr:nvCxnSpPr>
        <xdr:cNvPr id="1079" name="SCHEMA_T05_COND_0180">
          <a:extLst>
            <a:ext uri="{FF2B5EF4-FFF2-40B4-BE49-F238E27FC236}">
              <a16:creationId xmlns:a16="http://schemas.microsoft.com/office/drawing/2014/main" id="{C9F5E213-05BF-C7A0-1A1E-20C9318D2E68}"/>
            </a:ext>
          </a:extLst>
        </xdr:cNvPr>
        <xdr:cNvCxnSpPr/>
      </xdr:nvCxnSpPr>
      <xdr:spPr>
        <a:xfrm flipV="1">
          <a:off x="9451975" y="5165422"/>
          <a:ext cx="222250" cy="1972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321582</xdr:colOff>
      <xdr:row>14</xdr:row>
      <xdr:rowOff>219130</xdr:rowOff>
    </xdr:from>
    <xdr:to>
      <xdr:col>25</xdr:col>
      <xdr:colOff>208189</xdr:colOff>
      <xdr:row>15</xdr:row>
      <xdr:rowOff>99936</xdr:rowOff>
    </xdr:to>
    <xdr:cxnSp macro="">
      <xdr:nvCxnSpPr>
        <xdr:cNvPr id="1080" name="SCHEMA_T05_COND_0181">
          <a:extLst>
            <a:ext uri="{FF2B5EF4-FFF2-40B4-BE49-F238E27FC236}">
              <a16:creationId xmlns:a16="http://schemas.microsoft.com/office/drawing/2014/main" id="{1008CC23-4968-1F9D-4D54-49AC2F4D5EA1}"/>
            </a:ext>
          </a:extLst>
        </xdr:cNvPr>
        <xdr:cNvCxnSpPr/>
      </xdr:nvCxnSpPr>
      <xdr:spPr>
        <a:xfrm flipV="1">
          <a:off x="9674225" y="4518987"/>
          <a:ext cx="222250" cy="125735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208189</xdr:colOff>
      <xdr:row>14</xdr:row>
      <xdr:rowOff>8728</xdr:rowOff>
    </xdr:from>
    <xdr:to>
      <xdr:col>26</xdr:col>
      <xdr:colOff>94796</xdr:colOff>
      <xdr:row>14</xdr:row>
      <xdr:rowOff>219130</xdr:rowOff>
    </xdr:to>
    <xdr:cxnSp macro="">
      <xdr:nvCxnSpPr>
        <xdr:cNvPr id="1081" name="SCHEMA_T05_COND_0182">
          <a:extLst>
            <a:ext uri="{FF2B5EF4-FFF2-40B4-BE49-F238E27FC236}">
              <a16:creationId xmlns:a16="http://schemas.microsoft.com/office/drawing/2014/main" id="{CCBD82A1-3C2D-5CA5-4303-BD2FDFF8AC54}"/>
            </a:ext>
          </a:extLst>
        </xdr:cNvPr>
        <xdr:cNvCxnSpPr/>
      </xdr:nvCxnSpPr>
      <xdr:spPr>
        <a:xfrm flipV="1">
          <a:off x="9896475" y="4308585"/>
          <a:ext cx="222250" cy="210402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94796</xdr:colOff>
      <xdr:row>12</xdr:row>
      <xdr:rowOff>203517</xdr:rowOff>
    </xdr:from>
    <xdr:to>
      <xdr:col>26</xdr:col>
      <xdr:colOff>317046</xdr:colOff>
      <xdr:row>14</xdr:row>
      <xdr:rowOff>8728</xdr:rowOff>
    </xdr:to>
    <xdr:cxnSp macro="">
      <xdr:nvCxnSpPr>
        <xdr:cNvPr id="1082" name="SCHEMA_T05_COND_0183">
          <a:extLst>
            <a:ext uri="{FF2B5EF4-FFF2-40B4-BE49-F238E27FC236}">
              <a16:creationId xmlns:a16="http://schemas.microsoft.com/office/drawing/2014/main" id="{20E07F86-8D03-24D8-99E7-44985BD2A77B}"/>
            </a:ext>
          </a:extLst>
        </xdr:cNvPr>
        <xdr:cNvCxnSpPr/>
      </xdr:nvCxnSpPr>
      <xdr:spPr>
        <a:xfrm flipV="1">
          <a:off x="10118725" y="4013517"/>
          <a:ext cx="222250" cy="295068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321582</xdr:colOff>
      <xdr:row>15</xdr:row>
      <xdr:rowOff>139301</xdr:rowOff>
    </xdr:from>
    <xdr:to>
      <xdr:col>25</xdr:col>
      <xdr:colOff>208189</xdr:colOff>
      <xdr:row>16</xdr:row>
      <xdr:rowOff>20108</xdr:rowOff>
    </xdr:to>
    <xdr:cxnSp macro="">
      <xdr:nvCxnSpPr>
        <xdr:cNvPr id="1083" name="SCHEMA_T05_COND_0184">
          <a:extLst>
            <a:ext uri="{FF2B5EF4-FFF2-40B4-BE49-F238E27FC236}">
              <a16:creationId xmlns:a16="http://schemas.microsoft.com/office/drawing/2014/main" id="{EB50B05F-4B7E-ACF3-7976-9692F8D97019}"/>
            </a:ext>
          </a:extLst>
        </xdr:cNvPr>
        <xdr:cNvCxnSpPr/>
      </xdr:nvCxnSpPr>
      <xdr:spPr>
        <a:xfrm flipV="1">
          <a:off x="9674225" y="4684087"/>
          <a:ext cx="222250" cy="12573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208189</xdr:colOff>
      <xdr:row>14</xdr:row>
      <xdr:rowOff>173828</xdr:rowOff>
    </xdr:from>
    <xdr:to>
      <xdr:col>26</xdr:col>
      <xdr:colOff>94796</xdr:colOff>
      <xdr:row>15</xdr:row>
      <xdr:rowOff>139301</xdr:rowOff>
    </xdr:to>
    <xdr:cxnSp macro="">
      <xdr:nvCxnSpPr>
        <xdr:cNvPr id="1084" name="SCHEMA_T05_COND_0185">
          <a:extLst>
            <a:ext uri="{FF2B5EF4-FFF2-40B4-BE49-F238E27FC236}">
              <a16:creationId xmlns:a16="http://schemas.microsoft.com/office/drawing/2014/main" id="{4327C39F-633E-6D5A-8716-66A6896F31DD}"/>
            </a:ext>
          </a:extLst>
        </xdr:cNvPr>
        <xdr:cNvCxnSpPr/>
      </xdr:nvCxnSpPr>
      <xdr:spPr>
        <a:xfrm flipV="1">
          <a:off x="9896475" y="4473685"/>
          <a:ext cx="222250" cy="21040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94796</xdr:colOff>
      <xdr:row>13</xdr:row>
      <xdr:rowOff>123688</xdr:rowOff>
    </xdr:from>
    <xdr:to>
      <xdr:col>26</xdr:col>
      <xdr:colOff>317046</xdr:colOff>
      <xdr:row>14</xdr:row>
      <xdr:rowOff>173828</xdr:rowOff>
    </xdr:to>
    <xdr:cxnSp macro="">
      <xdr:nvCxnSpPr>
        <xdr:cNvPr id="1085" name="SCHEMA_T05_COND_0186">
          <a:extLst>
            <a:ext uri="{FF2B5EF4-FFF2-40B4-BE49-F238E27FC236}">
              <a16:creationId xmlns:a16="http://schemas.microsoft.com/office/drawing/2014/main" id="{D5178825-DA94-5693-B0FB-E1C58972BE0A}"/>
            </a:ext>
          </a:extLst>
        </xdr:cNvPr>
        <xdr:cNvCxnSpPr/>
      </xdr:nvCxnSpPr>
      <xdr:spPr>
        <a:xfrm flipV="1">
          <a:off x="10118725" y="4178617"/>
          <a:ext cx="222250" cy="29506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321582</xdr:colOff>
      <xdr:row>15</xdr:row>
      <xdr:rowOff>240901</xdr:rowOff>
    </xdr:from>
    <xdr:to>
      <xdr:col>25</xdr:col>
      <xdr:colOff>208189</xdr:colOff>
      <xdr:row>16</xdr:row>
      <xdr:rowOff>121708</xdr:rowOff>
    </xdr:to>
    <xdr:cxnSp macro="">
      <xdr:nvCxnSpPr>
        <xdr:cNvPr id="1086" name="SCHEMA_T05_COND_0187">
          <a:extLst>
            <a:ext uri="{FF2B5EF4-FFF2-40B4-BE49-F238E27FC236}">
              <a16:creationId xmlns:a16="http://schemas.microsoft.com/office/drawing/2014/main" id="{7C3579E4-6C9E-1EB6-4341-3E21D16AAF68}"/>
            </a:ext>
          </a:extLst>
        </xdr:cNvPr>
        <xdr:cNvCxnSpPr/>
      </xdr:nvCxnSpPr>
      <xdr:spPr>
        <a:xfrm flipV="1">
          <a:off x="9674225" y="4785687"/>
          <a:ext cx="222250" cy="12573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208189</xdr:colOff>
      <xdr:row>15</xdr:row>
      <xdr:rowOff>30499</xdr:rowOff>
    </xdr:from>
    <xdr:to>
      <xdr:col>26</xdr:col>
      <xdr:colOff>94796</xdr:colOff>
      <xdr:row>15</xdr:row>
      <xdr:rowOff>240901</xdr:rowOff>
    </xdr:to>
    <xdr:cxnSp macro="">
      <xdr:nvCxnSpPr>
        <xdr:cNvPr id="1087" name="SCHEMA_T05_COND_0188">
          <a:extLst>
            <a:ext uri="{FF2B5EF4-FFF2-40B4-BE49-F238E27FC236}">
              <a16:creationId xmlns:a16="http://schemas.microsoft.com/office/drawing/2014/main" id="{09DC2417-2B1F-4B51-8845-ED7B375630B5}"/>
            </a:ext>
          </a:extLst>
        </xdr:cNvPr>
        <xdr:cNvCxnSpPr/>
      </xdr:nvCxnSpPr>
      <xdr:spPr>
        <a:xfrm flipV="1">
          <a:off x="9896475" y="4575285"/>
          <a:ext cx="222250" cy="21040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94796</xdr:colOff>
      <xdr:row>13</xdr:row>
      <xdr:rowOff>225288</xdr:rowOff>
    </xdr:from>
    <xdr:to>
      <xdr:col>26</xdr:col>
      <xdr:colOff>317046</xdr:colOff>
      <xdr:row>15</xdr:row>
      <xdr:rowOff>30499</xdr:rowOff>
    </xdr:to>
    <xdr:cxnSp macro="">
      <xdr:nvCxnSpPr>
        <xdr:cNvPr id="1088" name="SCHEMA_T05_COND_0189">
          <a:extLst>
            <a:ext uri="{FF2B5EF4-FFF2-40B4-BE49-F238E27FC236}">
              <a16:creationId xmlns:a16="http://schemas.microsoft.com/office/drawing/2014/main" id="{813E02D5-6785-7D0B-FCDB-ED1A272C7A7D}"/>
            </a:ext>
          </a:extLst>
        </xdr:cNvPr>
        <xdr:cNvCxnSpPr/>
      </xdr:nvCxnSpPr>
      <xdr:spPr>
        <a:xfrm flipV="1">
          <a:off x="10118725" y="4280217"/>
          <a:ext cx="222250" cy="29506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321582</xdr:colOff>
      <xdr:row>16</xdr:row>
      <xdr:rowOff>148373</xdr:rowOff>
    </xdr:from>
    <xdr:to>
      <xdr:col>25</xdr:col>
      <xdr:colOff>208189</xdr:colOff>
      <xdr:row>17</xdr:row>
      <xdr:rowOff>29179</xdr:rowOff>
    </xdr:to>
    <xdr:cxnSp macro="">
      <xdr:nvCxnSpPr>
        <xdr:cNvPr id="1089" name="SCHEMA_T05_COND_0190">
          <a:extLst>
            <a:ext uri="{FF2B5EF4-FFF2-40B4-BE49-F238E27FC236}">
              <a16:creationId xmlns:a16="http://schemas.microsoft.com/office/drawing/2014/main" id="{EFC9193C-C562-FF5E-108C-44F24AEE9228}"/>
            </a:ext>
          </a:extLst>
        </xdr:cNvPr>
        <xdr:cNvCxnSpPr/>
      </xdr:nvCxnSpPr>
      <xdr:spPr>
        <a:xfrm flipV="1">
          <a:off x="9674225" y="4938087"/>
          <a:ext cx="222250" cy="12573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208189</xdr:colOff>
      <xdr:row>15</xdr:row>
      <xdr:rowOff>182899</xdr:rowOff>
    </xdr:from>
    <xdr:to>
      <xdr:col>26</xdr:col>
      <xdr:colOff>94796</xdr:colOff>
      <xdr:row>16</xdr:row>
      <xdr:rowOff>148373</xdr:rowOff>
    </xdr:to>
    <xdr:cxnSp macro="">
      <xdr:nvCxnSpPr>
        <xdr:cNvPr id="1090" name="SCHEMA_T05_COND_0191">
          <a:extLst>
            <a:ext uri="{FF2B5EF4-FFF2-40B4-BE49-F238E27FC236}">
              <a16:creationId xmlns:a16="http://schemas.microsoft.com/office/drawing/2014/main" id="{F558E869-7D21-C1B6-CB5B-FAD7817AE47A}"/>
            </a:ext>
          </a:extLst>
        </xdr:cNvPr>
        <xdr:cNvCxnSpPr/>
      </xdr:nvCxnSpPr>
      <xdr:spPr>
        <a:xfrm flipV="1">
          <a:off x="9896475" y="4727685"/>
          <a:ext cx="222250" cy="21040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94796</xdr:colOff>
      <xdr:row>14</xdr:row>
      <xdr:rowOff>132760</xdr:rowOff>
    </xdr:from>
    <xdr:to>
      <xdr:col>26</xdr:col>
      <xdr:colOff>317046</xdr:colOff>
      <xdr:row>15</xdr:row>
      <xdr:rowOff>182899</xdr:rowOff>
    </xdr:to>
    <xdr:cxnSp macro="">
      <xdr:nvCxnSpPr>
        <xdr:cNvPr id="1091" name="SCHEMA_T05_COND_0192">
          <a:extLst>
            <a:ext uri="{FF2B5EF4-FFF2-40B4-BE49-F238E27FC236}">
              <a16:creationId xmlns:a16="http://schemas.microsoft.com/office/drawing/2014/main" id="{506FC268-01C8-9680-F8F0-B71E3FA3D43F}"/>
            </a:ext>
          </a:extLst>
        </xdr:cNvPr>
        <xdr:cNvCxnSpPr/>
      </xdr:nvCxnSpPr>
      <xdr:spPr>
        <a:xfrm flipV="1">
          <a:off x="10118725" y="4432617"/>
          <a:ext cx="222250" cy="29506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321582</xdr:colOff>
      <xdr:row>17</xdr:row>
      <xdr:rowOff>5044</xdr:rowOff>
    </xdr:from>
    <xdr:to>
      <xdr:col>25</xdr:col>
      <xdr:colOff>208189</xdr:colOff>
      <xdr:row>17</xdr:row>
      <xdr:rowOff>130779</xdr:rowOff>
    </xdr:to>
    <xdr:cxnSp macro="">
      <xdr:nvCxnSpPr>
        <xdr:cNvPr id="1092" name="SCHEMA_T05_COND_0193">
          <a:extLst>
            <a:ext uri="{FF2B5EF4-FFF2-40B4-BE49-F238E27FC236}">
              <a16:creationId xmlns:a16="http://schemas.microsoft.com/office/drawing/2014/main" id="{4772006D-2DD9-54C7-74DD-201591C7B783}"/>
            </a:ext>
          </a:extLst>
        </xdr:cNvPr>
        <xdr:cNvCxnSpPr/>
      </xdr:nvCxnSpPr>
      <xdr:spPr>
        <a:xfrm flipV="1">
          <a:off x="9674225" y="5039687"/>
          <a:ext cx="222250" cy="12573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208189</xdr:colOff>
      <xdr:row>16</xdr:row>
      <xdr:rowOff>39571</xdr:rowOff>
    </xdr:from>
    <xdr:to>
      <xdr:col>26</xdr:col>
      <xdr:colOff>94796</xdr:colOff>
      <xdr:row>17</xdr:row>
      <xdr:rowOff>5044</xdr:rowOff>
    </xdr:to>
    <xdr:cxnSp macro="">
      <xdr:nvCxnSpPr>
        <xdr:cNvPr id="1093" name="SCHEMA_T05_COND_0194">
          <a:extLst>
            <a:ext uri="{FF2B5EF4-FFF2-40B4-BE49-F238E27FC236}">
              <a16:creationId xmlns:a16="http://schemas.microsoft.com/office/drawing/2014/main" id="{53BAA5DA-8F0A-23AC-3AD9-7B7E3A752238}"/>
            </a:ext>
          </a:extLst>
        </xdr:cNvPr>
        <xdr:cNvCxnSpPr/>
      </xdr:nvCxnSpPr>
      <xdr:spPr>
        <a:xfrm flipV="1">
          <a:off x="9896475" y="4829285"/>
          <a:ext cx="222250" cy="21040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94796</xdr:colOff>
      <xdr:row>14</xdr:row>
      <xdr:rowOff>234360</xdr:rowOff>
    </xdr:from>
    <xdr:to>
      <xdr:col>26</xdr:col>
      <xdr:colOff>317046</xdr:colOff>
      <xdr:row>16</xdr:row>
      <xdr:rowOff>39571</xdr:rowOff>
    </xdr:to>
    <xdr:cxnSp macro="">
      <xdr:nvCxnSpPr>
        <xdr:cNvPr id="1094" name="SCHEMA_T05_COND_0195">
          <a:extLst>
            <a:ext uri="{FF2B5EF4-FFF2-40B4-BE49-F238E27FC236}">
              <a16:creationId xmlns:a16="http://schemas.microsoft.com/office/drawing/2014/main" id="{7D31F725-6666-7F5C-BF55-8C2544F5FC0F}"/>
            </a:ext>
          </a:extLst>
        </xdr:cNvPr>
        <xdr:cNvCxnSpPr/>
      </xdr:nvCxnSpPr>
      <xdr:spPr>
        <a:xfrm flipV="1">
          <a:off x="10118725" y="4534217"/>
          <a:ext cx="222250" cy="29506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1266825</xdr:colOff>
      <xdr:row>24</xdr:row>
      <xdr:rowOff>146957</xdr:rowOff>
    </xdr:from>
    <xdr:to>
      <xdr:col>0</xdr:col>
      <xdr:colOff>1520825</xdr:colOff>
      <xdr:row>25</xdr:row>
      <xdr:rowOff>29029</xdr:rowOff>
    </xdr:to>
    <xdr:sp macro="" textlink="">
      <xdr:nvSpPr>
        <xdr:cNvPr id="1095" name="SCHEMA_T05_FRENO_CORPO">
          <a:extLst>
            <a:ext uri="{FF2B5EF4-FFF2-40B4-BE49-F238E27FC236}">
              <a16:creationId xmlns:a16="http://schemas.microsoft.com/office/drawing/2014/main" id="{19C16E66-3E19-6F52-51AE-E9E3DFD13953}"/>
            </a:ext>
          </a:extLst>
        </xdr:cNvPr>
        <xdr:cNvSpPr/>
      </xdr:nvSpPr>
      <xdr:spPr>
        <a:xfrm>
          <a:off x="1266825" y="6896100"/>
          <a:ext cx="254000" cy="127000"/>
        </a:xfrm>
        <a:prstGeom prst="rect">
          <a:avLst/>
        </a:prstGeom>
        <a:solidFill>
          <a:srgbClr val="003F87">
            <a:alpha val="90000"/>
          </a:srgbClr>
        </a:solidFill>
        <a:ln w="17780">
          <a:solidFill>
            <a:srgbClr val="003F8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1279525</xdr:colOff>
      <xdr:row>25</xdr:row>
      <xdr:rowOff>3629</xdr:rowOff>
    </xdr:from>
    <xdr:to>
      <xdr:col>0</xdr:col>
      <xdr:colOff>1355725</xdr:colOff>
      <xdr:row>25</xdr:row>
      <xdr:rowOff>79829</xdr:rowOff>
    </xdr:to>
    <xdr:sp macro="" textlink="">
      <xdr:nvSpPr>
        <xdr:cNvPr id="1096" name="SCHEMA_T05_FRENO_RUOTA_1">
          <a:extLst>
            <a:ext uri="{FF2B5EF4-FFF2-40B4-BE49-F238E27FC236}">
              <a16:creationId xmlns:a16="http://schemas.microsoft.com/office/drawing/2014/main" id="{91FB5219-CFE6-2CFA-AE92-181B2878F434}"/>
            </a:ext>
          </a:extLst>
        </xdr:cNvPr>
        <xdr:cNvSpPr/>
      </xdr:nvSpPr>
      <xdr:spPr>
        <a:xfrm>
          <a:off x="1279525" y="6997700"/>
          <a:ext cx="76200" cy="76200"/>
        </a:xfrm>
        <a:prstGeom prst="ellipse">
          <a:avLst/>
        </a:prstGeom>
        <a:solidFill>
          <a:srgbClr val="FFFFFF"/>
        </a:solidFill>
        <a:ln w="15240">
          <a:solidFill>
            <a:srgbClr val="003F8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1431925</xdr:colOff>
      <xdr:row>25</xdr:row>
      <xdr:rowOff>3629</xdr:rowOff>
    </xdr:from>
    <xdr:to>
      <xdr:col>0</xdr:col>
      <xdr:colOff>1508125</xdr:colOff>
      <xdr:row>25</xdr:row>
      <xdr:rowOff>79829</xdr:rowOff>
    </xdr:to>
    <xdr:sp macro="" textlink="">
      <xdr:nvSpPr>
        <xdr:cNvPr id="1097" name="SCHEMA_T05_FRENO_RUOTA_2">
          <a:extLst>
            <a:ext uri="{FF2B5EF4-FFF2-40B4-BE49-F238E27FC236}">
              <a16:creationId xmlns:a16="http://schemas.microsoft.com/office/drawing/2014/main" id="{6DC398B1-5734-14C7-15EE-3953F57E5973}"/>
            </a:ext>
          </a:extLst>
        </xdr:cNvPr>
        <xdr:cNvSpPr/>
      </xdr:nvSpPr>
      <xdr:spPr>
        <a:xfrm>
          <a:off x="1431925" y="6997700"/>
          <a:ext cx="76200" cy="76200"/>
        </a:xfrm>
        <a:prstGeom prst="ellipse">
          <a:avLst/>
        </a:prstGeom>
        <a:solidFill>
          <a:srgbClr val="FFFFFF"/>
        </a:solidFill>
        <a:ln w="15240">
          <a:solidFill>
            <a:srgbClr val="003F8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1520825</xdr:colOff>
      <xdr:row>24</xdr:row>
      <xdr:rowOff>210457</xdr:rowOff>
    </xdr:from>
    <xdr:to>
      <xdr:col>1</xdr:col>
      <xdr:colOff>40368</xdr:colOff>
      <xdr:row>25</xdr:row>
      <xdr:rowOff>67129</xdr:rowOff>
    </xdr:to>
    <xdr:cxnSp macro="">
      <xdr:nvCxnSpPr>
        <xdr:cNvPr id="1098" name="SCHEMA_T05_FRENO_COLLEGAMENTO">
          <a:extLst>
            <a:ext uri="{FF2B5EF4-FFF2-40B4-BE49-F238E27FC236}">
              <a16:creationId xmlns:a16="http://schemas.microsoft.com/office/drawing/2014/main" id="{863200F6-4087-197C-148E-44749CFB3BAC}"/>
            </a:ext>
          </a:extLst>
        </xdr:cNvPr>
        <xdr:cNvCxnSpPr/>
      </xdr:nvCxnSpPr>
      <xdr:spPr>
        <a:xfrm flipH="1" flipV="1">
          <a:off x="1520825" y="6959600"/>
          <a:ext cx="152400" cy="101600"/>
        </a:xfrm>
        <a:prstGeom prst="line">
          <a:avLst/>
        </a:prstGeom>
        <a:ln w="15240">
          <a:solidFill>
            <a:srgbClr val="003F87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1076325</xdr:colOff>
      <xdr:row>23</xdr:row>
      <xdr:rowOff>226786</xdr:rowOff>
    </xdr:from>
    <xdr:to>
      <xdr:col>1</xdr:col>
      <xdr:colOff>78468</xdr:colOff>
      <xdr:row>24</xdr:row>
      <xdr:rowOff>121557</xdr:rowOff>
    </xdr:to>
    <xdr:sp macro="" textlink="">
      <xdr:nvSpPr>
        <xdr:cNvPr id="1099" name="SCHEMA_T05_FRENO_LBL">
          <a:extLst>
            <a:ext uri="{FF2B5EF4-FFF2-40B4-BE49-F238E27FC236}">
              <a16:creationId xmlns:a16="http://schemas.microsoft.com/office/drawing/2014/main" id="{6CD9A1CE-4156-9DE2-3772-3E7CB78A2F69}"/>
            </a:ext>
          </a:extLst>
        </xdr:cNvPr>
        <xdr:cNvSpPr txBox="1"/>
      </xdr:nvSpPr>
      <xdr:spPr>
        <a:xfrm>
          <a:off x="1076325" y="6731000"/>
          <a:ext cx="635000" cy="139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s-ES" sz="650" b="1">
              <a:solidFill>
                <a:srgbClr val="003F87"/>
              </a:solidFill>
            </a:rPr>
            <a:t>FRENO</a:t>
          </a:r>
        </a:p>
      </xdr:txBody>
    </xdr:sp>
    <xdr:clientData/>
  </xdr:twoCellAnchor>
  <xdr:twoCellAnchor>
    <xdr:from>
      <xdr:col>27</xdr:col>
      <xdr:colOff>133804</xdr:colOff>
      <xdr:row>24</xdr:row>
      <xdr:rowOff>146957</xdr:rowOff>
    </xdr:from>
    <xdr:to>
      <xdr:col>28</xdr:col>
      <xdr:colOff>52161</xdr:colOff>
      <xdr:row>25</xdr:row>
      <xdr:rowOff>29029</xdr:rowOff>
    </xdr:to>
    <xdr:sp macro="" textlink="">
      <xdr:nvSpPr>
        <xdr:cNvPr id="1100" name="SCHEMA_T05_ARGANO_CORPO">
          <a:extLst>
            <a:ext uri="{FF2B5EF4-FFF2-40B4-BE49-F238E27FC236}">
              <a16:creationId xmlns:a16="http://schemas.microsoft.com/office/drawing/2014/main" id="{5735BFF5-FE38-D81D-B32F-E607AE31443E}"/>
            </a:ext>
          </a:extLst>
        </xdr:cNvPr>
        <xdr:cNvSpPr/>
      </xdr:nvSpPr>
      <xdr:spPr>
        <a:xfrm>
          <a:off x="10493375" y="6896100"/>
          <a:ext cx="254000" cy="127000"/>
        </a:xfrm>
        <a:prstGeom prst="rect">
          <a:avLst/>
        </a:prstGeom>
        <a:solidFill>
          <a:srgbClr val="F47C00">
            <a:alpha val="90000"/>
          </a:srgbClr>
        </a:solidFill>
        <a:ln w="17780"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27</xdr:col>
      <xdr:colOff>146504</xdr:colOff>
      <xdr:row>25</xdr:row>
      <xdr:rowOff>3629</xdr:rowOff>
    </xdr:from>
    <xdr:to>
      <xdr:col>27</xdr:col>
      <xdr:colOff>222704</xdr:colOff>
      <xdr:row>25</xdr:row>
      <xdr:rowOff>79829</xdr:rowOff>
    </xdr:to>
    <xdr:sp macro="" textlink="">
      <xdr:nvSpPr>
        <xdr:cNvPr id="1101" name="SCHEMA_T05_ARGANO_RUOTA_1">
          <a:extLst>
            <a:ext uri="{FF2B5EF4-FFF2-40B4-BE49-F238E27FC236}">
              <a16:creationId xmlns:a16="http://schemas.microsoft.com/office/drawing/2014/main" id="{FF71D187-531C-DA77-CEA0-BF46D804DE92}"/>
            </a:ext>
          </a:extLst>
        </xdr:cNvPr>
        <xdr:cNvSpPr/>
      </xdr:nvSpPr>
      <xdr:spPr>
        <a:xfrm>
          <a:off x="10506075" y="6997700"/>
          <a:ext cx="76200" cy="76200"/>
        </a:xfrm>
        <a:prstGeom prst="ellipse">
          <a:avLst/>
        </a:prstGeom>
        <a:solidFill>
          <a:srgbClr val="FFFFFF"/>
        </a:solidFill>
        <a:ln w="15240"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27</xdr:col>
      <xdr:colOff>298904</xdr:colOff>
      <xdr:row>25</xdr:row>
      <xdr:rowOff>3629</xdr:rowOff>
    </xdr:from>
    <xdr:to>
      <xdr:col>28</xdr:col>
      <xdr:colOff>39461</xdr:colOff>
      <xdr:row>25</xdr:row>
      <xdr:rowOff>79829</xdr:rowOff>
    </xdr:to>
    <xdr:sp macro="" textlink="">
      <xdr:nvSpPr>
        <xdr:cNvPr id="1102" name="SCHEMA_T05_ARGANO_RUOTA_2">
          <a:extLst>
            <a:ext uri="{FF2B5EF4-FFF2-40B4-BE49-F238E27FC236}">
              <a16:creationId xmlns:a16="http://schemas.microsoft.com/office/drawing/2014/main" id="{050C64B6-6AC0-9FAF-6D8F-0D9B2A5D36F9}"/>
            </a:ext>
          </a:extLst>
        </xdr:cNvPr>
        <xdr:cNvSpPr/>
      </xdr:nvSpPr>
      <xdr:spPr>
        <a:xfrm>
          <a:off x="10658475" y="6997700"/>
          <a:ext cx="76200" cy="76200"/>
        </a:xfrm>
        <a:prstGeom prst="ellipse">
          <a:avLst/>
        </a:prstGeom>
        <a:solidFill>
          <a:srgbClr val="FFFFFF"/>
        </a:solidFill>
        <a:ln w="15240"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26</xdr:col>
      <xdr:colOff>317046</xdr:colOff>
      <xdr:row>24</xdr:row>
      <xdr:rowOff>210457</xdr:rowOff>
    </xdr:from>
    <xdr:to>
      <xdr:col>27</xdr:col>
      <xdr:colOff>133804</xdr:colOff>
      <xdr:row>25</xdr:row>
      <xdr:rowOff>67129</xdr:rowOff>
    </xdr:to>
    <xdr:cxnSp macro="">
      <xdr:nvCxnSpPr>
        <xdr:cNvPr id="1103" name="SCHEMA_T05_ARGANO_COLLEGAMENTO">
          <a:extLst>
            <a:ext uri="{FF2B5EF4-FFF2-40B4-BE49-F238E27FC236}">
              <a16:creationId xmlns:a16="http://schemas.microsoft.com/office/drawing/2014/main" id="{F3E7632C-FF56-2014-8BD0-F79885D01BF4}"/>
            </a:ext>
          </a:extLst>
        </xdr:cNvPr>
        <xdr:cNvCxnSpPr/>
      </xdr:nvCxnSpPr>
      <xdr:spPr>
        <a:xfrm flipV="1">
          <a:off x="10340975" y="6959600"/>
          <a:ext cx="152400" cy="101600"/>
        </a:xfrm>
        <a:prstGeom prst="line">
          <a:avLst/>
        </a:prstGeom>
        <a:ln w="15240">
          <a:solidFill>
            <a:srgbClr val="F47C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278946</xdr:colOff>
      <xdr:row>23</xdr:row>
      <xdr:rowOff>226786</xdr:rowOff>
    </xdr:from>
    <xdr:to>
      <xdr:col>28</xdr:col>
      <xdr:colOff>242661</xdr:colOff>
      <xdr:row>24</xdr:row>
      <xdr:rowOff>121557</xdr:rowOff>
    </xdr:to>
    <xdr:sp macro="" textlink="">
      <xdr:nvSpPr>
        <xdr:cNvPr id="1104" name="SCHEMA_T05_ARGANO_LBL">
          <a:extLst>
            <a:ext uri="{FF2B5EF4-FFF2-40B4-BE49-F238E27FC236}">
              <a16:creationId xmlns:a16="http://schemas.microsoft.com/office/drawing/2014/main" id="{C04C4593-E2E0-F3B0-1D0A-40CDE69EE1F1}"/>
            </a:ext>
          </a:extLst>
        </xdr:cNvPr>
        <xdr:cNvSpPr txBox="1"/>
      </xdr:nvSpPr>
      <xdr:spPr>
        <a:xfrm>
          <a:off x="10302875" y="6731000"/>
          <a:ext cx="635000" cy="139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s-ES" sz="650" b="1">
              <a:solidFill>
                <a:srgbClr val="F47C00"/>
              </a:solidFill>
            </a:rPr>
            <a:t>ARGANO</a:t>
          </a:r>
        </a:p>
      </xdr:txBody>
    </xdr:sp>
    <xdr:clientData/>
  </xdr:twoCellAnchor>
  <xdr:twoCellAnchor>
    <xdr:from>
      <xdr:col>1</xdr:col>
      <xdr:colOff>40368</xdr:colOff>
      <xdr:row>25</xdr:row>
      <xdr:rowOff>117929</xdr:rowOff>
    </xdr:from>
    <xdr:to>
      <xdr:col>1</xdr:col>
      <xdr:colOff>40368</xdr:colOff>
      <xdr:row>25</xdr:row>
      <xdr:rowOff>194129</xdr:rowOff>
    </xdr:to>
    <xdr:cxnSp macro="">
      <xdr:nvCxnSpPr>
        <xdr:cNvPr id="1105" name="SCHEMA_T05_TERRA_01_V">
          <a:extLst>
            <a:ext uri="{FF2B5EF4-FFF2-40B4-BE49-F238E27FC236}">
              <a16:creationId xmlns:a16="http://schemas.microsoft.com/office/drawing/2014/main" id="{E46F6287-8517-BBF4-AD37-1832CE079C71}"/>
            </a:ext>
          </a:extLst>
        </xdr:cNvPr>
        <xdr:cNvCxnSpPr/>
      </xdr:nvCxnSpPr>
      <xdr:spPr>
        <a:xfrm>
          <a:off x="1673225" y="7112000"/>
          <a:ext cx="0" cy="7620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1609725</xdr:colOff>
      <xdr:row>25</xdr:row>
      <xdr:rowOff>194129</xdr:rowOff>
    </xdr:from>
    <xdr:to>
      <xdr:col>1</xdr:col>
      <xdr:colOff>103868</xdr:colOff>
      <xdr:row>25</xdr:row>
      <xdr:rowOff>194129</xdr:rowOff>
    </xdr:to>
    <xdr:cxnSp macro="">
      <xdr:nvCxnSpPr>
        <xdr:cNvPr id="1106" name="SCHEMA_T05_TERRA_01_1">
          <a:extLst>
            <a:ext uri="{FF2B5EF4-FFF2-40B4-BE49-F238E27FC236}">
              <a16:creationId xmlns:a16="http://schemas.microsoft.com/office/drawing/2014/main" id="{CD397A5C-FBD1-3484-7F93-2D14942BBFB6}"/>
            </a:ext>
          </a:extLst>
        </xdr:cNvPr>
        <xdr:cNvCxnSpPr/>
      </xdr:nvCxnSpPr>
      <xdr:spPr>
        <a:xfrm>
          <a:off x="1609725" y="7188200"/>
          <a:ext cx="1270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1628775</xdr:colOff>
      <xdr:row>25</xdr:row>
      <xdr:rowOff>222069</xdr:rowOff>
    </xdr:from>
    <xdr:to>
      <xdr:col>1</xdr:col>
      <xdr:colOff>84818</xdr:colOff>
      <xdr:row>25</xdr:row>
      <xdr:rowOff>222069</xdr:rowOff>
    </xdr:to>
    <xdr:cxnSp macro="">
      <xdr:nvCxnSpPr>
        <xdr:cNvPr id="1107" name="SCHEMA_T05_TERRA_01_2">
          <a:extLst>
            <a:ext uri="{FF2B5EF4-FFF2-40B4-BE49-F238E27FC236}">
              <a16:creationId xmlns:a16="http://schemas.microsoft.com/office/drawing/2014/main" id="{F72FDDC7-794A-0F11-FF4B-17D1DBB68428}"/>
            </a:ext>
          </a:extLst>
        </xdr:cNvPr>
        <xdr:cNvCxnSpPr/>
      </xdr:nvCxnSpPr>
      <xdr:spPr>
        <a:xfrm>
          <a:off x="1628775" y="7216140"/>
          <a:ext cx="889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14968</xdr:colOff>
      <xdr:row>26</xdr:row>
      <xdr:rowOff>5080</xdr:rowOff>
    </xdr:from>
    <xdr:to>
      <xdr:col>1</xdr:col>
      <xdr:colOff>65768</xdr:colOff>
      <xdr:row>26</xdr:row>
      <xdr:rowOff>5080</xdr:rowOff>
    </xdr:to>
    <xdr:cxnSp macro="">
      <xdr:nvCxnSpPr>
        <xdr:cNvPr id="1108" name="SCHEMA_T05_TERRA_01_3">
          <a:extLst>
            <a:ext uri="{FF2B5EF4-FFF2-40B4-BE49-F238E27FC236}">
              <a16:creationId xmlns:a16="http://schemas.microsoft.com/office/drawing/2014/main" id="{721DE407-8161-FAC8-A537-8D65BF61401F}"/>
            </a:ext>
          </a:extLst>
        </xdr:cNvPr>
        <xdr:cNvCxnSpPr/>
      </xdr:nvCxnSpPr>
      <xdr:spPr>
        <a:xfrm>
          <a:off x="1647825" y="7244080"/>
          <a:ext cx="508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22225</xdr:colOff>
      <xdr:row>25</xdr:row>
      <xdr:rowOff>117929</xdr:rowOff>
    </xdr:from>
    <xdr:to>
      <xdr:col>9</xdr:col>
      <xdr:colOff>22225</xdr:colOff>
      <xdr:row>25</xdr:row>
      <xdr:rowOff>194129</xdr:rowOff>
    </xdr:to>
    <xdr:cxnSp macro="">
      <xdr:nvCxnSpPr>
        <xdr:cNvPr id="1109" name="SCHEMA_T05_TERRA_05_V">
          <a:extLst>
            <a:ext uri="{FF2B5EF4-FFF2-40B4-BE49-F238E27FC236}">
              <a16:creationId xmlns:a16="http://schemas.microsoft.com/office/drawing/2014/main" id="{68377B7F-BDEC-172C-907D-4C1DC3158627}"/>
            </a:ext>
          </a:extLst>
        </xdr:cNvPr>
        <xdr:cNvCxnSpPr/>
      </xdr:nvCxnSpPr>
      <xdr:spPr>
        <a:xfrm>
          <a:off x="4340225" y="7112000"/>
          <a:ext cx="0" cy="7620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294368</xdr:colOff>
      <xdr:row>25</xdr:row>
      <xdr:rowOff>194129</xdr:rowOff>
    </xdr:from>
    <xdr:to>
      <xdr:col>9</xdr:col>
      <xdr:colOff>85725</xdr:colOff>
      <xdr:row>25</xdr:row>
      <xdr:rowOff>194129</xdr:rowOff>
    </xdr:to>
    <xdr:cxnSp macro="">
      <xdr:nvCxnSpPr>
        <xdr:cNvPr id="1110" name="SCHEMA_T05_TERRA_05_1">
          <a:extLst>
            <a:ext uri="{FF2B5EF4-FFF2-40B4-BE49-F238E27FC236}">
              <a16:creationId xmlns:a16="http://schemas.microsoft.com/office/drawing/2014/main" id="{79F6BC8C-F74D-EA71-9B28-007018B3263F}"/>
            </a:ext>
          </a:extLst>
        </xdr:cNvPr>
        <xdr:cNvCxnSpPr/>
      </xdr:nvCxnSpPr>
      <xdr:spPr>
        <a:xfrm>
          <a:off x="4276725" y="7188200"/>
          <a:ext cx="1270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313418</xdr:colOff>
      <xdr:row>25</xdr:row>
      <xdr:rowOff>222069</xdr:rowOff>
    </xdr:from>
    <xdr:to>
      <xdr:col>9</xdr:col>
      <xdr:colOff>66675</xdr:colOff>
      <xdr:row>25</xdr:row>
      <xdr:rowOff>222069</xdr:rowOff>
    </xdr:to>
    <xdr:cxnSp macro="">
      <xdr:nvCxnSpPr>
        <xdr:cNvPr id="1111" name="SCHEMA_T05_TERRA_05_2">
          <a:extLst>
            <a:ext uri="{FF2B5EF4-FFF2-40B4-BE49-F238E27FC236}">
              <a16:creationId xmlns:a16="http://schemas.microsoft.com/office/drawing/2014/main" id="{6AA4B4CB-E4DD-F68F-BCC8-96C8E80CC78F}"/>
            </a:ext>
          </a:extLst>
        </xdr:cNvPr>
        <xdr:cNvCxnSpPr/>
      </xdr:nvCxnSpPr>
      <xdr:spPr>
        <a:xfrm>
          <a:off x="4295775" y="7216140"/>
          <a:ext cx="889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332468</xdr:colOff>
      <xdr:row>26</xdr:row>
      <xdr:rowOff>5080</xdr:rowOff>
    </xdr:from>
    <xdr:to>
      <xdr:col>9</xdr:col>
      <xdr:colOff>47625</xdr:colOff>
      <xdr:row>26</xdr:row>
      <xdr:rowOff>5080</xdr:rowOff>
    </xdr:to>
    <xdr:cxnSp macro="">
      <xdr:nvCxnSpPr>
        <xdr:cNvPr id="1112" name="SCHEMA_T05_TERRA_05_3">
          <a:extLst>
            <a:ext uri="{FF2B5EF4-FFF2-40B4-BE49-F238E27FC236}">
              <a16:creationId xmlns:a16="http://schemas.microsoft.com/office/drawing/2014/main" id="{9D34B2E7-96B5-3E7B-C312-6D321F8A46EB}"/>
            </a:ext>
          </a:extLst>
        </xdr:cNvPr>
        <xdr:cNvCxnSpPr/>
      </xdr:nvCxnSpPr>
      <xdr:spPr>
        <a:xfrm>
          <a:off x="4314825" y="7244080"/>
          <a:ext cx="508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4082</xdr:colOff>
      <xdr:row>25</xdr:row>
      <xdr:rowOff>117929</xdr:rowOff>
    </xdr:from>
    <xdr:to>
      <xdr:col>17</xdr:col>
      <xdr:colOff>4082</xdr:colOff>
      <xdr:row>25</xdr:row>
      <xdr:rowOff>194129</xdr:rowOff>
    </xdr:to>
    <xdr:cxnSp macro="">
      <xdr:nvCxnSpPr>
        <xdr:cNvPr id="1113" name="SCHEMA_T05_TERRA_09_V">
          <a:extLst>
            <a:ext uri="{FF2B5EF4-FFF2-40B4-BE49-F238E27FC236}">
              <a16:creationId xmlns:a16="http://schemas.microsoft.com/office/drawing/2014/main" id="{F4CD11B6-875D-C5F6-5E54-2E165137F028}"/>
            </a:ext>
          </a:extLst>
        </xdr:cNvPr>
        <xdr:cNvCxnSpPr/>
      </xdr:nvCxnSpPr>
      <xdr:spPr>
        <a:xfrm>
          <a:off x="7007225" y="7112000"/>
          <a:ext cx="0" cy="7620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276225</xdr:colOff>
      <xdr:row>25</xdr:row>
      <xdr:rowOff>194129</xdr:rowOff>
    </xdr:from>
    <xdr:to>
      <xdr:col>17</xdr:col>
      <xdr:colOff>67582</xdr:colOff>
      <xdr:row>25</xdr:row>
      <xdr:rowOff>194129</xdr:rowOff>
    </xdr:to>
    <xdr:cxnSp macro="">
      <xdr:nvCxnSpPr>
        <xdr:cNvPr id="1114" name="SCHEMA_T05_TERRA_09_1">
          <a:extLst>
            <a:ext uri="{FF2B5EF4-FFF2-40B4-BE49-F238E27FC236}">
              <a16:creationId xmlns:a16="http://schemas.microsoft.com/office/drawing/2014/main" id="{BA79F14A-54A0-DA24-2FE5-08E1A4E770A6}"/>
            </a:ext>
          </a:extLst>
        </xdr:cNvPr>
        <xdr:cNvCxnSpPr/>
      </xdr:nvCxnSpPr>
      <xdr:spPr>
        <a:xfrm>
          <a:off x="6943725" y="7188200"/>
          <a:ext cx="1270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295275</xdr:colOff>
      <xdr:row>25</xdr:row>
      <xdr:rowOff>222069</xdr:rowOff>
    </xdr:from>
    <xdr:to>
      <xdr:col>17</xdr:col>
      <xdr:colOff>48532</xdr:colOff>
      <xdr:row>25</xdr:row>
      <xdr:rowOff>222069</xdr:rowOff>
    </xdr:to>
    <xdr:cxnSp macro="">
      <xdr:nvCxnSpPr>
        <xdr:cNvPr id="1115" name="SCHEMA_T05_TERRA_09_2">
          <a:extLst>
            <a:ext uri="{FF2B5EF4-FFF2-40B4-BE49-F238E27FC236}">
              <a16:creationId xmlns:a16="http://schemas.microsoft.com/office/drawing/2014/main" id="{3C814C65-7074-38CD-FF36-68F8B376B332}"/>
            </a:ext>
          </a:extLst>
        </xdr:cNvPr>
        <xdr:cNvCxnSpPr/>
      </xdr:nvCxnSpPr>
      <xdr:spPr>
        <a:xfrm>
          <a:off x="6962775" y="7216140"/>
          <a:ext cx="889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314325</xdr:colOff>
      <xdr:row>26</xdr:row>
      <xdr:rowOff>5080</xdr:rowOff>
    </xdr:from>
    <xdr:to>
      <xdr:col>17</xdr:col>
      <xdr:colOff>29482</xdr:colOff>
      <xdr:row>26</xdr:row>
      <xdr:rowOff>5080</xdr:rowOff>
    </xdr:to>
    <xdr:cxnSp macro="">
      <xdr:nvCxnSpPr>
        <xdr:cNvPr id="1116" name="SCHEMA_T05_TERRA_09_3">
          <a:extLst>
            <a:ext uri="{FF2B5EF4-FFF2-40B4-BE49-F238E27FC236}">
              <a16:creationId xmlns:a16="http://schemas.microsoft.com/office/drawing/2014/main" id="{0E7A3568-08D4-FC0F-8463-A3FB91243E76}"/>
            </a:ext>
          </a:extLst>
        </xdr:cNvPr>
        <xdr:cNvCxnSpPr/>
      </xdr:nvCxnSpPr>
      <xdr:spPr>
        <a:xfrm>
          <a:off x="6981825" y="7244080"/>
          <a:ext cx="508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321582</xdr:colOff>
      <xdr:row>25</xdr:row>
      <xdr:rowOff>117929</xdr:rowOff>
    </xdr:from>
    <xdr:to>
      <xdr:col>24</xdr:col>
      <xdr:colOff>321582</xdr:colOff>
      <xdr:row>25</xdr:row>
      <xdr:rowOff>194129</xdr:rowOff>
    </xdr:to>
    <xdr:cxnSp macro="">
      <xdr:nvCxnSpPr>
        <xdr:cNvPr id="1117" name="SCHEMA_T05_TERRA_13_V">
          <a:extLst>
            <a:ext uri="{FF2B5EF4-FFF2-40B4-BE49-F238E27FC236}">
              <a16:creationId xmlns:a16="http://schemas.microsoft.com/office/drawing/2014/main" id="{AB79CB6F-155F-AD7A-D776-369B115DA693}"/>
            </a:ext>
          </a:extLst>
        </xdr:cNvPr>
        <xdr:cNvCxnSpPr/>
      </xdr:nvCxnSpPr>
      <xdr:spPr>
        <a:xfrm>
          <a:off x="9674225" y="7112000"/>
          <a:ext cx="0" cy="7620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258082</xdr:colOff>
      <xdr:row>25</xdr:row>
      <xdr:rowOff>194129</xdr:rowOff>
    </xdr:from>
    <xdr:to>
      <xdr:col>25</xdr:col>
      <xdr:colOff>49439</xdr:colOff>
      <xdr:row>25</xdr:row>
      <xdr:rowOff>194129</xdr:rowOff>
    </xdr:to>
    <xdr:cxnSp macro="">
      <xdr:nvCxnSpPr>
        <xdr:cNvPr id="1118" name="SCHEMA_T05_TERRA_13_1">
          <a:extLst>
            <a:ext uri="{FF2B5EF4-FFF2-40B4-BE49-F238E27FC236}">
              <a16:creationId xmlns:a16="http://schemas.microsoft.com/office/drawing/2014/main" id="{A6678AD7-6D60-381F-063B-1DDAB8546806}"/>
            </a:ext>
          </a:extLst>
        </xdr:cNvPr>
        <xdr:cNvCxnSpPr/>
      </xdr:nvCxnSpPr>
      <xdr:spPr>
        <a:xfrm>
          <a:off x="9610725" y="7188200"/>
          <a:ext cx="1270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277132</xdr:colOff>
      <xdr:row>25</xdr:row>
      <xdr:rowOff>222069</xdr:rowOff>
    </xdr:from>
    <xdr:to>
      <xdr:col>25</xdr:col>
      <xdr:colOff>30389</xdr:colOff>
      <xdr:row>25</xdr:row>
      <xdr:rowOff>222069</xdr:rowOff>
    </xdr:to>
    <xdr:cxnSp macro="">
      <xdr:nvCxnSpPr>
        <xdr:cNvPr id="1119" name="SCHEMA_T05_TERRA_13_2">
          <a:extLst>
            <a:ext uri="{FF2B5EF4-FFF2-40B4-BE49-F238E27FC236}">
              <a16:creationId xmlns:a16="http://schemas.microsoft.com/office/drawing/2014/main" id="{7A470E84-566A-D051-518D-1C55FBF199B2}"/>
            </a:ext>
          </a:extLst>
        </xdr:cNvPr>
        <xdr:cNvCxnSpPr/>
      </xdr:nvCxnSpPr>
      <xdr:spPr>
        <a:xfrm>
          <a:off x="9629775" y="7216140"/>
          <a:ext cx="889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296182</xdr:colOff>
      <xdr:row>26</xdr:row>
      <xdr:rowOff>5080</xdr:rowOff>
    </xdr:from>
    <xdr:to>
      <xdr:col>25</xdr:col>
      <xdr:colOff>11339</xdr:colOff>
      <xdr:row>26</xdr:row>
      <xdr:rowOff>5080</xdr:rowOff>
    </xdr:to>
    <xdr:cxnSp macro="">
      <xdr:nvCxnSpPr>
        <xdr:cNvPr id="1120" name="SCHEMA_T05_TERRA_13_3">
          <a:extLst>
            <a:ext uri="{FF2B5EF4-FFF2-40B4-BE49-F238E27FC236}">
              <a16:creationId xmlns:a16="http://schemas.microsoft.com/office/drawing/2014/main" id="{E7BA5533-27C7-25FC-A3A6-9880715FF5B6}"/>
            </a:ext>
          </a:extLst>
        </xdr:cNvPr>
        <xdr:cNvCxnSpPr/>
      </xdr:nvCxnSpPr>
      <xdr:spPr>
        <a:xfrm>
          <a:off x="9648825" y="7244080"/>
          <a:ext cx="508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317046</xdr:colOff>
      <xdr:row>25</xdr:row>
      <xdr:rowOff>117929</xdr:rowOff>
    </xdr:from>
    <xdr:to>
      <xdr:col>26</xdr:col>
      <xdr:colOff>317046</xdr:colOff>
      <xdr:row>25</xdr:row>
      <xdr:rowOff>194129</xdr:rowOff>
    </xdr:to>
    <xdr:cxnSp macro="">
      <xdr:nvCxnSpPr>
        <xdr:cNvPr id="1121" name="SCHEMA_T05_TERRA_14_V">
          <a:extLst>
            <a:ext uri="{FF2B5EF4-FFF2-40B4-BE49-F238E27FC236}">
              <a16:creationId xmlns:a16="http://schemas.microsoft.com/office/drawing/2014/main" id="{C574A6E5-8F24-D687-57F4-A46150AF76E5}"/>
            </a:ext>
          </a:extLst>
        </xdr:cNvPr>
        <xdr:cNvCxnSpPr/>
      </xdr:nvCxnSpPr>
      <xdr:spPr>
        <a:xfrm>
          <a:off x="10340975" y="7112000"/>
          <a:ext cx="0" cy="7620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253546</xdr:colOff>
      <xdr:row>25</xdr:row>
      <xdr:rowOff>194129</xdr:rowOff>
    </xdr:from>
    <xdr:to>
      <xdr:col>27</xdr:col>
      <xdr:colOff>44904</xdr:colOff>
      <xdr:row>25</xdr:row>
      <xdr:rowOff>194129</xdr:rowOff>
    </xdr:to>
    <xdr:cxnSp macro="">
      <xdr:nvCxnSpPr>
        <xdr:cNvPr id="1122" name="SCHEMA_T05_TERRA_14_1">
          <a:extLst>
            <a:ext uri="{FF2B5EF4-FFF2-40B4-BE49-F238E27FC236}">
              <a16:creationId xmlns:a16="http://schemas.microsoft.com/office/drawing/2014/main" id="{F39BE4B8-5B24-85C4-D26B-9928461AA765}"/>
            </a:ext>
          </a:extLst>
        </xdr:cNvPr>
        <xdr:cNvCxnSpPr/>
      </xdr:nvCxnSpPr>
      <xdr:spPr>
        <a:xfrm>
          <a:off x="10277475" y="7188200"/>
          <a:ext cx="1270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272596</xdr:colOff>
      <xdr:row>25</xdr:row>
      <xdr:rowOff>222069</xdr:rowOff>
    </xdr:from>
    <xdr:to>
      <xdr:col>27</xdr:col>
      <xdr:colOff>25854</xdr:colOff>
      <xdr:row>25</xdr:row>
      <xdr:rowOff>222069</xdr:rowOff>
    </xdr:to>
    <xdr:cxnSp macro="">
      <xdr:nvCxnSpPr>
        <xdr:cNvPr id="1123" name="SCHEMA_T05_TERRA_14_2">
          <a:extLst>
            <a:ext uri="{FF2B5EF4-FFF2-40B4-BE49-F238E27FC236}">
              <a16:creationId xmlns:a16="http://schemas.microsoft.com/office/drawing/2014/main" id="{2888D8D8-3D3D-E6D9-4C90-D08B58B980B5}"/>
            </a:ext>
          </a:extLst>
        </xdr:cNvPr>
        <xdr:cNvCxnSpPr/>
      </xdr:nvCxnSpPr>
      <xdr:spPr>
        <a:xfrm>
          <a:off x="10296525" y="7216140"/>
          <a:ext cx="889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291646</xdr:colOff>
      <xdr:row>26</xdr:row>
      <xdr:rowOff>5080</xdr:rowOff>
    </xdr:from>
    <xdr:to>
      <xdr:col>27</xdr:col>
      <xdr:colOff>6804</xdr:colOff>
      <xdr:row>26</xdr:row>
      <xdr:rowOff>5080</xdr:rowOff>
    </xdr:to>
    <xdr:cxnSp macro="">
      <xdr:nvCxnSpPr>
        <xdr:cNvPr id="1124" name="SCHEMA_T05_TERRA_14_3">
          <a:extLst>
            <a:ext uri="{FF2B5EF4-FFF2-40B4-BE49-F238E27FC236}">
              <a16:creationId xmlns:a16="http://schemas.microsoft.com/office/drawing/2014/main" id="{BB3042D1-011D-B095-6796-CF3E88D45086}"/>
            </a:ext>
          </a:extLst>
        </xdr:cNvPr>
        <xdr:cNvCxnSpPr/>
      </xdr:nvCxnSpPr>
      <xdr:spPr>
        <a:xfrm>
          <a:off x="10315575" y="7244080"/>
          <a:ext cx="508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97518</xdr:colOff>
      <xdr:row>10</xdr:row>
      <xdr:rowOff>86632</xdr:rowOff>
    </xdr:from>
    <xdr:to>
      <xdr:col>3</xdr:col>
      <xdr:colOff>124732</xdr:colOff>
      <xdr:row>10</xdr:row>
      <xdr:rowOff>239032</xdr:rowOff>
    </xdr:to>
    <xdr:sp macro="" textlink="">
      <xdr:nvSpPr>
        <xdr:cNvPr id="1125" name="SCHEMA_T05_LEG_OPGW">
          <a:extLst>
            <a:ext uri="{FF2B5EF4-FFF2-40B4-BE49-F238E27FC236}">
              <a16:creationId xmlns:a16="http://schemas.microsoft.com/office/drawing/2014/main" id="{64CCB328-D537-BA8A-862B-34BB7FA0552B}"/>
            </a:ext>
          </a:extLst>
        </xdr:cNvPr>
        <xdr:cNvSpPr txBox="1"/>
      </xdr:nvSpPr>
      <xdr:spPr>
        <a:xfrm>
          <a:off x="1730375" y="3406775"/>
          <a:ext cx="6985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s-ES" sz="650" b="1">
              <a:solidFill>
                <a:srgbClr val="00A651"/>
              </a:solidFill>
            </a:rPr>
            <a:t>OPGW</a:t>
          </a:r>
        </a:p>
      </xdr:txBody>
    </xdr:sp>
    <xdr:clientData/>
  </xdr:twoCellAnchor>
  <xdr:twoCellAnchor>
    <xdr:from>
      <xdr:col>1</xdr:col>
      <xdr:colOff>97518</xdr:colOff>
      <xdr:row>10</xdr:row>
      <xdr:rowOff>239032</xdr:rowOff>
    </xdr:from>
    <xdr:to>
      <xdr:col>3</xdr:col>
      <xdr:colOff>124732</xdr:colOff>
      <xdr:row>11</xdr:row>
      <xdr:rowOff>146504</xdr:rowOff>
    </xdr:to>
    <xdr:sp macro="" textlink="">
      <xdr:nvSpPr>
        <xdr:cNvPr id="1126" name="SCHEMA_T05_LEG_C1">
          <a:extLst>
            <a:ext uri="{FF2B5EF4-FFF2-40B4-BE49-F238E27FC236}">
              <a16:creationId xmlns:a16="http://schemas.microsoft.com/office/drawing/2014/main" id="{FA0B82EC-B7F9-C03A-26C7-88E24DB49092}"/>
            </a:ext>
          </a:extLst>
        </xdr:cNvPr>
        <xdr:cNvSpPr txBox="1"/>
      </xdr:nvSpPr>
      <xdr:spPr>
        <a:xfrm>
          <a:off x="1730375" y="3559175"/>
          <a:ext cx="6985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s-ES" sz="650" b="0">
              <a:solidFill>
                <a:srgbClr val="ED1C24"/>
              </a:solidFill>
            </a:rPr>
            <a:t>CIRCUITO 1</a:t>
          </a:r>
        </a:p>
      </xdr:txBody>
    </xdr:sp>
    <xdr:clientData/>
  </xdr:twoCellAnchor>
  <xdr:twoCellAnchor>
    <xdr:from>
      <xdr:col>1</xdr:col>
      <xdr:colOff>97518</xdr:colOff>
      <xdr:row>11</xdr:row>
      <xdr:rowOff>146504</xdr:rowOff>
    </xdr:from>
    <xdr:to>
      <xdr:col>3</xdr:col>
      <xdr:colOff>124732</xdr:colOff>
      <xdr:row>12</xdr:row>
      <xdr:rowOff>53975</xdr:rowOff>
    </xdr:to>
    <xdr:sp macro="" textlink="">
      <xdr:nvSpPr>
        <xdr:cNvPr id="1127" name="SCHEMA_T05_LEG_C2">
          <a:extLst>
            <a:ext uri="{FF2B5EF4-FFF2-40B4-BE49-F238E27FC236}">
              <a16:creationId xmlns:a16="http://schemas.microsoft.com/office/drawing/2014/main" id="{358E9F02-84F3-D788-99B7-7C152F779062}"/>
            </a:ext>
          </a:extLst>
        </xdr:cNvPr>
        <xdr:cNvSpPr txBox="1"/>
      </xdr:nvSpPr>
      <xdr:spPr>
        <a:xfrm>
          <a:off x="1730375" y="3711575"/>
          <a:ext cx="6985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s-ES" sz="650" b="0">
              <a:solidFill>
                <a:srgbClr val="315A9B"/>
              </a:solidFill>
            </a:rPr>
            <a:t>CIRCUITO 2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428750" cy="47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33</xdr:col>
      <xdr:colOff>235856</xdr:colOff>
      <xdr:row>0</xdr:row>
      <xdr:rowOff>254000</xdr:rowOff>
    </xdr:from>
    <xdr:to>
      <xdr:col>41</xdr:col>
      <xdr:colOff>15659</xdr:colOff>
      <xdr:row>9</xdr:row>
      <xdr:rowOff>110376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F3C94C-10A3-5072-F3DC-7C58A7D5F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69142" y="254000"/>
          <a:ext cx="4632563" cy="3067208"/>
        </a:xfrm>
        <a:prstGeom prst="rect">
          <a:avLst/>
        </a:prstGeom>
      </xdr:spPr>
    </xdr:pic>
    <xdr:clientData/>
  </xdr:twoCellAnchor>
  <xdr:twoCellAnchor editAs="oneCell">
    <xdr:from>
      <xdr:col>39</xdr:col>
      <xdr:colOff>293460</xdr:colOff>
      <xdr:row>22</xdr:row>
      <xdr:rowOff>181429</xdr:rowOff>
    </xdr:from>
    <xdr:to>
      <xdr:col>40</xdr:col>
      <xdr:colOff>459739</xdr:colOff>
      <xdr:row>26</xdr:row>
      <xdr:rowOff>128861</xdr:rowOff>
    </xdr:to>
    <xdr:pic>
      <xdr:nvPicPr>
        <xdr:cNvPr id="282" name="SCHEMA_T01_TIERRA_245">
          <a:extLst>
            <a:ext uri="{FF2B5EF4-FFF2-40B4-BE49-F238E27FC236}">
              <a16:creationId xmlns:a16="http://schemas.microsoft.com/office/drawing/2014/main" id="{37F00E1C-00EF-3DD7-3A3A-0D99C12A1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13622" t="1081" r="31243" b="11828"/>
        <a:stretch>
          <a:fillRect/>
        </a:stretch>
      </xdr:blipFill>
      <xdr:spPr>
        <a:xfrm>
          <a:off x="18073460" y="6531429"/>
          <a:ext cx="774065" cy="920796"/>
        </a:xfrm>
        <a:prstGeom prst="rect">
          <a:avLst/>
        </a:prstGeom>
      </xdr:spPr>
    </xdr:pic>
    <xdr:clientData/>
  </xdr:twoCellAnchor>
  <xdr:absoluteAnchor>
    <xdr:pos x="762000" y="6223000"/>
    <xdr:ext cx="929386" cy="657225"/>
    <xdr:pic>
      <xdr:nvPicPr>
        <xdr:cNvPr id="283" name="MACCHINA_FRENO_T06">
          <a:extLst>
            <a:ext uri="{FF2B5EF4-FFF2-40B4-BE49-F238E27FC236}">
              <a16:creationId xmlns:a16="http://schemas.microsoft.com/office/drawing/2014/main" id="{B00FF1B2-6C2D-B867-0AE6-4BDF3DA25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0" y="6223000"/>
          <a:ext cx="926211" cy="657225"/>
        </a:xfrm>
        <a:prstGeom prst="rect">
          <a:avLst/>
        </a:prstGeom>
      </xdr:spPr>
    </xdr:pic>
    <xdr:clientData/>
  </xdr:absoluteAnchor>
  <xdr:absoluteAnchor>
    <xdr:pos x="12364357" y="6576059"/>
    <xdr:ext cx="923036" cy="657225"/>
    <xdr:pic>
      <xdr:nvPicPr>
        <xdr:cNvPr id="284" name="MACCHINA_ARGANO_T06">
          <a:extLst>
            <a:ext uri="{FF2B5EF4-FFF2-40B4-BE49-F238E27FC236}">
              <a16:creationId xmlns:a16="http://schemas.microsoft.com/office/drawing/2014/main" id="{DAA1228C-258C-23CC-83D1-A3BF988D8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364357" y="6576059"/>
          <a:ext cx="923036" cy="657225"/>
        </a:xfrm>
        <a:prstGeom prst="rect">
          <a:avLst/>
        </a:prstGeom>
      </xdr:spPr>
    </xdr:pic>
    <xdr:clientData/>
  </xdr:absoluteAnchor>
  <xdr:absoluteAnchor>
    <xdr:pos x="2115273" y="3810000"/>
    <xdr:ext cx="415290" cy="508000"/>
    <xdr:pic>
      <xdr:nvPicPr>
        <xdr:cNvPr id="285" name="PAT_T06_1">
          <a:extLst>
            <a:ext uri="{FF2B5EF4-FFF2-40B4-BE49-F238E27FC236}">
              <a16:creationId xmlns:a16="http://schemas.microsoft.com/office/drawing/2014/main" id="{D8432AE6-91F9-3619-8520-BC95BB38B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15273" y="3810000"/>
          <a:ext cx="415290" cy="508000"/>
        </a:xfrm>
        <a:prstGeom prst="rect">
          <a:avLst/>
        </a:prstGeom>
      </xdr:spPr>
    </xdr:pic>
    <xdr:clientData/>
  </xdr:absoluteAnchor>
  <xdr:absoluteAnchor>
    <xdr:pos x="4401273" y="3810000"/>
    <xdr:ext cx="415290" cy="508000"/>
    <xdr:pic>
      <xdr:nvPicPr>
        <xdr:cNvPr id="286" name="PAT_T06_4">
          <a:extLst>
            <a:ext uri="{FF2B5EF4-FFF2-40B4-BE49-F238E27FC236}">
              <a16:creationId xmlns:a16="http://schemas.microsoft.com/office/drawing/2014/main" id="{07A441E3-1EE9-C5F4-69BE-3A0648B72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01273" y="3810000"/>
          <a:ext cx="415290" cy="508000"/>
        </a:xfrm>
        <a:prstGeom prst="rect">
          <a:avLst/>
        </a:prstGeom>
      </xdr:spPr>
    </xdr:pic>
    <xdr:clientData/>
  </xdr:absoluteAnchor>
  <xdr:absoluteAnchor>
    <xdr:pos x="6687273" y="3810000"/>
    <xdr:ext cx="415290" cy="508000"/>
    <xdr:pic>
      <xdr:nvPicPr>
        <xdr:cNvPr id="287" name="PAT_T06_7">
          <a:extLst>
            <a:ext uri="{FF2B5EF4-FFF2-40B4-BE49-F238E27FC236}">
              <a16:creationId xmlns:a16="http://schemas.microsoft.com/office/drawing/2014/main" id="{F9B4E16F-759B-DFE7-E920-81C95C818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87273" y="3810000"/>
          <a:ext cx="415290" cy="508000"/>
        </a:xfrm>
        <a:prstGeom prst="rect">
          <a:avLst/>
        </a:prstGeom>
      </xdr:spPr>
    </xdr:pic>
    <xdr:clientData/>
  </xdr:absoluteAnchor>
  <xdr:absoluteAnchor>
    <xdr:pos x="8973273" y="3810000"/>
    <xdr:ext cx="415290" cy="508000"/>
    <xdr:pic>
      <xdr:nvPicPr>
        <xdr:cNvPr id="288" name="PAT_T06_10">
          <a:extLst>
            <a:ext uri="{FF2B5EF4-FFF2-40B4-BE49-F238E27FC236}">
              <a16:creationId xmlns:a16="http://schemas.microsoft.com/office/drawing/2014/main" id="{C7FA5B3B-522B-75E6-378E-D82255D5B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973273" y="3810000"/>
          <a:ext cx="415290" cy="508000"/>
        </a:xfrm>
        <a:prstGeom prst="rect">
          <a:avLst/>
        </a:prstGeom>
      </xdr:spPr>
    </xdr:pic>
    <xdr:clientData/>
  </xdr:absoluteAnchor>
  <xdr:absoluteAnchor>
    <xdr:pos x="11259273" y="3810000"/>
    <xdr:ext cx="415290" cy="508000"/>
    <xdr:pic>
      <xdr:nvPicPr>
        <xdr:cNvPr id="289" name="PAT_T06_13">
          <a:extLst>
            <a:ext uri="{FF2B5EF4-FFF2-40B4-BE49-F238E27FC236}">
              <a16:creationId xmlns:a16="http://schemas.microsoft.com/office/drawing/2014/main" id="{04499630-D62F-2DC0-6DA6-BF9438E8D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259273" y="3810000"/>
          <a:ext cx="415290" cy="508000"/>
        </a:xfrm>
        <a:prstGeom prst="rect">
          <a:avLst/>
        </a:prstGeom>
      </xdr:spPr>
    </xdr:pic>
    <xdr:clientData/>
  </xdr:absoluteAnchor>
  <xdr:absoluteAnchor>
    <xdr:pos x="13545273" y="3810000"/>
    <xdr:ext cx="415290" cy="508000"/>
    <xdr:pic>
      <xdr:nvPicPr>
        <xdr:cNvPr id="290" name="PAT_T06_16">
          <a:extLst>
            <a:ext uri="{FF2B5EF4-FFF2-40B4-BE49-F238E27FC236}">
              <a16:creationId xmlns:a16="http://schemas.microsoft.com/office/drawing/2014/main" id="{CCE59FF5-F8A4-2602-7848-542ED6D5C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45273" y="3810000"/>
          <a:ext cx="415290" cy="508000"/>
        </a:xfrm>
        <a:prstGeom prst="rect">
          <a:avLst/>
        </a:prstGeom>
      </xdr:spPr>
    </xdr:pic>
    <xdr:clientData/>
  </xdr:absoluteAnchor>
  <xdr:twoCellAnchor>
    <xdr:from>
      <xdr:col>0</xdr:col>
      <xdr:colOff>1628775</xdr:colOff>
      <xdr:row>25</xdr:row>
      <xdr:rowOff>130629</xdr:rowOff>
    </xdr:from>
    <xdr:to>
      <xdr:col>32</xdr:col>
      <xdr:colOff>258989</xdr:colOff>
      <xdr:row>25</xdr:row>
      <xdr:rowOff>130629</xdr:rowOff>
    </xdr:to>
    <xdr:cxnSp macro="">
      <xdr:nvCxnSpPr>
        <xdr:cNvPr id="4" name="SCHEMA_T06_TERRENO">
          <a:extLst>
            <a:ext uri="{FF2B5EF4-FFF2-40B4-BE49-F238E27FC236}">
              <a16:creationId xmlns:a16="http://schemas.microsoft.com/office/drawing/2014/main" id="{4BE4CAA7-833F-10F4-DE54-FB2BE7C45463}"/>
            </a:ext>
          </a:extLst>
        </xdr:cNvPr>
        <xdr:cNvCxnSpPr/>
      </xdr:nvCxnSpPr>
      <xdr:spPr>
        <a:xfrm>
          <a:off x="1628775" y="7124700"/>
          <a:ext cx="10668000" cy="0"/>
        </a:xfrm>
        <a:prstGeom prst="line">
          <a:avLst/>
        </a:prstGeom>
        <a:ln w="15240">
          <a:solidFill>
            <a:srgbClr val="80808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1628775</xdr:colOff>
      <xdr:row>14</xdr:row>
      <xdr:rowOff>173967</xdr:rowOff>
    </xdr:from>
    <xdr:to>
      <xdr:col>1</xdr:col>
      <xdr:colOff>40368</xdr:colOff>
      <xdr:row>25</xdr:row>
      <xdr:rowOff>130629</xdr:rowOff>
    </xdr:to>
    <xdr:cxnSp macro="">
      <xdr:nvCxnSpPr>
        <xdr:cNvPr id="5" name="SCHEMA_T06_SOSTEGNO_01_SX">
          <a:extLst>
            <a:ext uri="{FF2B5EF4-FFF2-40B4-BE49-F238E27FC236}">
              <a16:creationId xmlns:a16="http://schemas.microsoft.com/office/drawing/2014/main" id="{E54929F0-4F9E-406A-C944-63DF9B79877D}"/>
            </a:ext>
          </a:extLst>
        </xdr:cNvPr>
        <xdr:cNvCxnSpPr/>
      </xdr:nvCxnSpPr>
      <xdr:spPr>
        <a:xfrm flipV="1">
          <a:off x="1628775" y="4473824"/>
          <a:ext cx="44450" cy="2650876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40368</xdr:colOff>
      <xdr:row>14</xdr:row>
      <xdr:rowOff>173967</xdr:rowOff>
    </xdr:from>
    <xdr:to>
      <xdr:col>1</xdr:col>
      <xdr:colOff>84818</xdr:colOff>
      <xdr:row>25</xdr:row>
      <xdr:rowOff>130629</xdr:rowOff>
    </xdr:to>
    <xdr:cxnSp macro="">
      <xdr:nvCxnSpPr>
        <xdr:cNvPr id="6" name="SCHEMA_T06_SOSTEGNO_01_DX">
          <a:extLst>
            <a:ext uri="{FF2B5EF4-FFF2-40B4-BE49-F238E27FC236}">
              <a16:creationId xmlns:a16="http://schemas.microsoft.com/office/drawing/2014/main" id="{FED5ACF1-6DEF-4A01-3438-5F5B9AF33E32}"/>
            </a:ext>
          </a:extLst>
        </xdr:cNvPr>
        <xdr:cNvCxnSpPr/>
      </xdr:nvCxnSpPr>
      <xdr:spPr>
        <a:xfrm flipH="1" flipV="1">
          <a:off x="1673225" y="4473824"/>
          <a:ext cx="44450" cy="2650876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1628775</xdr:colOff>
      <xdr:row>16</xdr:row>
      <xdr:rowOff>161268</xdr:rowOff>
    </xdr:from>
    <xdr:to>
      <xdr:col>1</xdr:col>
      <xdr:colOff>84818</xdr:colOff>
      <xdr:row>16</xdr:row>
      <xdr:rowOff>161268</xdr:rowOff>
    </xdr:to>
    <xdr:cxnSp macro="">
      <xdr:nvCxnSpPr>
        <xdr:cNvPr id="7" name="SCHEMA_T06_SOSTEGNO_01_TR1">
          <a:extLst>
            <a:ext uri="{FF2B5EF4-FFF2-40B4-BE49-F238E27FC236}">
              <a16:creationId xmlns:a16="http://schemas.microsoft.com/office/drawing/2014/main" id="{4E8234B8-D1F0-A164-0BF7-53B9D04D3609}"/>
            </a:ext>
          </a:extLst>
        </xdr:cNvPr>
        <xdr:cNvCxnSpPr/>
      </xdr:nvCxnSpPr>
      <xdr:spPr>
        <a:xfrm>
          <a:off x="1628775" y="4950982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1628775</xdr:colOff>
      <xdr:row>17</xdr:row>
      <xdr:rowOff>234444</xdr:rowOff>
    </xdr:from>
    <xdr:to>
      <xdr:col>1</xdr:col>
      <xdr:colOff>84818</xdr:colOff>
      <xdr:row>17</xdr:row>
      <xdr:rowOff>234444</xdr:rowOff>
    </xdr:to>
    <xdr:cxnSp macro="">
      <xdr:nvCxnSpPr>
        <xdr:cNvPr id="8" name="SCHEMA_T06_SOSTEGNO_01_TR2">
          <a:extLst>
            <a:ext uri="{FF2B5EF4-FFF2-40B4-BE49-F238E27FC236}">
              <a16:creationId xmlns:a16="http://schemas.microsoft.com/office/drawing/2014/main" id="{78996918-E71F-1FEF-B26B-CF70C3D21D47}"/>
            </a:ext>
          </a:extLst>
        </xdr:cNvPr>
        <xdr:cNvCxnSpPr/>
      </xdr:nvCxnSpPr>
      <xdr:spPr>
        <a:xfrm>
          <a:off x="1628775" y="5269087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1628775</xdr:colOff>
      <xdr:row>19</xdr:row>
      <xdr:rowOff>62692</xdr:rowOff>
    </xdr:from>
    <xdr:to>
      <xdr:col>1</xdr:col>
      <xdr:colOff>84818</xdr:colOff>
      <xdr:row>19</xdr:row>
      <xdr:rowOff>62692</xdr:rowOff>
    </xdr:to>
    <xdr:cxnSp macro="">
      <xdr:nvCxnSpPr>
        <xdr:cNvPr id="9" name="SCHEMA_T06_SOSTEGNO_01_TR3">
          <a:extLst>
            <a:ext uri="{FF2B5EF4-FFF2-40B4-BE49-F238E27FC236}">
              <a16:creationId xmlns:a16="http://schemas.microsoft.com/office/drawing/2014/main" id="{7E1314EC-F86D-0415-03E9-D947F22815EE}"/>
            </a:ext>
          </a:extLst>
        </xdr:cNvPr>
        <xdr:cNvCxnSpPr/>
      </xdr:nvCxnSpPr>
      <xdr:spPr>
        <a:xfrm>
          <a:off x="1628775" y="5587192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327025</xdr:colOff>
      <xdr:row>15</xdr:row>
      <xdr:rowOff>134936</xdr:rowOff>
    </xdr:from>
    <xdr:to>
      <xdr:col>3</xdr:col>
      <xdr:colOff>35832</xdr:colOff>
      <xdr:row>25</xdr:row>
      <xdr:rowOff>130629</xdr:rowOff>
    </xdr:to>
    <xdr:cxnSp macro="">
      <xdr:nvCxnSpPr>
        <xdr:cNvPr id="10" name="SCHEMA_T06_SOSTEGNO_02_SX">
          <a:extLst>
            <a:ext uri="{FF2B5EF4-FFF2-40B4-BE49-F238E27FC236}">
              <a16:creationId xmlns:a16="http://schemas.microsoft.com/office/drawing/2014/main" id="{B407E395-322E-6A0D-759A-0068BC43C59E}"/>
            </a:ext>
          </a:extLst>
        </xdr:cNvPr>
        <xdr:cNvCxnSpPr/>
      </xdr:nvCxnSpPr>
      <xdr:spPr>
        <a:xfrm flipV="1">
          <a:off x="2295525" y="4679722"/>
          <a:ext cx="44450" cy="2444978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35832</xdr:colOff>
      <xdr:row>15</xdr:row>
      <xdr:rowOff>134936</xdr:rowOff>
    </xdr:from>
    <xdr:to>
      <xdr:col>3</xdr:col>
      <xdr:colOff>80282</xdr:colOff>
      <xdr:row>25</xdr:row>
      <xdr:rowOff>130629</xdr:rowOff>
    </xdr:to>
    <xdr:cxnSp macro="">
      <xdr:nvCxnSpPr>
        <xdr:cNvPr id="11" name="SCHEMA_T06_SOSTEGNO_02_DX">
          <a:extLst>
            <a:ext uri="{FF2B5EF4-FFF2-40B4-BE49-F238E27FC236}">
              <a16:creationId xmlns:a16="http://schemas.microsoft.com/office/drawing/2014/main" id="{85D95C18-72C1-5673-3F75-101308CEDD5A}"/>
            </a:ext>
          </a:extLst>
        </xdr:cNvPr>
        <xdr:cNvCxnSpPr/>
      </xdr:nvCxnSpPr>
      <xdr:spPr>
        <a:xfrm flipH="1" flipV="1">
          <a:off x="2339975" y="4679722"/>
          <a:ext cx="44450" cy="2444978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327025</xdr:colOff>
      <xdr:row>17</xdr:row>
      <xdr:rowOff>85175</xdr:rowOff>
    </xdr:from>
    <xdr:to>
      <xdr:col>3</xdr:col>
      <xdr:colOff>80282</xdr:colOff>
      <xdr:row>17</xdr:row>
      <xdr:rowOff>85175</xdr:rowOff>
    </xdr:to>
    <xdr:cxnSp macro="">
      <xdr:nvCxnSpPr>
        <xdr:cNvPr id="12" name="SCHEMA_T06_SOSTEGNO_02_TR1">
          <a:extLst>
            <a:ext uri="{FF2B5EF4-FFF2-40B4-BE49-F238E27FC236}">
              <a16:creationId xmlns:a16="http://schemas.microsoft.com/office/drawing/2014/main" id="{DCC42740-A8A4-9CC0-94AF-8F9CCCFA31A0}"/>
            </a:ext>
          </a:extLst>
        </xdr:cNvPr>
        <xdr:cNvCxnSpPr/>
      </xdr:nvCxnSpPr>
      <xdr:spPr>
        <a:xfrm>
          <a:off x="2295525" y="5119818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327025</xdr:colOff>
      <xdr:row>18</xdr:row>
      <xdr:rowOff>133644</xdr:rowOff>
    </xdr:from>
    <xdr:to>
      <xdr:col>3</xdr:col>
      <xdr:colOff>80282</xdr:colOff>
      <xdr:row>18</xdr:row>
      <xdr:rowOff>133644</xdr:rowOff>
    </xdr:to>
    <xdr:cxnSp macro="">
      <xdr:nvCxnSpPr>
        <xdr:cNvPr id="13" name="SCHEMA_T06_SOSTEGNO_02_TR2">
          <a:extLst>
            <a:ext uri="{FF2B5EF4-FFF2-40B4-BE49-F238E27FC236}">
              <a16:creationId xmlns:a16="http://schemas.microsoft.com/office/drawing/2014/main" id="{443B7BAD-F48B-716B-1DC2-1D54E81C0C1E}"/>
            </a:ext>
          </a:extLst>
        </xdr:cNvPr>
        <xdr:cNvCxnSpPr/>
      </xdr:nvCxnSpPr>
      <xdr:spPr>
        <a:xfrm>
          <a:off x="2295525" y="5413215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327025</xdr:colOff>
      <xdr:row>19</xdr:row>
      <xdr:rowOff>182113</xdr:rowOff>
    </xdr:from>
    <xdr:to>
      <xdr:col>3</xdr:col>
      <xdr:colOff>80282</xdr:colOff>
      <xdr:row>19</xdr:row>
      <xdr:rowOff>182113</xdr:rowOff>
    </xdr:to>
    <xdr:cxnSp macro="">
      <xdr:nvCxnSpPr>
        <xdr:cNvPr id="14" name="SCHEMA_T06_SOSTEGNO_02_TR3">
          <a:extLst>
            <a:ext uri="{FF2B5EF4-FFF2-40B4-BE49-F238E27FC236}">
              <a16:creationId xmlns:a16="http://schemas.microsoft.com/office/drawing/2014/main" id="{83667C76-066D-6F8A-5090-8B3E306C9FE5}"/>
            </a:ext>
          </a:extLst>
        </xdr:cNvPr>
        <xdr:cNvCxnSpPr/>
      </xdr:nvCxnSpPr>
      <xdr:spPr>
        <a:xfrm>
          <a:off x="2295525" y="5706613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322489</xdr:colOff>
      <xdr:row>14</xdr:row>
      <xdr:rowOff>162529</xdr:rowOff>
    </xdr:from>
    <xdr:to>
      <xdr:col>5</xdr:col>
      <xdr:colOff>31296</xdr:colOff>
      <xdr:row>25</xdr:row>
      <xdr:rowOff>130629</xdr:rowOff>
    </xdr:to>
    <xdr:cxnSp macro="">
      <xdr:nvCxnSpPr>
        <xdr:cNvPr id="15" name="SCHEMA_T06_SOSTEGNO_03_SX">
          <a:extLst>
            <a:ext uri="{FF2B5EF4-FFF2-40B4-BE49-F238E27FC236}">
              <a16:creationId xmlns:a16="http://schemas.microsoft.com/office/drawing/2014/main" id="{9A48AA3F-C005-6DAA-0F0A-2ACA9517E23B}"/>
            </a:ext>
          </a:extLst>
        </xdr:cNvPr>
        <xdr:cNvCxnSpPr/>
      </xdr:nvCxnSpPr>
      <xdr:spPr>
        <a:xfrm flipV="1">
          <a:off x="2962275" y="4462386"/>
          <a:ext cx="44450" cy="2662314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31296</xdr:colOff>
      <xdr:row>14</xdr:row>
      <xdr:rowOff>162529</xdr:rowOff>
    </xdr:from>
    <xdr:to>
      <xdr:col>5</xdr:col>
      <xdr:colOff>75746</xdr:colOff>
      <xdr:row>25</xdr:row>
      <xdr:rowOff>130629</xdr:rowOff>
    </xdr:to>
    <xdr:cxnSp macro="">
      <xdr:nvCxnSpPr>
        <xdr:cNvPr id="16" name="SCHEMA_T06_SOSTEGNO_03_DX">
          <a:extLst>
            <a:ext uri="{FF2B5EF4-FFF2-40B4-BE49-F238E27FC236}">
              <a16:creationId xmlns:a16="http://schemas.microsoft.com/office/drawing/2014/main" id="{0C7A26ED-1360-0DB2-1FF0-CE818533C3E5}"/>
            </a:ext>
          </a:extLst>
        </xdr:cNvPr>
        <xdr:cNvCxnSpPr/>
      </xdr:nvCxnSpPr>
      <xdr:spPr>
        <a:xfrm flipH="1" flipV="1">
          <a:off x="3006725" y="4462386"/>
          <a:ext cx="44450" cy="2662314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322489</xdr:colOff>
      <xdr:row>16</xdr:row>
      <xdr:rowOff>151888</xdr:rowOff>
    </xdr:from>
    <xdr:to>
      <xdr:col>5</xdr:col>
      <xdr:colOff>75746</xdr:colOff>
      <xdr:row>16</xdr:row>
      <xdr:rowOff>151888</xdr:rowOff>
    </xdr:to>
    <xdr:cxnSp macro="">
      <xdr:nvCxnSpPr>
        <xdr:cNvPr id="17" name="SCHEMA_T06_SOSTEGNO_03_TR1">
          <a:extLst>
            <a:ext uri="{FF2B5EF4-FFF2-40B4-BE49-F238E27FC236}">
              <a16:creationId xmlns:a16="http://schemas.microsoft.com/office/drawing/2014/main" id="{40BAAA64-50FB-752C-C1BD-CF8D6DEB6707}"/>
            </a:ext>
          </a:extLst>
        </xdr:cNvPr>
        <xdr:cNvCxnSpPr/>
      </xdr:nvCxnSpPr>
      <xdr:spPr>
        <a:xfrm>
          <a:off x="2962275" y="4941602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322489</xdr:colOff>
      <xdr:row>17</xdr:row>
      <xdr:rowOff>226437</xdr:rowOff>
    </xdr:from>
    <xdr:to>
      <xdr:col>5</xdr:col>
      <xdr:colOff>75746</xdr:colOff>
      <xdr:row>17</xdr:row>
      <xdr:rowOff>226437</xdr:rowOff>
    </xdr:to>
    <xdr:cxnSp macro="">
      <xdr:nvCxnSpPr>
        <xdr:cNvPr id="18" name="SCHEMA_T06_SOSTEGNO_03_TR2">
          <a:extLst>
            <a:ext uri="{FF2B5EF4-FFF2-40B4-BE49-F238E27FC236}">
              <a16:creationId xmlns:a16="http://schemas.microsoft.com/office/drawing/2014/main" id="{B26E5501-72F9-8850-8032-33C4EB8FDD92}"/>
            </a:ext>
          </a:extLst>
        </xdr:cNvPr>
        <xdr:cNvCxnSpPr/>
      </xdr:nvCxnSpPr>
      <xdr:spPr>
        <a:xfrm>
          <a:off x="2962275" y="5261080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322489</xdr:colOff>
      <xdr:row>19</xdr:row>
      <xdr:rowOff>56058</xdr:rowOff>
    </xdr:from>
    <xdr:to>
      <xdr:col>5</xdr:col>
      <xdr:colOff>75746</xdr:colOff>
      <xdr:row>19</xdr:row>
      <xdr:rowOff>56058</xdr:rowOff>
    </xdr:to>
    <xdr:cxnSp macro="">
      <xdr:nvCxnSpPr>
        <xdr:cNvPr id="19" name="SCHEMA_T06_SOSTEGNO_03_TR3">
          <a:extLst>
            <a:ext uri="{FF2B5EF4-FFF2-40B4-BE49-F238E27FC236}">
              <a16:creationId xmlns:a16="http://schemas.microsoft.com/office/drawing/2014/main" id="{FBB378BA-7C86-94D0-5E58-983CFE4E488F}"/>
            </a:ext>
          </a:extLst>
        </xdr:cNvPr>
        <xdr:cNvCxnSpPr/>
      </xdr:nvCxnSpPr>
      <xdr:spPr>
        <a:xfrm>
          <a:off x="2962275" y="5580558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317954</xdr:colOff>
      <xdr:row>14</xdr:row>
      <xdr:rowOff>176255</xdr:rowOff>
    </xdr:from>
    <xdr:to>
      <xdr:col>7</xdr:col>
      <xdr:colOff>26761</xdr:colOff>
      <xdr:row>25</xdr:row>
      <xdr:rowOff>130629</xdr:rowOff>
    </xdr:to>
    <xdr:cxnSp macro="">
      <xdr:nvCxnSpPr>
        <xdr:cNvPr id="20" name="SCHEMA_T06_SOSTEGNO_04_SX">
          <a:extLst>
            <a:ext uri="{FF2B5EF4-FFF2-40B4-BE49-F238E27FC236}">
              <a16:creationId xmlns:a16="http://schemas.microsoft.com/office/drawing/2014/main" id="{07452CFA-269E-BA4A-8251-275F7E9E289F}"/>
            </a:ext>
          </a:extLst>
        </xdr:cNvPr>
        <xdr:cNvCxnSpPr/>
      </xdr:nvCxnSpPr>
      <xdr:spPr>
        <a:xfrm flipV="1">
          <a:off x="3629025" y="4476112"/>
          <a:ext cx="44450" cy="2648588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26761</xdr:colOff>
      <xdr:row>14</xdr:row>
      <xdr:rowOff>176255</xdr:rowOff>
    </xdr:from>
    <xdr:to>
      <xdr:col>7</xdr:col>
      <xdr:colOff>71211</xdr:colOff>
      <xdr:row>25</xdr:row>
      <xdr:rowOff>130629</xdr:rowOff>
    </xdr:to>
    <xdr:cxnSp macro="">
      <xdr:nvCxnSpPr>
        <xdr:cNvPr id="21" name="SCHEMA_T06_SOSTEGNO_04_DX">
          <a:extLst>
            <a:ext uri="{FF2B5EF4-FFF2-40B4-BE49-F238E27FC236}">
              <a16:creationId xmlns:a16="http://schemas.microsoft.com/office/drawing/2014/main" id="{6AD8C126-46A6-1D6D-6164-96958A5EA1EC}"/>
            </a:ext>
          </a:extLst>
        </xdr:cNvPr>
        <xdr:cNvCxnSpPr/>
      </xdr:nvCxnSpPr>
      <xdr:spPr>
        <a:xfrm flipH="1" flipV="1">
          <a:off x="3673475" y="4476112"/>
          <a:ext cx="44450" cy="2648588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317954</xdr:colOff>
      <xdr:row>16</xdr:row>
      <xdr:rowOff>163144</xdr:rowOff>
    </xdr:from>
    <xdr:to>
      <xdr:col>7</xdr:col>
      <xdr:colOff>71211</xdr:colOff>
      <xdr:row>16</xdr:row>
      <xdr:rowOff>163144</xdr:rowOff>
    </xdr:to>
    <xdr:cxnSp macro="">
      <xdr:nvCxnSpPr>
        <xdr:cNvPr id="22" name="SCHEMA_T06_SOSTEGNO_04_TR1">
          <a:extLst>
            <a:ext uri="{FF2B5EF4-FFF2-40B4-BE49-F238E27FC236}">
              <a16:creationId xmlns:a16="http://schemas.microsoft.com/office/drawing/2014/main" id="{2A9A3897-E0B7-2988-FB6B-12FBC07F334E}"/>
            </a:ext>
          </a:extLst>
        </xdr:cNvPr>
        <xdr:cNvCxnSpPr/>
      </xdr:nvCxnSpPr>
      <xdr:spPr>
        <a:xfrm>
          <a:off x="3629025" y="4952858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317954</xdr:colOff>
      <xdr:row>17</xdr:row>
      <xdr:rowOff>236045</xdr:rowOff>
    </xdr:from>
    <xdr:to>
      <xdr:col>7</xdr:col>
      <xdr:colOff>71211</xdr:colOff>
      <xdr:row>17</xdr:row>
      <xdr:rowOff>236045</xdr:rowOff>
    </xdr:to>
    <xdr:cxnSp macro="">
      <xdr:nvCxnSpPr>
        <xdr:cNvPr id="23" name="SCHEMA_T06_SOSTEGNO_04_TR2">
          <a:extLst>
            <a:ext uri="{FF2B5EF4-FFF2-40B4-BE49-F238E27FC236}">
              <a16:creationId xmlns:a16="http://schemas.microsoft.com/office/drawing/2014/main" id="{91C04A1B-EE41-009D-40C2-6AB0ADD26C40}"/>
            </a:ext>
          </a:extLst>
        </xdr:cNvPr>
        <xdr:cNvCxnSpPr/>
      </xdr:nvCxnSpPr>
      <xdr:spPr>
        <a:xfrm>
          <a:off x="3629025" y="5270688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317954</xdr:colOff>
      <xdr:row>19</xdr:row>
      <xdr:rowOff>64019</xdr:rowOff>
    </xdr:from>
    <xdr:to>
      <xdr:col>7</xdr:col>
      <xdr:colOff>71211</xdr:colOff>
      <xdr:row>19</xdr:row>
      <xdr:rowOff>64019</xdr:rowOff>
    </xdr:to>
    <xdr:cxnSp macro="">
      <xdr:nvCxnSpPr>
        <xdr:cNvPr id="24" name="SCHEMA_T06_SOSTEGNO_04_TR3">
          <a:extLst>
            <a:ext uri="{FF2B5EF4-FFF2-40B4-BE49-F238E27FC236}">
              <a16:creationId xmlns:a16="http://schemas.microsoft.com/office/drawing/2014/main" id="{C560FF58-1613-8A83-BA5E-B69D9ACD57DC}"/>
            </a:ext>
          </a:extLst>
        </xdr:cNvPr>
        <xdr:cNvCxnSpPr/>
      </xdr:nvCxnSpPr>
      <xdr:spPr>
        <a:xfrm>
          <a:off x="3629025" y="5588519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313418</xdr:colOff>
      <xdr:row>14</xdr:row>
      <xdr:rowOff>226586</xdr:rowOff>
    </xdr:from>
    <xdr:to>
      <xdr:col>9</xdr:col>
      <xdr:colOff>22225</xdr:colOff>
      <xdr:row>25</xdr:row>
      <xdr:rowOff>130629</xdr:rowOff>
    </xdr:to>
    <xdr:cxnSp macro="">
      <xdr:nvCxnSpPr>
        <xdr:cNvPr id="25" name="SCHEMA_T06_SOSTEGNO_05_SX">
          <a:extLst>
            <a:ext uri="{FF2B5EF4-FFF2-40B4-BE49-F238E27FC236}">
              <a16:creationId xmlns:a16="http://schemas.microsoft.com/office/drawing/2014/main" id="{A178AD1B-E4FA-4D97-B30F-FE264D6B07F5}"/>
            </a:ext>
          </a:extLst>
        </xdr:cNvPr>
        <xdr:cNvCxnSpPr/>
      </xdr:nvCxnSpPr>
      <xdr:spPr>
        <a:xfrm flipV="1">
          <a:off x="4295775" y="4526443"/>
          <a:ext cx="44450" cy="2598257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22225</xdr:colOff>
      <xdr:row>14</xdr:row>
      <xdr:rowOff>226586</xdr:rowOff>
    </xdr:from>
    <xdr:to>
      <xdr:col>9</xdr:col>
      <xdr:colOff>66675</xdr:colOff>
      <xdr:row>25</xdr:row>
      <xdr:rowOff>130629</xdr:rowOff>
    </xdr:to>
    <xdr:cxnSp macro="">
      <xdr:nvCxnSpPr>
        <xdr:cNvPr id="26" name="SCHEMA_T06_SOSTEGNO_05_DX">
          <a:extLst>
            <a:ext uri="{FF2B5EF4-FFF2-40B4-BE49-F238E27FC236}">
              <a16:creationId xmlns:a16="http://schemas.microsoft.com/office/drawing/2014/main" id="{3C1FB43A-6849-B5D2-981F-01AE871246B0}"/>
            </a:ext>
          </a:extLst>
        </xdr:cNvPr>
        <xdr:cNvCxnSpPr/>
      </xdr:nvCxnSpPr>
      <xdr:spPr>
        <a:xfrm flipH="1" flipV="1">
          <a:off x="4340225" y="4526443"/>
          <a:ext cx="44450" cy="2598257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313418</xdr:colOff>
      <xdr:row>16</xdr:row>
      <xdr:rowOff>204415</xdr:rowOff>
    </xdr:from>
    <xdr:to>
      <xdr:col>9</xdr:col>
      <xdr:colOff>66675</xdr:colOff>
      <xdr:row>16</xdr:row>
      <xdr:rowOff>204415</xdr:rowOff>
    </xdr:to>
    <xdr:cxnSp macro="">
      <xdr:nvCxnSpPr>
        <xdr:cNvPr id="27" name="SCHEMA_T06_SOSTEGNO_05_TR1">
          <a:extLst>
            <a:ext uri="{FF2B5EF4-FFF2-40B4-BE49-F238E27FC236}">
              <a16:creationId xmlns:a16="http://schemas.microsoft.com/office/drawing/2014/main" id="{EBBACEBB-13D9-94F7-8C2F-70F461744D63}"/>
            </a:ext>
          </a:extLst>
        </xdr:cNvPr>
        <xdr:cNvCxnSpPr/>
      </xdr:nvCxnSpPr>
      <xdr:spPr>
        <a:xfrm>
          <a:off x="4295775" y="4994129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313418</xdr:colOff>
      <xdr:row>18</xdr:row>
      <xdr:rowOff>26349</xdr:rowOff>
    </xdr:from>
    <xdr:to>
      <xdr:col>9</xdr:col>
      <xdr:colOff>66675</xdr:colOff>
      <xdr:row>18</xdr:row>
      <xdr:rowOff>26349</xdr:rowOff>
    </xdr:to>
    <xdr:cxnSp macro="">
      <xdr:nvCxnSpPr>
        <xdr:cNvPr id="28" name="SCHEMA_T06_SOSTEGNO_05_TR2">
          <a:extLst>
            <a:ext uri="{FF2B5EF4-FFF2-40B4-BE49-F238E27FC236}">
              <a16:creationId xmlns:a16="http://schemas.microsoft.com/office/drawing/2014/main" id="{ACF60621-CEDC-AC7F-0B34-AFD7B0F5A0FE}"/>
            </a:ext>
          </a:extLst>
        </xdr:cNvPr>
        <xdr:cNvCxnSpPr/>
      </xdr:nvCxnSpPr>
      <xdr:spPr>
        <a:xfrm>
          <a:off x="4295775" y="5305920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313418</xdr:colOff>
      <xdr:row>19</xdr:row>
      <xdr:rowOff>93211</xdr:rowOff>
    </xdr:from>
    <xdr:to>
      <xdr:col>9</xdr:col>
      <xdr:colOff>66675</xdr:colOff>
      <xdr:row>19</xdr:row>
      <xdr:rowOff>93211</xdr:rowOff>
    </xdr:to>
    <xdr:cxnSp macro="">
      <xdr:nvCxnSpPr>
        <xdr:cNvPr id="29" name="SCHEMA_T06_SOSTEGNO_05_TR3">
          <a:extLst>
            <a:ext uri="{FF2B5EF4-FFF2-40B4-BE49-F238E27FC236}">
              <a16:creationId xmlns:a16="http://schemas.microsoft.com/office/drawing/2014/main" id="{48C51713-98EE-89B4-B45F-46427DC05440}"/>
            </a:ext>
          </a:extLst>
        </xdr:cNvPr>
        <xdr:cNvCxnSpPr/>
      </xdr:nvCxnSpPr>
      <xdr:spPr>
        <a:xfrm>
          <a:off x="4295775" y="5617711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308882</xdr:colOff>
      <xdr:row>14</xdr:row>
      <xdr:rowOff>98472</xdr:rowOff>
    </xdr:from>
    <xdr:to>
      <xdr:col>11</xdr:col>
      <xdr:colOff>17689</xdr:colOff>
      <xdr:row>25</xdr:row>
      <xdr:rowOff>130629</xdr:rowOff>
    </xdr:to>
    <xdr:cxnSp macro="">
      <xdr:nvCxnSpPr>
        <xdr:cNvPr id="30" name="SCHEMA_T06_SOSTEGNO_06_SX">
          <a:extLst>
            <a:ext uri="{FF2B5EF4-FFF2-40B4-BE49-F238E27FC236}">
              <a16:creationId xmlns:a16="http://schemas.microsoft.com/office/drawing/2014/main" id="{9A032481-394B-1B48-68F1-DA19A61D3267}"/>
            </a:ext>
          </a:extLst>
        </xdr:cNvPr>
        <xdr:cNvCxnSpPr/>
      </xdr:nvCxnSpPr>
      <xdr:spPr>
        <a:xfrm flipV="1">
          <a:off x="4962525" y="4398329"/>
          <a:ext cx="44450" cy="2726371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17689</xdr:colOff>
      <xdr:row>14</xdr:row>
      <xdr:rowOff>98472</xdr:rowOff>
    </xdr:from>
    <xdr:to>
      <xdr:col>11</xdr:col>
      <xdr:colOff>62139</xdr:colOff>
      <xdr:row>25</xdr:row>
      <xdr:rowOff>130629</xdr:rowOff>
    </xdr:to>
    <xdr:cxnSp macro="">
      <xdr:nvCxnSpPr>
        <xdr:cNvPr id="31" name="SCHEMA_T06_SOSTEGNO_06_DX">
          <a:extLst>
            <a:ext uri="{FF2B5EF4-FFF2-40B4-BE49-F238E27FC236}">
              <a16:creationId xmlns:a16="http://schemas.microsoft.com/office/drawing/2014/main" id="{2A29B577-183B-E137-F66F-A41A4A993DE5}"/>
            </a:ext>
          </a:extLst>
        </xdr:cNvPr>
        <xdr:cNvCxnSpPr/>
      </xdr:nvCxnSpPr>
      <xdr:spPr>
        <a:xfrm flipH="1" flipV="1">
          <a:off x="5006975" y="4398329"/>
          <a:ext cx="44450" cy="2726371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308882</xdr:colOff>
      <xdr:row>16</xdr:row>
      <xdr:rowOff>99362</xdr:rowOff>
    </xdr:from>
    <xdr:to>
      <xdr:col>11</xdr:col>
      <xdr:colOff>62139</xdr:colOff>
      <xdr:row>16</xdr:row>
      <xdr:rowOff>99362</xdr:rowOff>
    </xdr:to>
    <xdr:cxnSp macro="">
      <xdr:nvCxnSpPr>
        <xdr:cNvPr id="32" name="SCHEMA_T06_SOSTEGNO_06_TR1">
          <a:extLst>
            <a:ext uri="{FF2B5EF4-FFF2-40B4-BE49-F238E27FC236}">
              <a16:creationId xmlns:a16="http://schemas.microsoft.com/office/drawing/2014/main" id="{F75B4E6C-3843-26A3-246E-60FE5C850ED6}"/>
            </a:ext>
          </a:extLst>
        </xdr:cNvPr>
        <xdr:cNvCxnSpPr/>
      </xdr:nvCxnSpPr>
      <xdr:spPr>
        <a:xfrm>
          <a:off x="4962525" y="4889076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308882</xdr:colOff>
      <xdr:row>17</xdr:row>
      <xdr:rowOff>181597</xdr:rowOff>
    </xdr:from>
    <xdr:to>
      <xdr:col>11</xdr:col>
      <xdr:colOff>62139</xdr:colOff>
      <xdr:row>17</xdr:row>
      <xdr:rowOff>181597</xdr:rowOff>
    </xdr:to>
    <xdr:cxnSp macro="">
      <xdr:nvCxnSpPr>
        <xdr:cNvPr id="33" name="SCHEMA_T06_SOSTEGNO_06_TR2">
          <a:extLst>
            <a:ext uri="{FF2B5EF4-FFF2-40B4-BE49-F238E27FC236}">
              <a16:creationId xmlns:a16="http://schemas.microsoft.com/office/drawing/2014/main" id="{4D4A2B87-18E6-F8F6-298F-D3F7983A822A}"/>
            </a:ext>
          </a:extLst>
        </xdr:cNvPr>
        <xdr:cNvCxnSpPr/>
      </xdr:nvCxnSpPr>
      <xdr:spPr>
        <a:xfrm>
          <a:off x="4962525" y="5216240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308882</xdr:colOff>
      <xdr:row>19</xdr:row>
      <xdr:rowOff>18905</xdr:rowOff>
    </xdr:from>
    <xdr:to>
      <xdr:col>11</xdr:col>
      <xdr:colOff>62139</xdr:colOff>
      <xdr:row>19</xdr:row>
      <xdr:rowOff>18905</xdr:rowOff>
    </xdr:to>
    <xdr:cxnSp macro="">
      <xdr:nvCxnSpPr>
        <xdr:cNvPr id="34" name="SCHEMA_T06_SOSTEGNO_06_TR3">
          <a:extLst>
            <a:ext uri="{FF2B5EF4-FFF2-40B4-BE49-F238E27FC236}">
              <a16:creationId xmlns:a16="http://schemas.microsoft.com/office/drawing/2014/main" id="{4F913125-87C6-3D62-37E2-66669518F7A1}"/>
            </a:ext>
          </a:extLst>
        </xdr:cNvPr>
        <xdr:cNvCxnSpPr/>
      </xdr:nvCxnSpPr>
      <xdr:spPr>
        <a:xfrm>
          <a:off x="4962525" y="5543405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304346</xdr:colOff>
      <xdr:row>14</xdr:row>
      <xdr:rowOff>4674</xdr:rowOff>
    </xdr:from>
    <xdr:to>
      <xdr:col>13</xdr:col>
      <xdr:colOff>13154</xdr:colOff>
      <xdr:row>25</xdr:row>
      <xdr:rowOff>130629</xdr:rowOff>
    </xdr:to>
    <xdr:cxnSp macro="">
      <xdr:nvCxnSpPr>
        <xdr:cNvPr id="35" name="SCHEMA_T06_SOSTEGNO_07_SX">
          <a:extLst>
            <a:ext uri="{FF2B5EF4-FFF2-40B4-BE49-F238E27FC236}">
              <a16:creationId xmlns:a16="http://schemas.microsoft.com/office/drawing/2014/main" id="{1A53117A-6F83-2FAF-7CA0-706533E4FAC5}"/>
            </a:ext>
          </a:extLst>
        </xdr:cNvPr>
        <xdr:cNvCxnSpPr/>
      </xdr:nvCxnSpPr>
      <xdr:spPr>
        <a:xfrm flipV="1">
          <a:off x="5629275" y="4304531"/>
          <a:ext cx="44450" cy="2820169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13154</xdr:colOff>
      <xdr:row>14</xdr:row>
      <xdr:rowOff>4674</xdr:rowOff>
    </xdr:from>
    <xdr:to>
      <xdr:col>13</xdr:col>
      <xdr:colOff>57604</xdr:colOff>
      <xdr:row>25</xdr:row>
      <xdr:rowOff>130629</xdr:rowOff>
    </xdr:to>
    <xdr:cxnSp macro="">
      <xdr:nvCxnSpPr>
        <xdr:cNvPr id="36" name="SCHEMA_T06_SOSTEGNO_07_DX">
          <a:extLst>
            <a:ext uri="{FF2B5EF4-FFF2-40B4-BE49-F238E27FC236}">
              <a16:creationId xmlns:a16="http://schemas.microsoft.com/office/drawing/2014/main" id="{15D57841-6473-A572-5C03-BD946CAD6F70}"/>
            </a:ext>
          </a:extLst>
        </xdr:cNvPr>
        <xdr:cNvCxnSpPr/>
      </xdr:nvCxnSpPr>
      <xdr:spPr>
        <a:xfrm flipH="1" flipV="1">
          <a:off x="5673725" y="4304531"/>
          <a:ext cx="44450" cy="2820169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304346</xdr:colOff>
      <xdr:row>16</xdr:row>
      <xdr:rowOff>22447</xdr:rowOff>
    </xdr:from>
    <xdr:to>
      <xdr:col>13</xdr:col>
      <xdr:colOff>57604</xdr:colOff>
      <xdr:row>16</xdr:row>
      <xdr:rowOff>22447</xdr:rowOff>
    </xdr:to>
    <xdr:cxnSp macro="">
      <xdr:nvCxnSpPr>
        <xdr:cNvPr id="37" name="SCHEMA_T06_SOSTEGNO_07_TR1">
          <a:extLst>
            <a:ext uri="{FF2B5EF4-FFF2-40B4-BE49-F238E27FC236}">
              <a16:creationId xmlns:a16="http://schemas.microsoft.com/office/drawing/2014/main" id="{740C6C3A-1EC3-5BA2-7A61-23D0CF29B7A4}"/>
            </a:ext>
          </a:extLst>
        </xdr:cNvPr>
        <xdr:cNvCxnSpPr/>
      </xdr:nvCxnSpPr>
      <xdr:spPr>
        <a:xfrm>
          <a:off x="5629275" y="4812161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304346</xdr:colOff>
      <xdr:row>17</xdr:row>
      <xdr:rowOff>115939</xdr:rowOff>
    </xdr:from>
    <xdr:to>
      <xdr:col>13</xdr:col>
      <xdr:colOff>57604</xdr:colOff>
      <xdr:row>17</xdr:row>
      <xdr:rowOff>115939</xdr:rowOff>
    </xdr:to>
    <xdr:cxnSp macro="">
      <xdr:nvCxnSpPr>
        <xdr:cNvPr id="38" name="SCHEMA_T06_SOSTEGNO_07_TR2">
          <a:extLst>
            <a:ext uri="{FF2B5EF4-FFF2-40B4-BE49-F238E27FC236}">
              <a16:creationId xmlns:a16="http://schemas.microsoft.com/office/drawing/2014/main" id="{4A7B1B79-F3A9-8721-37BC-A6506F285583}"/>
            </a:ext>
          </a:extLst>
        </xdr:cNvPr>
        <xdr:cNvCxnSpPr/>
      </xdr:nvCxnSpPr>
      <xdr:spPr>
        <a:xfrm>
          <a:off x="5629275" y="5150582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304346</xdr:colOff>
      <xdr:row>18</xdr:row>
      <xdr:rowOff>209431</xdr:rowOff>
    </xdr:from>
    <xdr:to>
      <xdr:col>13</xdr:col>
      <xdr:colOff>57604</xdr:colOff>
      <xdr:row>18</xdr:row>
      <xdr:rowOff>209431</xdr:rowOff>
    </xdr:to>
    <xdr:cxnSp macro="">
      <xdr:nvCxnSpPr>
        <xdr:cNvPr id="39" name="SCHEMA_T06_SOSTEGNO_07_TR3">
          <a:extLst>
            <a:ext uri="{FF2B5EF4-FFF2-40B4-BE49-F238E27FC236}">
              <a16:creationId xmlns:a16="http://schemas.microsoft.com/office/drawing/2014/main" id="{09FDCE7C-994B-A9D2-EDC8-A9D6AF58FE3F}"/>
            </a:ext>
          </a:extLst>
        </xdr:cNvPr>
        <xdr:cNvCxnSpPr/>
      </xdr:nvCxnSpPr>
      <xdr:spPr>
        <a:xfrm>
          <a:off x="5629275" y="5489002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299811</xdr:colOff>
      <xdr:row>13</xdr:row>
      <xdr:rowOff>98610</xdr:rowOff>
    </xdr:from>
    <xdr:to>
      <xdr:col>15</xdr:col>
      <xdr:colOff>8618</xdr:colOff>
      <xdr:row>25</xdr:row>
      <xdr:rowOff>130629</xdr:rowOff>
    </xdr:to>
    <xdr:cxnSp macro="">
      <xdr:nvCxnSpPr>
        <xdr:cNvPr id="40" name="SCHEMA_T06_SOSTEGNO_08_SX">
          <a:extLst>
            <a:ext uri="{FF2B5EF4-FFF2-40B4-BE49-F238E27FC236}">
              <a16:creationId xmlns:a16="http://schemas.microsoft.com/office/drawing/2014/main" id="{21EF0013-E825-6B5B-02E4-72D58A400B88}"/>
            </a:ext>
          </a:extLst>
        </xdr:cNvPr>
        <xdr:cNvCxnSpPr/>
      </xdr:nvCxnSpPr>
      <xdr:spPr>
        <a:xfrm flipV="1">
          <a:off x="6296025" y="4153539"/>
          <a:ext cx="44450" cy="2971161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8618</xdr:colOff>
      <xdr:row>13</xdr:row>
      <xdr:rowOff>98610</xdr:rowOff>
    </xdr:from>
    <xdr:to>
      <xdr:col>15</xdr:col>
      <xdr:colOff>53068</xdr:colOff>
      <xdr:row>25</xdr:row>
      <xdr:rowOff>130629</xdr:rowOff>
    </xdr:to>
    <xdr:cxnSp macro="">
      <xdr:nvCxnSpPr>
        <xdr:cNvPr id="41" name="SCHEMA_T06_SOSTEGNO_08_DX">
          <a:extLst>
            <a:ext uri="{FF2B5EF4-FFF2-40B4-BE49-F238E27FC236}">
              <a16:creationId xmlns:a16="http://schemas.microsoft.com/office/drawing/2014/main" id="{D3843339-AB62-4E05-18C0-2FD8DDA69A9B}"/>
            </a:ext>
          </a:extLst>
        </xdr:cNvPr>
        <xdr:cNvCxnSpPr/>
      </xdr:nvCxnSpPr>
      <xdr:spPr>
        <a:xfrm flipH="1" flipV="1">
          <a:off x="6340475" y="4153539"/>
          <a:ext cx="44450" cy="2971161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299811</xdr:colOff>
      <xdr:row>15</xdr:row>
      <xdr:rowOff>143563</xdr:rowOff>
    </xdr:from>
    <xdr:to>
      <xdr:col>15</xdr:col>
      <xdr:colOff>53068</xdr:colOff>
      <xdr:row>15</xdr:row>
      <xdr:rowOff>143563</xdr:rowOff>
    </xdr:to>
    <xdr:cxnSp macro="">
      <xdr:nvCxnSpPr>
        <xdr:cNvPr id="42" name="SCHEMA_T06_SOSTEGNO_08_TR1">
          <a:extLst>
            <a:ext uri="{FF2B5EF4-FFF2-40B4-BE49-F238E27FC236}">
              <a16:creationId xmlns:a16="http://schemas.microsoft.com/office/drawing/2014/main" id="{9B8D7DFE-3920-1E77-CAC7-664D576610F0}"/>
            </a:ext>
          </a:extLst>
        </xdr:cNvPr>
        <xdr:cNvCxnSpPr/>
      </xdr:nvCxnSpPr>
      <xdr:spPr>
        <a:xfrm>
          <a:off x="6296025" y="4688349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299811</xdr:colOff>
      <xdr:row>17</xdr:row>
      <xdr:rowOff>10245</xdr:rowOff>
    </xdr:from>
    <xdr:to>
      <xdr:col>15</xdr:col>
      <xdr:colOff>53068</xdr:colOff>
      <xdr:row>17</xdr:row>
      <xdr:rowOff>10245</xdr:rowOff>
    </xdr:to>
    <xdr:cxnSp macro="">
      <xdr:nvCxnSpPr>
        <xdr:cNvPr id="43" name="SCHEMA_T06_SOSTEGNO_08_TR2">
          <a:extLst>
            <a:ext uri="{FF2B5EF4-FFF2-40B4-BE49-F238E27FC236}">
              <a16:creationId xmlns:a16="http://schemas.microsoft.com/office/drawing/2014/main" id="{51F0D738-D013-DFE2-1939-41A451A558A3}"/>
            </a:ext>
          </a:extLst>
        </xdr:cNvPr>
        <xdr:cNvCxnSpPr/>
      </xdr:nvCxnSpPr>
      <xdr:spPr>
        <a:xfrm>
          <a:off x="6296025" y="5044888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299811</xdr:colOff>
      <xdr:row>18</xdr:row>
      <xdr:rowOff>121856</xdr:rowOff>
    </xdr:from>
    <xdr:to>
      <xdr:col>15</xdr:col>
      <xdr:colOff>53068</xdr:colOff>
      <xdr:row>18</xdr:row>
      <xdr:rowOff>121856</xdr:rowOff>
    </xdr:to>
    <xdr:cxnSp macro="">
      <xdr:nvCxnSpPr>
        <xdr:cNvPr id="44" name="SCHEMA_T06_SOSTEGNO_08_TR3">
          <a:extLst>
            <a:ext uri="{FF2B5EF4-FFF2-40B4-BE49-F238E27FC236}">
              <a16:creationId xmlns:a16="http://schemas.microsoft.com/office/drawing/2014/main" id="{331A01D3-B602-B9AF-FA23-E8ECB5FCC043}"/>
            </a:ext>
          </a:extLst>
        </xdr:cNvPr>
        <xdr:cNvCxnSpPr/>
      </xdr:nvCxnSpPr>
      <xdr:spPr>
        <a:xfrm>
          <a:off x="6296025" y="5401427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295275</xdr:colOff>
      <xdr:row>13</xdr:row>
      <xdr:rowOff>155804</xdr:rowOff>
    </xdr:from>
    <xdr:to>
      <xdr:col>17</xdr:col>
      <xdr:colOff>4082</xdr:colOff>
      <xdr:row>25</xdr:row>
      <xdr:rowOff>130629</xdr:rowOff>
    </xdr:to>
    <xdr:cxnSp macro="">
      <xdr:nvCxnSpPr>
        <xdr:cNvPr id="45" name="SCHEMA_T06_SOSTEGNO_09_SX">
          <a:extLst>
            <a:ext uri="{FF2B5EF4-FFF2-40B4-BE49-F238E27FC236}">
              <a16:creationId xmlns:a16="http://schemas.microsoft.com/office/drawing/2014/main" id="{044E58BA-6242-3700-2775-8FA10D1866D8}"/>
            </a:ext>
          </a:extLst>
        </xdr:cNvPr>
        <xdr:cNvCxnSpPr/>
      </xdr:nvCxnSpPr>
      <xdr:spPr>
        <a:xfrm flipV="1">
          <a:off x="6962775" y="4210733"/>
          <a:ext cx="44450" cy="2913967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4082</xdr:colOff>
      <xdr:row>13</xdr:row>
      <xdr:rowOff>155804</xdr:rowOff>
    </xdr:from>
    <xdr:to>
      <xdr:col>17</xdr:col>
      <xdr:colOff>48532</xdr:colOff>
      <xdr:row>25</xdr:row>
      <xdr:rowOff>130629</xdr:rowOff>
    </xdr:to>
    <xdr:cxnSp macro="">
      <xdr:nvCxnSpPr>
        <xdr:cNvPr id="46" name="SCHEMA_T06_SOSTEGNO_09_DX">
          <a:extLst>
            <a:ext uri="{FF2B5EF4-FFF2-40B4-BE49-F238E27FC236}">
              <a16:creationId xmlns:a16="http://schemas.microsoft.com/office/drawing/2014/main" id="{36420E9D-AA79-B6AD-66C0-A88AA4523328}"/>
            </a:ext>
          </a:extLst>
        </xdr:cNvPr>
        <xdr:cNvCxnSpPr/>
      </xdr:nvCxnSpPr>
      <xdr:spPr>
        <a:xfrm flipH="1" flipV="1">
          <a:off x="7007225" y="4210733"/>
          <a:ext cx="44450" cy="2913967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295275</xdr:colOff>
      <xdr:row>15</xdr:row>
      <xdr:rowOff>190461</xdr:rowOff>
    </xdr:from>
    <xdr:to>
      <xdr:col>17</xdr:col>
      <xdr:colOff>48532</xdr:colOff>
      <xdr:row>15</xdr:row>
      <xdr:rowOff>190461</xdr:rowOff>
    </xdr:to>
    <xdr:cxnSp macro="">
      <xdr:nvCxnSpPr>
        <xdr:cNvPr id="47" name="SCHEMA_T06_SOSTEGNO_09_TR1">
          <a:extLst>
            <a:ext uri="{FF2B5EF4-FFF2-40B4-BE49-F238E27FC236}">
              <a16:creationId xmlns:a16="http://schemas.microsoft.com/office/drawing/2014/main" id="{2E5A92A4-1124-1A37-DA92-766A9460BEAA}"/>
            </a:ext>
          </a:extLst>
        </xdr:cNvPr>
        <xdr:cNvCxnSpPr/>
      </xdr:nvCxnSpPr>
      <xdr:spPr>
        <a:xfrm>
          <a:off x="6962775" y="4735247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295275</xdr:colOff>
      <xdr:row>17</xdr:row>
      <xdr:rowOff>50280</xdr:rowOff>
    </xdr:from>
    <xdr:to>
      <xdr:col>17</xdr:col>
      <xdr:colOff>48532</xdr:colOff>
      <xdr:row>17</xdr:row>
      <xdr:rowOff>50280</xdr:rowOff>
    </xdr:to>
    <xdr:cxnSp macro="">
      <xdr:nvCxnSpPr>
        <xdr:cNvPr id="48" name="SCHEMA_T06_SOSTEGNO_09_TR2">
          <a:extLst>
            <a:ext uri="{FF2B5EF4-FFF2-40B4-BE49-F238E27FC236}">
              <a16:creationId xmlns:a16="http://schemas.microsoft.com/office/drawing/2014/main" id="{B27FFB2F-4A5A-71FF-387E-D06D0897FBAF}"/>
            </a:ext>
          </a:extLst>
        </xdr:cNvPr>
        <xdr:cNvCxnSpPr/>
      </xdr:nvCxnSpPr>
      <xdr:spPr>
        <a:xfrm>
          <a:off x="6962775" y="5084923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295275</xdr:colOff>
      <xdr:row>18</xdr:row>
      <xdr:rowOff>155028</xdr:rowOff>
    </xdr:from>
    <xdr:to>
      <xdr:col>17</xdr:col>
      <xdr:colOff>48532</xdr:colOff>
      <xdr:row>18</xdr:row>
      <xdr:rowOff>155028</xdr:rowOff>
    </xdr:to>
    <xdr:cxnSp macro="">
      <xdr:nvCxnSpPr>
        <xdr:cNvPr id="49" name="SCHEMA_T06_SOSTEGNO_09_TR3">
          <a:extLst>
            <a:ext uri="{FF2B5EF4-FFF2-40B4-BE49-F238E27FC236}">
              <a16:creationId xmlns:a16="http://schemas.microsoft.com/office/drawing/2014/main" id="{843A5AE4-B854-DD9C-4986-5B9EF29AC7C1}"/>
            </a:ext>
          </a:extLst>
        </xdr:cNvPr>
        <xdr:cNvCxnSpPr/>
      </xdr:nvCxnSpPr>
      <xdr:spPr>
        <a:xfrm>
          <a:off x="6962775" y="5434599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290739</xdr:colOff>
      <xdr:row>13</xdr:row>
      <xdr:rowOff>9388</xdr:rowOff>
    </xdr:from>
    <xdr:to>
      <xdr:col>18</xdr:col>
      <xdr:colOff>335189</xdr:colOff>
      <xdr:row>25</xdr:row>
      <xdr:rowOff>130629</xdr:rowOff>
    </xdr:to>
    <xdr:cxnSp macro="">
      <xdr:nvCxnSpPr>
        <xdr:cNvPr id="50" name="SCHEMA_T06_SOSTEGNO_10_SX">
          <a:extLst>
            <a:ext uri="{FF2B5EF4-FFF2-40B4-BE49-F238E27FC236}">
              <a16:creationId xmlns:a16="http://schemas.microsoft.com/office/drawing/2014/main" id="{BD8696C4-F733-D6ED-4C98-380408E8C845}"/>
            </a:ext>
          </a:extLst>
        </xdr:cNvPr>
        <xdr:cNvCxnSpPr/>
      </xdr:nvCxnSpPr>
      <xdr:spPr>
        <a:xfrm flipV="1">
          <a:off x="7629525" y="4064317"/>
          <a:ext cx="44450" cy="3060383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335189</xdr:colOff>
      <xdr:row>13</xdr:row>
      <xdr:rowOff>9388</xdr:rowOff>
    </xdr:from>
    <xdr:to>
      <xdr:col>19</xdr:col>
      <xdr:colOff>43996</xdr:colOff>
      <xdr:row>25</xdr:row>
      <xdr:rowOff>130629</xdr:rowOff>
    </xdr:to>
    <xdr:cxnSp macro="">
      <xdr:nvCxnSpPr>
        <xdr:cNvPr id="51" name="SCHEMA_T06_SOSTEGNO_10_DX">
          <a:extLst>
            <a:ext uri="{FF2B5EF4-FFF2-40B4-BE49-F238E27FC236}">
              <a16:creationId xmlns:a16="http://schemas.microsoft.com/office/drawing/2014/main" id="{64D35AF2-B183-E7DA-4D84-1D60171F0878}"/>
            </a:ext>
          </a:extLst>
        </xdr:cNvPr>
        <xdr:cNvCxnSpPr/>
      </xdr:nvCxnSpPr>
      <xdr:spPr>
        <a:xfrm flipH="1" flipV="1">
          <a:off x="7673975" y="4064317"/>
          <a:ext cx="44450" cy="3060383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290739</xdr:colOff>
      <xdr:row>15</xdr:row>
      <xdr:rowOff>70401</xdr:rowOff>
    </xdr:from>
    <xdr:to>
      <xdr:col>19</xdr:col>
      <xdr:colOff>43996</xdr:colOff>
      <xdr:row>15</xdr:row>
      <xdr:rowOff>70401</xdr:rowOff>
    </xdr:to>
    <xdr:cxnSp macro="">
      <xdr:nvCxnSpPr>
        <xdr:cNvPr id="52" name="SCHEMA_T06_SOSTEGNO_10_TR1">
          <a:extLst>
            <a:ext uri="{FF2B5EF4-FFF2-40B4-BE49-F238E27FC236}">
              <a16:creationId xmlns:a16="http://schemas.microsoft.com/office/drawing/2014/main" id="{69BD797A-FA32-048D-B5BC-E00907FC7A3A}"/>
            </a:ext>
          </a:extLst>
        </xdr:cNvPr>
        <xdr:cNvCxnSpPr/>
      </xdr:nvCxnSpPr>
      <xdr:spPr>
        <a:xfrm>
          <a:off x="7629525" y="4615187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290739</xdr:colOff>
      <xdr:row>16</xdr:row>
      <xdr:rowOff>192718</xdr:rowOff>
    </xdr:from>
    <xdr:to>
      <xdr:col>19</xdr:col>
      <xdr:colOff>43996</xdr:colOff>
      <xdr:row>16</xdr:row>
      <xdr:rowOff>192718</xdr:rowOff>
    </xdr:to>
    <xdr:cxnSp macro="">
      <xdr:nvCxnSpPr>
        <xdr:cNvPr id="53" name="SCHEMA_T06_SOSTEGNO_10_TR2">
          <a:extLst>
            <a:ext uri="{FF2B5EF4-FFF2-40B4-BE49-F238E27FC236}">
              <a16:creationId xmlns:a16="http://schemas.microsoft.com/office/drawing/2014/main" id="{DD763610-CEF1-4C69-4BB8-A238BB8F066B}"/>
            </a:ext>
          </a:extLst>
        </xdr:cNvPr>
        <xdr:cNvCxnSpPr/>
      </xdr:nvCxnSpPr>
      <xdr:spPr>
        <a:xfrm>
          <a:off x="7629525" y="4982432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290739</xdr:colOff>
      <xdr:row>18</xdr:row>
      <xdr:rowOff>70107</xdr:rowOff>
    </xdr:from>
    <xdr:to>
      <xdr:col>19</xdr:col>
      <xdr:colOff>43996</xdr:colOff>
      <xdr:row>18</xdr:row>
      <xdr:rowOff>70107</xdr:rowOff>
    </xdr:to>
    <xdr:cxnSp macro="">
      <xdr:nvCxnSpPr>
        <xdr:cNvPr id="54" name="SCHEMA_T06_SOSTEGNO_10_TR3">
          <a:extLst>
            <a:ext uri="{FF2B5EF4-FFF2-40B4-BE49-F238E27FC236}">
              <a16:creationId xmlns:a16="http://schemas.microsoft.com/office/drawing/2014/main" id="{76D96DF3-15C2-D935-13EC-209E076286B2}"/>
            </a:ext>
          </a:extLst>
        </xdr:cNvPr>
        <xdr:cNvCxnSpPr/>
      </xdr:nvCxnSpPr>
      <xdr:spPr>
        <a:xfrm>
          <a:off x="7629525" y="5349678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286204</xdr:colOff>
      <xdr:row>14</xdr:row>
      <xdr:rowOff>68731</xdr:rowOff>
    </xdr:from>
    <xdr:to>
      <xdr:col>20</xdr:col>
      <xdr:colOff>330654</xdr:colOff>
      <xdr:row>25</xdr:row>
      <xdr:rowOff>130629</xdr:rowOff>
    </xdr:to>
    <xdr:cxnSp macro="">
      <xdr:nvCxnSpPr>
        <xdr:cNvPr id="55" name="SCHEMA_T06_SOSTEGNO_11_SX">
          <a:extLst>
            <a:ext uri="{FF2B5EF4-FFF2-40B4-BE49-F238E27FC236}">
              <a16:creationId xmlns:a16="http://schemas.microsoft.com/office/drawing/2014/main" id="{A7510FDC-770E-EE79-4345-CF99DF0A4998}"/>
            </a:ext>
          </a:extLst>
        </xdr:cNvPr>
        <xdr:cNvCxnSpPr/>
      </xdr:nvCxnSpPr>
      <xdr:spPr>
        <a:xfrm flipV="1">
          <a:off x="8296275" y="4368588"/>
          <a:ext cx="44450" cy="2756112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330654</xdr:colOff>
      <xdr:row>14</xdr:row>
      <xdr:rowOff>68731</xdr:rowOff>
    </xdr:from>
    <xdr:to>
      <xdr:col>21</xdr:col>
      <xdr:colOff>39461</xdr:colOff>
      <xdr:row>25</xdr:row>
      <xdr:rowOff>130629</xdr:rowOff>
    </xdr:to>
    <xdr:cxnSp macro="">
      <xdr:nvCxnSpPr>
        <xdr:cNvPr id="56" name="SCHEMA_T06_SOSTEGNO_11_DX">
          <a:extLst>
            <a:ext uri="{FF2B5EF4-FFF2-40B4-BE49-F238E27FC236}">
              <a16:creationId xmlns:a16="http://schemas.microsoft.com/office/drawing/2014/main" id="{22FFDDA3-09A1-10E1-BE93-F05570320A64}"/>
            </a:ext>
          </a:extLst>
        </xdr:cNvPr>
        <xdr:cNvCxnSpPr/>
      </xdr:nvCxnSpPr>
      <xdr:spPr>
        <a:xfrm flipH="1" flipV="1">
          <a:off x="8340725" y="4368588"/>
          <a:ext cx="44450" cy="2756112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286204</xdr:colOff>
      <xdr:row>16</xdr:row>
      <xdr:rowOff>74974</xdr:rowOff>
    </xdr:from>
    <xdr:to>
      <xdr:col>21</xdr:col>
      <xdr:colOff>39461</xdr:colOff>
      <xdr:row>16</xdr:row>
      <xdr:rowOff>74974</xdr:rowOff>
    </xdr:to>
    <xdr:cxnSp macro="">
      <xdr:nvCxnSpPr>
        <xdr:cNvPr id="57" name="SCHEMA_T06_SOSTEGNO_11_TR1">
          <a:extLst>
            <a:ext uri="{FF2B5EF4-FFF2-40B4-BE49-F238E27FC236}">
              <a16:creationId xmlns:a16="http://schemas.microsoft.com/office/drawing/2014/main" id="{3901B1BA-B45C-C1B4-00FA-EC75860695C8}"/>
            </a:ext>
          </a:extLst>
        </xdr:cNvPr>
        <xdr:cNvCxnSpPr/>
      </xdr:nvCxnSpPr>
      <xdr:spPr>
        <a:xfrm>
          <a:off x="8296275" y="4864688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286204</xdr:colOff>
      <xdr:row>17</xdr:row>
      <xdr:rowOff>160779</xdr:rowOff>
    </xdr:from>
    <xdr:to>
      <xdr:col>21</xdr:col>
      <xdr:colOff>39461</xdr:colOff>
      <xdr:row>17</xdr:row>
      <xdr:rowOff>160779</xdr:rowOff>
    </xdr:to>
    <xdr:cxnSp macro="">
      <xdr:nvCxnSpPr>
        <xdr:cNvPr id="58" name="SCHEMA_T06_SOSTEGNO_11_TR2">
          <a:extLst>
            <a:ext uri="{FF2B5EF4-FFF2-40B4-BE49-F238E27FC236}">
              <a16:creationId xmlns:a16="http://schemas.microsoft.com/office/drawing/2014/main" id="{79438B22-508A-CBF5-3E70-305CEEE05700}"/>
            </a:ext>
          </a:extLst>
        </xdr:cNvPr>
        <xdr:cNvCxnSpPr/>
      </xdr:nvCxnSpPr>
      <xdr:spPr>
        <a:xfrm>
          <a:off x="8296275" y="5195422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286204</xdr:colOff>
      <xdr:row>19</xdr:row>
      <xdr:rowOff>1655</xdr:rowOff>
    </xdr:from>
    <xdr:to>
      <xdr:col>21</xdr:col>
      <xdr:colOff>39461</xdr:colOff>
      <xdr:row>19</xdr:row>
      <xdr:rowOff>1655</xdr:rowOff>
    </xdr:to>
    <xdr:cxnSp macro="">
      <xdr:nvCxnSpPr>
        <xdr:cNvPr id="59" name="SCHEMA_T06_SOSTEGNO_11_TR3">
          <a:extLst>
            <a:ext uri="{FF2B5EF4-FFF2-40B4-BE49-F238E27FC236}">
              <a16:creationId xmlns:a16="http://schemas.microsoft.com/office/drawing/2014/main" id="{5D97293B-B7AA-166E-87AD-48891B1C5748}"/>
            </a:ext>
          </a:extLst>
        </xdr:cNvPr>
        <xdr:cNvCxnSpPr/>
      </xdr:nvCxnSpPr>
      <xdr:spPr>
        <a:xfrm>
          <a:off x="8296275" y="5526155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281668</xdr:colOff>
      <xdr:row>13</xdr:row>
      <xdr:rowOff>224437</xdr:rowOff>
    </xdr:from>
    <xdr:to>
      <xdr:col>22</xdr:col>
      <xdr:colOff>326118</xdr:colOff>
      <xdr:row>25</xdr:row>
      <xdr:rowOff>130629</xdr:rowOff>
    </xdr:to>
    <xdr:cxnSp macro="">
      <xdr:nvCxnSpPr>
        <xdr:cNvPr id="60" name="SCHEMA_T06_SOSTEGNO_12_SX">
          <a:extLst>
            <a:ext uri="{FF2B5EF4-FFF2-40B4-BE49-F238E27FC236}">
              <a16:creationId xmlns:a16="http://schemas.microsoft.com/office/drawing/2014/main" id="{4D71F0EE-F46A-4A41-8323-287281DEE947}"/>
            </a:ext>
          </a:extLst>
        </xdr:cNvPr>
        <xdr:cNvCxnSpPr/>
      </xdr:nvCxnSpPr>
      <xdr:spPr>
        <a:xfrm flipV="1">
          <a:off x="8963025" y="4279366"/>
          <a:ext cx="44450" cy="2845334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326118</xdr:colOff>
      <xdr:row>13</xdr:row>
      <xdr:rowOff>224437</xdr:rowOff>
    </xdr:from>
    <xdr:to>
      <xdr:col>23</xdr:col>
      <xdr:colOff>34925</xdr:colOff>
      <xdr:row>25</xdr:row>
      <xdr:rowOff>130629</xdr:rowOff>
    </xdr:to>
    <xdr:cxnSp macro="">
      <xdr:nvCxnSpPr>
        <xdr:cNvPr id="61" name="SCHEMA_T06_SOSTEGNO_12_DX">
          <a:extLst>
            <a:ext uri="{FF2B5EF4-FFF2-40B4-BE49-F238E27FC236}">
              <a16:creationId xmlns:a16="http://schemas.microsoft.com/office/drawing/2014/main" id="{9F6D0070-5480-B9EA-1A0C-186BD0ACDFAA}"/>
            </a:ext>
          </a:extLst>
        </xdr:cNvPr>
        <xdr:cNvCxnSpPr/>
      </xdr:nvCxnSpPr>
      <xdr:spPr>
        <a:xfrm flipH="1" flipV="1">
          <a:off x="9007475" y="4279366"/>
          <a:ext cx="44450" cy="2845334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281668</xdr:colOff>
      <xdr:row>16</xdr:row>
      <xdr:rowOff>1812</xdr:rowOff>
    </xdr:from>
    <xdr:to>
      <xdr:col>23</xdr:col>
      <xdr:colOff>34925</xdr:colOff>
      <xdr:row>16</xdr:row>
      <xdr:rowOff>1812</xdr:rowOff>
    </xdr:to>
    <xdr:cxnSp macro="">
      <xdr:nvCxnSpPr>
        <xdr:cNvPr id="62" name="SCHEMA_T06_SOSTEGNO_12_TR1">
          <a:extLst>
            <a:ext uri="{FF2B5EF4-FFF2-40B4-BE49-F238E27FC236}">
              <a16:creationId xmlns:a16="http://schemas.microsoft.com/office/drawing/2014/main" id="{F4932C45-392E-B71D-0102-931E376B9005}"/>
            </a:ext>
          </a:extLst>
        </xdr:cNvPr>
        <xdr:cNvCxnSpPr/>
      </xdr:nvCxnSpPr>
      <xdr:spPr>
        <a:xfrm>
          <a:off x="8963025" y="4791526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281668</xdr:colOff>
      <xdr:row>17</xdr:row>
      <xdr:rowOff>98323</xdr:rowOff>
    </xdr:from>
    <xdr:to>
      <xdr:col>23</xdr:col>
      <xdr:colOff>34925</xdr:colOff>
      <xdr:row>17</xdr:row>
      <xdr:rowOff>98323</xdr:rowOff>
    </xdr:to>
    <xdr:cxnSp macro="">
      <xdr:nvCxnSpPr>
        <xdr:cNvPr id="63" name="SCHEMA_T06_SOSTEGNO_12_TR2">
          <a:extLst>
            <a:ext uri="{FF2B5EF4-FFF2-40B4-BE49-F238E27FC236}">
              <a16:creationId xmlns:a16="http://schemas.microsoft.com/office/drawing/2014/main" id="{0FD21587-1F56-D9B6-DD3C-F0456C638211}"/>
            </a:ext>
          </a:extLst>
        </xdr:cNvPr>
        <xdr:cNvCxnSpPr/>
      </xdr:nvCxnSpPr>
      <xdr:spPr>
        <a:xfrm>
          <a:off x="8963025" y="5132966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281668</xdr:colOff>
      <xdr:row>18</xdr:row>
      <xdr:rowOff>194835</xdr:rowOff>
    </xdr:from>
    <xdr:to>
      <xdr:col>23</xdr:col>
      <xdr:colOff>34925</xdr:colOff>
      <xdr:row>18</xdr:row>
      <xdr:rowOff>194835</xdr:rowOff>
    </xdr:to>
    <xdr:cxnSp macro="">
      <xdr:nvCxnSpPr>
        <xdr:cNvPr id="896" name="SCHEMA_T06_SOSTEGNO_12_TR3">
          <a:extLst>
            <a:ext uri="{FF2B5EF4-FFF2-40B4-BE49-F238E27FC236}">
              <a16:creationId xmlns:a16="http://schemas.microsoft.com/office/drawing/2014/main" id="{87983F03-B92C-784B-8003-838129AED620}"/>
            </a:ext>
          </a:extLst>
        </xdr:cNvPr>
        <xdr:cNvCxnSpPr/>
      </xdr:nvCxnSpPr>
      <xdr:spPr>
        <a:xfrm>
          <a:off x="8963025" y="5474406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277132</xdr:colOff>
      <xdr:row>13</xdr:row>
      <xdr:rowOff>180969</xdr:rowOff>
    </xdr:from>
    <xdr:to>
      <xdr:col>24</xdr:col>
      <xdr:colOff>321582</xdr:colOff>
      <xdr:row>25</xdr:row>
      <xdr:rowOff>130629</xdr:rowOff>
    </xdr:to>
    <xdr:cxnSp macro="">
      <xdr:nvCxnSpPr>
        <xdr:cNvPr id="897" name="SCHEMA_T06_SOSTEGNO_13_SX">
          <a:extLst>
            <a:ext uri="{FF2B5EF4-FFF2-40B4-BE49-F238E27FC236}">
              <a16:creationId xmlns:a16="http://schemas.microsoft.com/office/drawing/2014/main" id="{4A969C96-9A8A-F811-1367-0A13B6BE46FE}"/>
            </a:ext>
          </a:extLst>
        </xdr:cNvPr>
        <xdr:cNvCxnSpPr/>
      </xdr:nvCxnSpPr>
      <xdr:spPr>
        <a:xfrm flipV="1">
          <a:off x="9629775" y="4235898"/>
          <a:ext cx="44450" cy="2888802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321582</xdr:colOff>
      <xdr:row>13</xdr:row>
      <xdr:rowOff>180969</xdr:rowOff>
    </xdr:from>
    <xdr:to>
      <xdr:col>25</xdr:col>
      <xdr:colOff>30389</xdr:colOff>
      <xdr:row>25</xdr:row>
      <xdr:rowOff>130629</xdr:rowOff>
    </xdr:to>
    <xdr:cxnSp macro="">
      <xdr:nvCxnSpPr>
        <xdr:cNvPr id="898" name="SCHEMA_T06_SOSTEGNO_13_DX">
          <a:extLst>
            <a:ext uri="{FF2B5EF4-FFF2-40B4-BE49-F238E27FC236}">
              <a16:creationId xmlns:a16="http://schemas.microsoft.com/office/drawing/2014/main" id="{7EAC874B-AF42-C673-1DD5-BCA2B555D142}"/>
            </a:ext>
          </a:extLst>
        </xdr:cNvPr>
        <xdr:cNvCxnSpPr/>
      </xdr:nvCxnSpPr>
      <xdr:spPr>
        <a:xfrm flipH="1" flipV="1">
          <a:off x="9674225" y="4235898"/>
          <a:ext cx="44450" cy="2888802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277132</xdr:colOff>
      <xdr:row>15</xdr:row>
      <xdr:rowOff>211097</xdr:rowOff>
    </xdr:from>
    <xdr:to>
      <xdr:col>25</xdr:col>
      <xdr:colOff>30389</xdr:colOff>
      <xdr:row>15</xdr:row>
      <xdr:rowOff>211097</xdr:rowOff>
    </xdr:to>
    <xdr:cxnSp macro="">
      <xdr:nvCxnSpPr>
        <xdr:cNvPr id="899" name="SCHEMA_T06_SOSTEGNO_13_TR1">
          <a:extLst>
            <a:ext uri="{FF2B5EF4-FFF2-40B4-BE49-F238E27FC236}">
              <a16:creationId xmlns:a16="http://schemas.microsoft.com/office/drawing/2014/main" id="{DB98CBFA-6A87-3513-22C9-361F0B98DD00}"/>
            </a:ext>
          </a:extLst>
        </xdr:cNvPr>
        <xdr:cNvCxnSpPr/>
      </xdr:nvCxnSpPr>
      <xdr:spPr>
        <a:xfrm>
          <a:off x="9629775" y="4755883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277132</xdr:colOff>
      <xdr:row>17</xdr:row>
      <xdr:rowOff>67896</xdr:rowOff>
    </xdr:from>
    <xdr:to>
      <xdr:col>25</xdr:col>
      <xdr:colOff>30389</xdr:colOff>
      <xdr:row>17</xdr:row>
      <xdr:rowOff>67896</xdr:rowOff>
    </xdr:to>
    <xdr:cxnSp macro="">
      <xdr:nvCxnSpPr>
        <xdr:cNvPr id="900" name="SCHEMA_T06_SOSTEGNO_13_TR2">
          <a:extLst>
            <a:ext uri="{FF2B5EF4-FFF2-40B4-BE49-F238E27FC236}">
              <a16:creationId xmlns:a16="http://schemas.microsoft.com/office/drawing/2014/main" id="{7544F84D-3E1A-3355-14B2-FCDA51376DDB}"/>
            </a:ext>
          </a:extLst>
        </xdr:cNvPr>
        <xdr:cNvCxnSpPr/>
      </xdr:nvCxnSpPr>
      <xdr:spPr>
        <a:xfrm>
          <a:off x="9629775" y="5102539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277132</xdr:colOff>
      <xdr:row>18</xdr:row>
      <xdr:rowOff>169624</xdr:rowOff>
    </xdr:from>
    <xdr:to>
      <xdr:col>25</xdr:col>
      <xdr:colOff>30389</xdr:colOff>
      <xdr:row>18</xdr:row>
      <xdr:rowOff>169624</xdr:rowOff>
    </xdr:to>
    <xdr:cxnSp macro="">
      <xdr:nvCxnSpPr>
        <xdr:cNvPr id="636" name="SCHEMA_T06_SOSTEGNO_13_TR3">
          <a:extLst>
            <a:ext uri="{FF2B5EF4-FFF2-40B4-BE49-F238E27FC236}">
              <a16:creationId xmlns:a16="http://schemas.microsoft.com/office/drawing/2014/main" id="{BA673CFC-1776-632D-A54A-B7BBC41CAA8B}"/>
            </a:ext>
          </a:extLst>
        </xdr:cNvPr>
        <xdr:cNvCxnSpPr/>
      </xdr:nvCxnSpPr>
      <xdr:spPr>
        <a:xfrm>
          <a:off x="9629775" y="5449195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272596</xdr:colOff>
      <xdr:row>14</xdr:row>
      <xdr:rowOff>107623</xdr:rowOff>
    </xdr:from>
    <xdr:to>
      <xdr:col>26</xdr:col>
      <xdr:colOff>317046</xdr:colOff>
      <xdr:row>25</xdr:row>
      <xdr:rowOff>130629</xdr:rowOff>
    </xdr:to>
    <xdr:cxnSp macro="">
      <xdr:nvCxnSpPr>
        <xdr:cNvPr id="637" name="SCHEMA_T06_SOSTEGNO_14_SX">
          <a:extLst>
            <a:ext uri="{FF2B5EF4-FFF2-40B4-BE49-F238E27FC236}">
              <a16:creationId xmlns:a16="http://schemas.microsoft.com/office/drawing/2014/main" id="{8EA0E936-2372-AACD-25DD-9961A7F91FC0}"/>
            </a:ext>
          </a:extLst>
        </xdr:cNvPr>
        <xdr:cNvCxnSpPr/>
      </xdr:nvCxnSpPr>
      <xdr:spPr>
        <a:xfrm flipV="1">
          <a:off x="10296525" y="4407480"/>
          <a:ext cx="44450" cy="2717220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317046</xdr:colOff>
      <xdr:row>14</xdr:row>
      <xdr:rowOff>107623</xdr:rowOff>
    </xdr:from>
    <xdr:to>
      <xdr:col>27</xdr:col>
      <xdr:colOff>25854</xdr:colOff>
      <xdr:row>25</xdr:row>
      <xdr:rowOff>130629</xdr:rowOff>
    </xdr:to>
    <xdr:cxnSp macro="">
      <xdr:nvCxnSpPr>
        <xdr:cNvPr id="638" name="SCHEMA_T06_SOSTEGNO_14_DX">
          <a:extLst>
            <a:ext uri="{FF2B5EF4-FFF2-40B4-BE49-F238E27FC236}">
              <a16:creationId xmlns:a16="http://schemas.microsoft.com/office/drawing/2014/main" id="{098FC1B5-2139-C548-F7F6-1AEED6F7F9AD}"/>
            </a:ext>
          </a:extLst>
        </xdr:cNvPr>
        <xdr:cNvCxnSpPr/>
      </xdr:nvCxnSpPr>
      <xdr:spPr>
        <a:xfrm flipH="1" flipV="1">
          <a:off x="10340975" y="4407480"/>
          <a:ext cx="44450" cy="2717220"/>
        </a:xfrm>
        <a:prstGeom prst="line">
          <a:avLst/>
        </a:prstGeom>
        <a:ln w="1524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272596</xdr:colOff>
      <xdr:row>16</xdr:row>
      <xdr:rowOff>106865</xdr:rowOff>
    </xdr:from>
    <xdr:to>
      <xdr:col>27</xdr:col>
      <xdr:colOff>25854</xdr:colOff>
      <xdr:row>16</xdr:row>
      <xdr:rowOff>106865</xdr:rowOff>
    </xdr:to>
    <xdr:cxnSp macro="">
      <xdr:nvCxnSpPr>
        <xdr:cNvPr id="639" name="SCHEMA_T06_SOSTEGNO_14_TR1">
          <a:extLst>
            <a:ext uri="{FF2B5EF4-FFF2-40B4-BE49-F238E27FC236}">
              <a16:creationId xmlns:a16="http://schemas.microsoft.com/office/drawing/2014/main" id="{1C57871C-7622-AC9C-93B5-EDD4035F6912}"/>
            </a:ext>
          </a:extLst>
        </xdr:cNvPr>
        <xdr:cNvCxnSpPr/>
      </xdr:nvCxnSpPr>
      <xdr:spPr>
        <a:xfrm>
          <a:off x="10296525" y="4896579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272596</xdr:colOff>
      <xdr:row>17</xdr:row>
      <xdr:rowOff>188003</xdr:rowOff>
    </xdr:from>
    <xdr:to>
      <xdr:col>27</xdr:col>
      <xdr:colOff>25854</xdr:colOff>
      <xdr:row>17</xdr:row>
      <xdr:rowOff>188003</xdr:rowOff>
    </xdr:to>
    <xdr:cxnSp macro="">
      <xdr:nvCxnSpPr>
        <xdr:cNvPr id="256" name="SCHEMA_T06_SOSTEGNO_14_TR2">
          <a:extLst>
            <a:ext uri="{FF2B5EF4-FFF2-40B4-BE49-F238E27FC236}">
              <a16:creationId xmlns:a16="http://schemas.microsoft.com/office/drawing/2014/main" id="{74D237D6-1068-77AE-8008-C54A5C93DBD1}"/>
            </a:ext>
          </a:extLst>
        </xdr:cNvPr>
        <xdr:cNvCxnSpPr/>
      </xdr:nvCxnSpPr>
      <xdr:spPr>
        <a:xfrm>
          <a:off x="10296525" y="5222646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272596</xdr:colOff>
      <xdr:row>19</xdr:row>
      <xdr:rowOff>24212</xdr:rowOff>
    </xdr:from>
    <xdr:to>
      <xdr:col>27</xdr:col>
      <xdr:colOff>25854</xdr:colOff>
      <xdr:row>19</xdr:row>
      <xdr:rowOff>24212</xdr:rowOff>
    </xdr:to>
    <xdr:cxnSp macro="">
      <xdr:nvCxnSpPr>
        <xdr:cNvPr id="257" name="SCHEMA_T06_SOSTEGNO_14_TR3">
          <a:extLst>
            <a:ext uri="{FF2B5EF4-FFF2-40B4-BE49-F238E27FC236}">
              <a16:creationId xmlns:a16="http://schemas.microsoft.com/office/drawing/2014/main" id="{DA74C654-9713-3BF7-647B-4DBE67784EFB}"/>
            </a:ext>
          </a:extLst>
        </xdr:cNvPr>
        <xdr:cNvCxnSpPr/>
      </xdr:nvCxnSpPr>
      <xdr:spPr>
        <a:xfrm>
          <a:off x="10296525" y="5548712"/>
          <a:ext cx="88900" cy="0"/>
        </a:xfrm>
        <a:prstGeom prst="line">
          <a:avLst/>
        </a:prstGeom>
        <a:ln w="10160">
          <a:solidFill>
            <a:srgbClr val="2020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268061</xdr:colOff>
      <xdr:row>14</xdr:row>
      <xdr:rowOff>194557</xdr:rowOff>
    </xdr:from>
    <xdr:to>
      <xdr:col>28</xdr:col>
      <xdr:colOff>312511</xdr:colOff>
      <xdr:row>25</xdr:row>
      <xdr:rowOff>130629</xdr:rowOff>
    </xdr:to>
    <xdr:cxnSp macro="">
      <xdr:nvCxnSpPr>
        <xdr:cNvPr id="258" name="SCHEMA_T06_SOSTEGNO_15_SX">
          <a:extLst>
            <a:ext uri="{FF2B5EF4-FFF2-40B4-BE49-F238E27FC236}">
              <a16:creationId xmlns:a16="http://schemas.microsoft.com/office/drawing/2014/main" id="{470F1AD2-6C5E-9BA6-F79E-6EFE036BC6BA}"/>
            </a:ext>
          </a:extLst>
        </xdr:cNvPr>
        <xdr:cNvCxnSpPr/>
      </xdr:nvCxnSpPr>
      <xdr:spPr>
        <a:xfrm flipV="1">
          <a:off x="10963275" y="4494414"/>
          <a:ext cx="44450" cy="2630286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312511</xdr:colOff>
      <xdr:row>14</xdr:row>
      <xdr:rowOff>194557</xdr:rowOff>
    </xdr:from>
    <xdr:to>
      <xdr:col>29</xdr:col>
      <xdr:colOff>21318</xdr:colOff>
      <xdr:row>25</xdr:row>
      <xdr:rowOff>130629</xdr:rowOff>
    </xdr:to>
    <xdr:cxnSp macro="">
      <xdr:nvCxnSpPr>
        <xdr:cNvPr id="259" name="SCHEMA_T06_SOSTEGNO_15_DX">
          <a:extLst>
            <a:ext uri="{FF2B5EF4-FFF2-40B4-BE49-F238E27FC236}">
              <a16:creationId xmlns:a16="http://schemas.microsoft.com/office/drawing/2014/main" id="{045B12EA-6793-EE37-0702-68404DC8ED2B}"/>
            </a:ext>
          </a:extLst>
        </xdr:cNvPr>
        <xdr:cNvCxnSpPr/>
      </xdr:nvCxnSpPr>
      <xdr:spPr>
        <a:xfrm flipH="1" flipV="1">
          <a:off x="11007725" y="4494414"/>
          <a:ext cx="44450" cy="2630286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268061</xdr:colOff>
      <xdr:row>16</xdr:row>
      <xdr:rowOff>178151</xdr:rowOff>
    </xdr:from>
    <xdr:to>
      <xdr:col>29</xdr:col>
      <xdr:colOff>21318</xdr:colOff>
      <xdr:row>16</xdr:row>
      <xdr:rowOff>178151</xdr:rowOff>
    </xdr:to>
    <xdr:cxnSp macro="">
      <xdr:nvCxnSpPr>
        <xdr:cNvPr id="260" name="SCHEMA_T06_SOSTEGNO_15_TR1">
          <a:extLst>
            <a:ext uri="{FF2B5EF4-FFF2-40B4-BE49-F238E27FC236}">
              <a16:creationId xmlns:a16="http://schemas.microsoft.com/office/drawing/2014/main" id="{456FDD13-EED2-CD21-90EA-9F8661B83540}"/>
            </a:ext>
          </a:extLst>
        </xdr:cNvPr>
        <xdr:cNvCxnSpPr/>
      </xdr:nvCxnSpPr>
      <xdr:spPr>
        <a:xfrm>
          <a:off x="10963275" y="4967865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268061</xdr:colOff>
      <xdr:row>18</xdr:row>
      <xdr:rowOff>3929</xdr:rowOff>
    </xdr:from>
    <xdr:to>
      <xdr:col>29</xdr:col>
      <xdr:colOff>21318</xdr:colOff>
      <xdr:row>18</xdr:row>
      <xdr:rowOff>3929</xdr:rowOff>
    </xdr:to>
    <xdr:cxnSp macro="">
      <xdr:nvCxnSpPr>
        <xdr:cNvPr id="261" name="SCHEMA_T06_SOSTEGNO_15_TR2">
          <a:extLst>
            <a:ext uri="{FF2B5EF4-FFF2-40B4-BE49-F238E27FC236}">
              <a16:creationId xmlns:a16="http://schemas.microsoft.com/office/drawing/2014/main" id="{14FD7426-7106-2F71-DFAF-1A8515644A6E}"/>
            </a:ext>
          </a:extLst>
        </xdr:cNvPr>
        <xdr:cNvCxnSpPr/>
      </xdr:nvCxnSpPr>
      <xdr:spPr>
        <a:xfrm>
          <a:off x="10963275" y="5283500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268061</xdr:colOff>
      <xdr:row>19</xdr:row>
      <xdr:rowOff>74634</xdr:rowOff>
    </xdr:from>
    <xdr:to>
      <xdr:col>29</xdr:col>
      <xdr:colOff>21318</xdr:colOff>
      <xdr:row>19</xdr:row>
      <xdr:rowOff>74634</xdr:rowOff>
    </xdr:to>
    <xdr:cxnSp macro="">
      <xdr:nvCxnSpPr>
        <xdr:cNvPr id="262" name="SCHEMA_T06_SOSTEGNO_15_TR3">
          <a:extLst>
            <a:ext uri="{FF2B5EF4-FFF2-40B4-BE49-F238E27FC236}">
              <a16:creationId xmlns:a16="http://schemas.microsoft.com/office/drawing/2014/main" id="{05A10BBD-118E-5732-088E-28CAF7444D66}"/>
            </a:ext>
          </a:extLst>
        </xdr:cNvPr>
        <xdr:cNvCxnSpPr/>
      </xdr:nvCxnSpPr>
      <xdr:spPr>
        <a:xfrm>
          <a:off x="10963275" y="5599134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263525</xdr:colOff>
      <xdr:row>16</xdr:row>
      <xdr:rowOff>22697</xdr:rowOff>
    </xdr:from>
    <xdr:to>
      <xdr:col>30</xdr:col>
      <xdr:colOff>307975</xdr:colOff>
      <xdr:row>25</xdr:row>
      <xdr:rowOff>130629</xdr:rowOff>
    </xdr:to>
    <xdr:cxnSp macro="">
      <xdr:nvCxnSpPr>
        <xdr:cNvPr id="263" name="SCHEMA_T06_SOSTEGNO_16_SX">
          <a:extLst>
            <a:ext uri="{FF2B5EF4-FFF2-40B4-BE49-F238E27FC236}">
              <a16:creationId xmlns:a16="http://schemas.microsoft.com/office/drawing/2014/main" id="{66A11226-68AD-C782-0F09-5C38F44A37A2}"/>
            </a:ext>
          </a:extLst>
        </xdr:cNvPr>
        <xdr:cNvCxnSpPr/>
      </xdr:nvCxnSpPr>
      <xdr:spPr>
        <a:xfrm flipV="1">
          <a:off x="11630025" y="4812411"/>
          <a:ext cx="44450" cy="2312289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307975</xdr:colOff>
      <xdr:row>16</xdr:row>
      <xdr:rowOff>22697</xdr:rowOff>
    </xdr:from>
    <xdr:to>
      <xdr:col>31</xdr:col>
      <xdr:colOff>16782</xdr:colOff>
      <xdr:row>25</xdr:row>
      <xdr:rowOff>130629</xdr:rowOff>
    </xdr:to>
    <xdr:cxnSp macro="">
      <xdr:nvCxnSpPr>
        <xdr:cNvPr id="264" name="SCHEMA_T06_SOSTEGNO_16_DX">
          <a:extLst>
            <a:ext uri="{FF2B5EF4-FFF2-40B4-BE49-F238E27FC236}">
              <a16:creationId xmlns:a16="http://schemas.microsoft.com/office/drawing/2014/main" id="{1A0F2498-A370-D6BE-43C1-E6A210600CC0}"/>
            </a:ext>
          </a:extLst>
        </xdr:cNvPr>
        <xdr:cNvCxnSpPr/>
      </xdr:nvCxnSpPr>
      <xdr:spPr>
        <a:xfrm flipH="1" flipV="1">
          <a:off x="11674475" y="4812411"/>
          <a:ext cx="44450" cy="2312289"/>
        </a:xfrm>
        <a:prstGeom prst="line">
          <a:avLst/>
        </a:prstGeom>
        <a:ln w="1524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263525</xdr:colOff>
      <xdr:row>17</xdr:row>
      <xdr:rowOff>193980</xdr:rowOff>
    </xdr:from>
    <xdr:to>
      <xdr:col>31</xdr:col>
      <xdr:colOff>16782</xdr:colOff>
      <xdr:row>17</xdr:row>
      <xdr:rowOff>193980</xdr:rowOff>
    </xdr:to>
    <xdr:cxnSp macro="">
      <xdr:nvCxnSpPr>
        <xdr:cNvPr id="265" name="SCHEMA_T06_SOSTEGNO_16_TR1">
          <a:extLst>
            <a:ext uri="{FF2B5EF4-FFF2-40B4-BE49-F238E27FC236}">
              <a16:creationId xmlns:a16="http://schemas.microsoft.com/office/drawing/2014/main" id="{53D0570F-2753-A4AD-43AA-841876230944}"/>
            </a:ext>
          </a:extLst>
        </xdr:cNvPr>
        <xdr:cNvCxnSpPr/>
      </xdr:nvCxnSpPr>
      <xdr:spPr>
        <a:xfrm>
          <a:off x="11630025" y="5228623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263525</xdr:colOff>
      <xdr:row>18</xdr:row>
      <xdr:rowOff>226527</xdr:rowOff>
    </xdr:from>
    <xdr:to>
      <xdr:col>31</xdr:col>
      <xdr:colOff>16782</xdr:colOff>
      <xdr:row>18</xdr:row>
      <xdr:rowOff>226527</xdr:rowOff>
    </xdr:to>
    <xdr:cxnSp macro="">
      <xdr:nvCxnSpPr>
        <xdr:cNvPr id="266" name="SCHEMA_T06_SOSTEGNO_16_TR2">
          <a:extLst>
            <a:ext uri="{FF2B5EF4-FFF2-40B4-BE49-F238E27FC236}">
              <a16:creationId xmlns:a16="http://schemas.microsoft.com/office/drawing/2014/main" id="{8EDAD97E-A6D9-3C7B-CBEE-E4EC86A17529}"/>
            </a:ext>
          </a:extLst>
        </xdr:cNvPr>
        <xdr:cNvCxnSpPr/>
      </xdr:nvCxnSpPr>
      <xdr:spPr>
        <a:xfrm>
          <a:off x="11630025" y="5506098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263525</xdr:colOff>
      <xdr:row>20</xdr:row>
      <xdr:rowOff>14144</xdr:rowOff>
    </xdr:from>
    <xdr:to>
      <xdr:col>31</xdr:col>
      <xdr:colOff>16782</xdr:colOff>
      <xdr:row>20</xdr:row>
      <xdr:rowOff>14144</xdr:rowOff>
    </xdr:to>
    <xdr:cxnSp macro="">
      <xdr:nvCxnSpPr>
        <xdr:cNvPr id="267" name="SCHEMA_T06_SOSTEGNO_16_TR3">
          <a:extLst>
            <a:ext uri="{FF2B5EF4-FFF2-40B4-BE49-F238E27FC236}">
              <a16:creationId xmlns:a16="http://schemas.microsoft.com/office/drawing/2014/main" id="{31AC6A92-4C31-50F2-2C8D-3F1331C2207E}"/>
            </a:ext>
          </a:extLst>
        </xdr:cNvPr>
        <xdr:cNvCxnSpPr/>
      </xdr:nvCxnSpPr>
      <xdr:spPr>
        <a:xfrm>
          <a:off x="11630025" y="5783573"/>
          <a:ext cx="88900" cy="0"/>
        </a:xfrm>
        <a:prstGeom prst="line">
          <a:avLst/>
        </a:prstGeom>
        <a:ln w="1016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40368</xdr:colOff>
      <xdr:row>14</xdr:row>
      <xdr:rowOff>123167</xdr:rowOff>
    </xdr:from>
    <xdr:to>
      <xdr:col>1</xdr:col>
      <xdr:colOff>262618</xdr:colOff>
      <xdr:row>15</xdr:row>
      <xdr:rowOff>31537</xdr:rowOff>
    </xdr:to>
    <xdr:cxnSp macro="">
      <xdr:nvCxnSpPr>
        <xdr:cNvPr id="268" name="SCHEMA_T06_COND_0001">
          <a:extLst>
            <a:ext uri="{FF2B5EF4-FFF2-40B4-BE49-F238E27FC236}">
              <a16:creationId xmlns:a16="http://schemas.microsoft.com/office/drawing/2014/main" id="{AAE3D4FD-44FB-B679-F2BE-DD73BEA4F39B}"/>
            </a:ext>
          </a:extLst>
        </xdr:cNvPr>
        <xdr:cNvCxnSpPr/>
      </xdr:nvCxnSpPr>
      <xdr:spPr>
        <a:xfrm>
          <a:off x="1673225" y="4423024"/>
          <a:ext cx="222250" cy="153299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262618</xdr:colOff>
      <xdr:row>15</xdr:row>
      <xdr:rowOff>31537</xdr:rowOff>
    </xdr:from>
    <xdr:to>
      <xdr:col>2</xdr:col>
      <xdr:colOff>149225</xdr:colOff>
      <xdr:row>15</xdr:row>
      <xdr:rowOff>100170</xdr:rowOff>
    </xdr:to>
    <xdr:cxnSp macro="">
      <xdr:nvCxnSpPr>
        <xdr:cNvPr id="269" name="SCHEMA_T06_COND_0002">
          <a:extLst>
            <a:ext uri="{FF2B5EF4-FFF2-40B4-BE49-F238E27FC236}">
              <a16:creationId xmlns:a16="http://schemas.microsoft.com/office/drawing/2014/main" id="{D4EC505D-9B5F-C003-157B-DAF5367A58A6}"/>
            </a:ext>
          </a:extLst>
        </xdr:cNvPr>
        <xdr:cNvCxnSpPr/>
      </xdr:nvCxnSpPr>
      <xdr:spPr>
        <a:xfrm>
          <a:off x="1895475" y="4576323"/>
          <a:ext cx="222250" cy="68633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149225</xdr:colOff>
      <xdr:row>15</xdr:row>
      <xdr:rowOff>84136</xdr:rowOff>
    </xdr:from>
    <xdr:to>
      <xdr:col>3</xdr:col>
      <xdr:colOff>35832</xdr:colOff>
      <xdr:row>15</xdr:row>
      <xdr:rowOff>100170</xdr:rowOff>
    </xdr:to>
    <xdr:cxnSp macro="">
      <xdr:nvCxnSpPr>
        <xdr:cNvPr id="270" name="SCHEMA_T06_COND_0003">
          <a:extLst>
            <a:ext uri="{FF2B5EF4-FFF2-40B4-BE49-F238E27FC236}">
              <a16:creationId xmlns:a16="http://schemas.microsoft.com/office/drawing/2014/main" id="{7F3B2C9D-D116-52A5-A85A-25A064161474}"/>
            </a:ext>
          </a:extLst>
        </xdr:cNvPr>
        <xdr:cNvCxnSpPr/>
      </xdr:nvCxnSpPr>
      <xdr:spPr>
        <a:xfrm flipV="1">
          <a:off x="2117725" y="4628922"/>
          <a:ext cx="222250" cy="16034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40368</xdr:colOff>
      <xdr:row>15</xdr:row>
      <xdr:rowOff>43338</xdr:rowOff>
    </xdr:from>
    <xdr:to>
      <xdr:col>1</xdr:col>
      <xdr:colOff>262618</xdr:colOff>
      <xdr:row>15</xdr:row>
      <xdr:rowOff>196637</xdr:rowOff>
    </xdr:to>
    <xdr:cxnSp macro="">
      <xdr:nvCxnSpPr>
        <xdr:cNvPr id="271" name="SCHEMA_T06_COND_0004">
          <a:extLst>
            <a:ext uri="{FF2B5EF4-FFF2-40B4-BE49-F238E27FC236}">
              <a16:creationId xmlns:a16="http://schemas.microsoft.com/office/drawing/2014/main" id="{D1B6CAEF-5953-FC76-EFA0-B841D12644F5}"/>
            </a:ext>
          </a:extLst>
        </xdr:cNvPr>
        <xdr:cNvCxnSpPr/>
      </xdr:nvCxnSpPr>
      <xdr:spPr>
        <a:xfrm>
          <a:off x="1673225" y="4588124"/>
          <a:ext cx="222250" cy="15329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262618</xdr:colOff>
      <xdr:row>15</xdr:row>
      <xdr:rowOff>196637</xdr:rowOff>
    </xdr:from>
    <xdr:to>
      <xdr:col>2</xdr:col>
      <xdr:colOff>149225</xdr:colOff>
      <xdr:row>16</xdr:row>
      <xdr:rowOff>20342</xdr:rowOff>
    </xdr:to>
    <xdr:cxnSp macro="">
      <xdr:nvCxnSpPr>
        <xdr:cNvPr id="272" name="SCHEMA_T06_COND_0005">
          <a:extLst>
            <a:ext uri="{FF2B5EF4-FFF2-40B4-BE49-F238E27FC236}">
              <a16:creationId xmlns:a16="http://schemas.microsoft.com/office/drawing/2014/main" id="{4DB24672-D3EC-9FDC-8FE3-4BA3D99022F3}"/>
            </a:ext>
          </a:extLst>
        </xdr:cNvPr>
        <xdr:cNvCxnSpPr/>
      </xdr:nvCxnSpPr>
      <xdr:spPr>
        <a:xfrm>
          <a:off x="1895475" y="4741423"/>
          <a:ext cx="222250" cy="6863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149225</xdr:colOff>
      <xdr:row>16</xdr:row>
      <xdr:rowOff>4308</xdr:rowOff>
    </xdr:from>
    <xdr:to>
      <xdr:col>3</xdr:col>
      <xdr:colOff>35832</xdr:colOff>
      <xdr:row>16</xdr:row>
      <xdr:rowOff>20342</xdr:rowOff>
    </xdr:to>
    <xdr:cxnSp macro="">
      <xdr:nvCxnSpPr>
        <xdr:cNvPr id="273" name="SCHEMA_T06_COND_0006">
          <a:extLst>
            <a:ext uri="{FF2B5EF4-FFF2-40B4-BE49-F238E27FC236}">
              <a16:creationId xmlns:a16="http://schemas.microsoft.com/office/drawing/2014/main" id="{B82EAC2E-A669-53DB-C223-D36BEDF85B56}"/>
            </a:ext>
          </a:extLst>
        </xdr:cNvPr>
        <xdr:cNvCxnSpPr/>
      </xdr:nvCxnSpPr>
      <xdr:spPr>
        <a:xfrm flipV="1">
          <a:off x="2117725" y="4794022"/>
          <a:ext cx="222250" cy="16034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40368</xdr:colOff>
      <xdr:row>15</xdr:row>
      <xdr:rowOff>144938</xdr:rowOff>
    </xdr:from>
    <xdr:to>
      <xdr:col>1</xdr:col>
      <xdr:colOff>262618</xdr:colOff>
      <xdr:row>16</xdr:row>
      <xdr:rowOff>53309</xdr:rowOff>
    </xdr:to>
    <xdr:cxnSp macro="">
      <xdr:nvCxnSpPr>
        <xdr:cNvPr id="274" name="SCHEMA_T06_COND_0007">
          <a:extLst>
            <a:ext uri="{FF2B5EF4-FFF2-40B4-BE49-F238E27FC236}">
              <a16:creationId xmlns:a16="http://schemas.microsoft.com/office/drawing/2014/main" id="{84B79DCF-2DBB-68B8-25D5-02631FE397BB}"/>
            </a:ext>
          </a:extLst>
        </xdr:cNvPr>
        <xdr:cNvCxnSpPr/>
      </xdr:nvCxnSpPr>
      <xdr:spPr>
        <a:xfrm>
          <a:off x="1673225" y="4689724"/>
          <a:ext cx="222250" cy="15329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262618</xdr:colOff>
      <xdr:row>16</xdr:row>
      <xdr:rowOff>53309</xdr:rowOff>
    </xdr:from>
    <xdr:to>
      <xdr:col>2</xdr:col>
      <xdr:colOff>149225</xdr:colOff>
      <xdr:row>16</xdr:row>
      <xdr:rowOff>121942</xdr:rowOff>
    </xdr:to>
    <xdr:cxnSp macro="">
      <xdr:nvCxnSpPr>
        <xdr:cNvPr id="275" name="SCHEMA_T06_COND_0008">
          <a:extLst>
            <a:ext uri="{FF2B5EF4-FFF2-40B4-BE49-F238E27FC236}">
              <a16:creationId xmlns:a16="http://schemas.microsoft.com/office/drawing/2014/main" id="{8BA09223-94EA-2ED0-6C9E-DC274A560F1E}"/>
            </a:ext>
          </a:extLst>
        </xdr:cNvPr>
        <xdr:cNvCxnSpPr/>
      </xdr:nvCxnSpPr>
      <xdr:spPr>
        <a:xfrm>
          <a:off x="1895475" y="4843023"/>
          <a:ext cx="222250" cy="6863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149225</xdr:colOff>
      <xdr:row>16</xdr:row>
      <xdr:rowOff>105908</xdr:rowOff>
    </xdr:from>
    <xdr:to>
      <xdr:col>3</xdr:col>
      <xdr:colOff>35832</xdr:colOff>
      <xdr:row>16</xdr:row>
      <xdr:rowOff>121942</xdr:rowOff>
    </xdr:to>
    <xdr:cxnSp macro="">
      <xdr:nvCxnSpPr>
        <xdr:cNvPr id="276" name="SCHEMA_T06_COND_0009">
          <a:extLst>
            <a:ext uri="{FF2B5EF4-FFF2-40B4-BE49-F238E27FC236}">
              <a16:creationId xmlns:a16="http://schemas.microsoft.com/office/drawing/2014/main" id="{D24FBE70-4FCF-03A8-C112-83CF20BC835F}"/>
            </a:ext>
          </a:extLst>
        </xdr:cNvPr>
        <xdr:cNvCxnSpPr/>
      </xdr:nvCxnSpPr>
      <xdr:spPr>
        <a:xfrm flipV="1">
          <a:off x="2117725" y="4895622"/>
          <a:ext cx="222250" cy="16034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40368</xdr:colOff>
      <xdr:row>16</xdr:row>
      <xdr:rowOff>52410</xdr:rowOff>
    </xdr:from>
    <xdr:to>
      <xdr:col>1</xdr:col>
      <xdr:colOff>262618</xdr:colOff>
      <xdr:row>16</xdr:row>
      <xdr:rowOff>205709</xdr:rowOff>
    </xdr:to>
    <xdr:cxnSp macro="">
      <xdr:nvCxnSpPr>
        <xdr:cNvPr id="277" name="SCHEMA_T06_COND_0010">
          <a:extLst>
            <a:ext uri="{FF2B5EF4-FFF2-40B4-BE49-F238E27FC236}">
              <a16:creationId xmlns:a16="http://schemas.microsoft.com/office/drawing/2014/main" id="{36F8FA1E-D277-E221-6432-B98719D58C46}"/>
            </a:ext>
          </a:extLst>
        </xdr:cNvPr>
        <xdr:cNvCxnSpPr/>
      </xdr:nvCxnSpPr>
      <xdr:spPr>
        <a:xfrm>
          <a:off x="1673225" y="4842124"/>
          <a:ext cx="222250" cy="15329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262618</xdr:colOff>
      <xdr:row>16</xdr:row>
      <xdr:rowOff>205709</xdr:rowOff>
    </xdr:from>
    <xdr:to>
      <xdr:col>2</xdr:col>
      <xdr:colOff>149225</xdr:colOff>
      <xdr:row>17</xdr:row>
      <xdr:rowOff>29413</xdr:rowOff>
    </xdr:to>
    <xdr:cxnSp macro="">
      <xdr:nvCxnSpPr>
        <xdr:cNvPr id="278" name="SCHEMA_T06_COND_0011">
          <a:extLst>
            <a:ext uri="{FF2B5EF4-FFF2-40B4-BE49-F238E27FC236}">
              <a16:creationId xmlns:a16="http://schemas.microsoft.com/office/drawing/2014/main" id="{B9D6D5E2-4FEC-84B6-ADE3-6D554A52CEB6}"/>
            </a:ext>
          </a:extLst>
        </xdr:cNvPr>
        <xdr:cNvCxnSpPr/>
      </xdr:nvCxnSpPr>
      <xdr:spPr>
        <a:xfrm>
          <a:off x="1895475" y="4995423"/>
          <a:ext cx="222250" cy="6863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149225</xdr:colOff>
      <xdr:row>17</xdr:row>
      <xdr:rowOff>13379</xdr:rowOff>
    </xdr:from>
    <xdr:to>
      <xdr:col>3</xdr:col>
      <xdr:colOff>35832</xdr:colOff>
      <xdr:row>17</xdr:row>
      <xdr:rowOff>29413</xdr:rowOff>
    </xdr:to>
    <xdr:cxnSp macro="">
      <xdr:nvCxnSpPr>
        <xdr:cNvPr id="1157" name="SCHEMA_T06_COND_0012">
          <a:extLst>
            <a:ext uri="{FF2B5EF4-FFF2-40B4-BE49-F238E27FC236}">
              <a16:creationId xmlns:a16="http://schemas.microsoft.com/office/drawing/2014/main" id="{945AB407-F59E-E1B3-19B5-85C3B4B873D5}"/>
            </a:ext>
          </a:extLst>
        </xdr:cNvPr>
        <xdr:cNvCxnSpPr/>
      </xdr:nvCxnSpPr>
      <xdr:spPr>
        <a:xfrm flipV="1">
          <a:off x="2117725" y="5048022"/>
          <a:ext cx="222250" cy="16034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40368</xdr:colOff>
      <xdr:row>16</xdr:row>
      <xdr:rowOff>154010</xdr:rowOff>
    </xdr:from>
    <xdr:to>
      <xdr:col>1</xdr:col>
      <xdr:colOff>262618</xdr:colOff>
      <xdr:row>17</xdr:row>
      <xdr:rowOff>62380</xdr:rowOff>
    </xdr:to>
    <xdr:cxnSp macro="">
      <xdr:nvCxnSpPr>
        <xdr:cNvPr id="1158" name="SCHEMA_T06_COND_0013">
          <a:extLst>
            <a:ext uri="{FF2B5EF4-FFF2-40B4-BE49-F238E27FC236}">
              <a16:creationId xmlns:a16="http://schemas.microsoft.com/office/drawing/2014/main" id="{49D75882-678B-156E-C276-40A956ED2FE0}"/>
            </a:ext>
          </a:extLst>
        </xdr:cNvPr>
        <xdr:cNvCxnSpPr/>
      </xdr:nvCxnSpPr>
      <xdr:spPr>
        <a:xfrm>
          <a:off x="1673225" y="4943724"/>
          <a:ext cx="222250" cy="15329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262618</xdr:colOff>
      <xdr:row>17</xdr:row>
      <xdr:rowOff>62380</xdr:rowOff>
    </xdr:from>
    <xdr:to>
      <xdr:col>2</xdr:col>
      <xdr:colOff>149225</xdr:colOff>
      <xdr:row>17</xdr:row>
      <xdr:rowOff>131013</xdr:rowOff>
    </xdr:to>
    <xdr:cxnSp macro="">
      <xdr:nvCxnSpPr>
        <xdr:cNvPr id="1159" name="SCHEMA_T06_COND_0014">
          <a:extLst>
            <a:ext uri="{FF2B5EF4-FFF2-40B4-BE49-F238E27FC236}">
              <a16:creationId xmlns:a16="http://schemas.microsoft.com/office/drawing/2014/main" id="{DCDF7226-6D94-1A5B-00B0-2B8DD590A61B}"/>
            </a:ext>
          </a:extLst>
        </xdr:cNvPr>
        <xdr:cNvCxnSpPr/>
      </xdr:nvCxnSpPr>
      <xdr:spPr>
        <a:xfrm>
          <a:off x="1895475" y="5097023"/>
          <a:ext cx="222250" cy="6863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149225</xdr:colOff>
      <xdr:row>17</xdr:row>
      <xdr:rowOff>114979</xdr:rowOff>
    </xdr:from>
    <xdr:to>
      <xdr:col>3</xdr:col>
      <xdr:colOff>35832</xdr:colOff>
      <xdr:row>17</xdr:row>
      <xdr:rowOff>131013</xdr:rowOff>
    </xdr:to>
    <xdr:cxnSp macro="">
      <xdr:nvCxnSpPr>
        <xdr:cNvPr id="1160" name="SCHEMA_T06_COND_0015">
          <a:extLst>
            <a:ext uri="{FF2B5EF4-FFF2-40B4-BE49-F238E27FC236}">
              <a16:creationId xmlns:a16="http://schemas.microsoft.com/office/drawing/2014/main" id="{AD56221F-9B8C-AE1B-2F6D-2E38CCF691A5}"/>
            </a:ext>
          </a:extLst>
        </xdr:cNvPr>
        <xdr:cNvCxnSpPr/>
      </xdr:nvCxnSpPr>
      <xdr:spPr>
        <a:xfrm flipV="1">
          <a:off x="2117725" y="5149622"/>
          <a:ext cx="222250" cy="16034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25</xdr:row>
      <xdr:rowOff>41729</xdr:rowOff>
    </xdr:from>
    <xdr:to>
      <xdr:col>2</xdr:col>
      <xdr:colOff>76200</xdr:colOff>
      <xdr:row>25</xdr:row>
      <xdr:rowOff>117929</xdr:rowOff>
    </xdr:to>
    <xdr:sp macro="" textlink="">
      <xdr:nvSpPr>
        <xdr:cNvPr id="1161" name="SCHEMA_T06_ATTRAV_01">
          <a:extLst>
            <a:ext uri="{FF2B5EF4-FFF2-40B4-BE49-F238E27FC236}">
              <a16:creationId xmlns:a16="http://schemas.microsoft.com/office/drawing/2014/main" id="{4B052B99-6288-10EF-B3C8-F3A077C086D1}"/>
            </a:ext>
          </a:extLst>
        </xdr:cNvPr>
        <xdr:cNvSpPr/>
      </xdr:nvSpPr>
      <xdr:spPr>
        <a:xfrm>
          <a:off x="1968500" y="7035800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35832</xdr:colOff>
      <xdr:row>15</xdr:row>
      <xdr:rowOff>84136</xdr:rowOff>
    </xdr:from>
    <xdr:to>
      <xdr:col>3</xdr:col>
      <xdr:colOff>258082</xdr:colOff>
      <xdr:row>15</xdr:row>
      <xdr:rowOff>96357</xdr:rowOff>
    </xdr:to>
    <xdr:cxnSp macro="">
      <xdr:nvCxnSpPr>
        <xdr:cNvPr id="1162" name="SCHEMA_T06_COND_0016">
          <a:extLst>
            <a:ext uri="{FF2B5EF4-FFF2-40B4-BE49-F238E27FC236}">
              <a16:creationId xmlns:a16="http://schemas.microsoft.com/office/drawing/2014/main" id="{2719209A-180A-E708-2A85-63D028A88B4C}"/>
            </a:ext>
          </a:extLst>
        </xdr:cNvPr>
        <xdr:cNvCxnSpPr/>
      </xdr:nvCxnSpPr>
      <xdr:spPr>
        <a:xfrm>
          <a:off x="2339975" y="4628922"/>
          <a:ext cx="222250" cy="12221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258082</xdr:colOff>
      <xdr:row>15</xdr:row>
      <xdr:rowOff>23911</xdr:rowOff>
    </xdr:from>
    <xdr:to>
      <xdr:col>4</xdr:col>
      <xdr:colOff>144689</xdr:colOff>
      <xdr:row>15</xdr:row>
      <xdr:rowOff>96357</xdr:rowOff>
    </xdr:to>
    <xdr:cxnSp macro="">
      <xdr:nvCxnSpPr>
        <xdr:cNvPr id="1163" name="SCHEMA_T06_COND_0017">
          <a:extLst>
            <a:ext uri="{FF2B5EF4-FFF2-40B4-BE49-F238E27FC236}">
              <a16:creationId xmlns:a16="http://schemas.microsoft.com/office/drawing/2014/main" id="{976B6981-54F3-42BF-0C81-0F5E54D0A806}"/>
            </a:ext>
          </a:extLst>
        </xdr:cNvPr>
        <xdr:cNvCxnSpPr/>
      </xdr:nvCxnSpPr>
      <xdr:spPr>
        <a:xfrm flipV="1">
          <a:off x="2562225" y="4568697"/>
          <a:ext cx="222250" cy="72446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144689</xdr:colOff>
      <xdr:row>14</xdr:row>
      <xdr:rowOff>111729</xdr:rowOff>
    </xdr:from>
    <xdr:to>
      <xdr:col>5</xdr:col>
      <xdr:colOff>31296</xdr:colOff>
      <xdr:row>15</xdr:row>
      <xdr:rowOff>23911</xdr:rowOff>
    </xdr:to>
    <xdr:cxnSp macro="">
      <xdr:nvCxnSpPr>
        <xdr:cNvPr id="1164" name="SCHEMA_T06_COND_0018">
          <a:extLst>
            <a:ext uri="{FF2B5EF4-FFF2-40B4-BE49-F238E27FC236}">
              <a16:creationId xmlns:a16="http://schemas.microsoft.com/office/drawing/2014/main" id="{792421F5-18EA-D621-F87A-276E9ACCE391}"/>
            </a:ext>
          </a:extLst>
        </xdr:cNvPr>
        <xdr:cNvCxnSpPr/>
      </xdr:nvCxnSpPr>
      <xdr:spPr>
        <a:xfrm flipV="1">
          <a:off x="2784475" y="4411586"/>
          <a:ext cx="222250" cy="157111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35832</xdr:colOff>
      <xdr:row>16</xdr:row>
      <xdr:rowOff>4308</xdr:rowOff>
    </xdr:from>
    <xdr:to>
      <xdr:col>3</xdr:col>
      <xdr:colOff>258082</xdr:colOff>
      <xdr:row>16</xdr:row>
      <xdr:rowOff>16529</xdr:rowOff>
    </xdr:to>
    <xdr:cxnSp macro="">
      <xdr:nvCxnSpPr>
        <xdr:cNvPr id="1165" name="SCHEMA_T06_COND_0019">
          <a:extLst>
            <a:ext uri="{FF2B5EF4-FFF2-40B4-BE49-F238E27FC236}">
              <a16:creationId xmlns:a16="http://schemas.microsoft.com/office/drawing/2014/main" id="{A601D648-DD93-6F0C-37B2-9AF6485EACE5}"/>
            </a:ext>
          </a:extLst>
        </xdr:cNvPr>
        <xdr:cNvCxnSpPr/>
      </xdr:nvCxnSpPr>
      <xdr:spPr>
        <a:xfrm>
          <a:off x="2339975" y="4794022"/>
          <a:ext cx="222250" cy="1222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258082</xdr:colOff>
      <xdr:row>15</xdr:row>
      <xdr:rowOff>189011</xdr:rowOff>
    </xdr:from>
    <xdr:to>
      <xdr:col>4</xdr:col>
      <xdr:colOff>144689</xdr:colOff>
      <xdr:row>16</xdr:row>
      <xdr:rowOff>16529</xdr:rowOff>
    </xdr:to>
    <xdr:cxnSp macro="">
      <xdr:nvCxnSpPr>
        <xdr:cNvPr id="1166" name="SCHEMA_T06_COND_0020">
          <a:extLst>
            <a:ext uri="{FF2B5EF4-FFF2-40B4-BE49-F238E27FC236}">
              <a16:creationId xmlns:a16="http://schemas.microsoft.com/office/drawing/2014/main" id="{EC693A8F-C35C-F2E3-EFA8-A300059B9DD2}"/>
            </a:ext>
          </a:extLst>
        </xdr:cNvPr>
        <xdr:cNvCxnSpPr/>
      </xdr:nvCxnSpPr>
      <xdr:spPr>
        <a:xfrm flipV="1">
          <a:off x="2562225" y="4733797"/>
          <a:ext cx="222250" cy="7244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144689</xdr:colOff>
      <xdr:row>15</xdr:row>
      <xdr:rowOff>31900</xdr:rowOff>
    </xdr:from>
    <xdr:to>
      <xdr:col>5</xdr:col>
      <xdr:colOff>31296</xdr:colOff>
      <xdr:row>15</xdr:row>
      <xdr:rowOff>189011</xdr:rowOff>
    </xdr:to>
    <xdr:cxnSp macro="">
      <xdr:nvCxnSpPr>
        <xdr:cNvPr id="1167" name="SCHEMA_T06_COND_0021">
          <a:extLst>
            <a:ext uri="{FF2B5EF4-FFF2-40B4-BE49-F238E27FC236}">
              <a16:creationId xmlns:a16="http://schemas.microsoft.com/office/drawing/2014/main" id="{00E32BE3-1D65-48F1-0636-56B9079206F4}"/>
            </a:ext>
          </a:extLst>
        </xdr:cNvPr>
        <xdr:cNvCxnSpPr/>
      </xdr:nvCxnSpPr>
      <xdr:spPr>
        <a:xfrm flipV="1">
          <a:off x="2784475" y="4576686"/>
          <a:ext cx="222250" cy="15711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35832</xdr:colOff>
      <xdr:row>16</xdr:row>
      <xdr:rowOff>105908</xdr:rowOff>
    </xdr:from>
    <xdr:to>
      <xdr:col>3</xdr:col>
      <xdr:colOff>258082</xdr:colOff>
      <xdr:row>16</xdr:row>
      <xdr:rowOff>118129</xdr:rowOff>
    </xdr:to>
    <xdr:cxnSp macro="">
      <xdr:nvCxnSpPr>
        <xdr:cNvPr id="1168" name="SCHEMA_T06_COND_0022">
          <a:extLst>
            <a:ext uri="{FF2B5EF4-FFF2-40B4-BE49-F238E27FC236}">
              <a16:creationId xmlns:a16="http://schemas.microsoft.com/office/drawing/2014/main" id="{E9EA5D7D-9B85-8CDA-6C07-C22E66C93694}"/>
            </a:ext>
          </a:extLst>
        </xdr:cNvPr>
        <xdr:cNvCxnSpPr/>
      </xdr:nvCxnSpPr>
      <xdr:spPr>
        <a:xfrm>
          <a:off x="2339975" y="4895622"/>
          <a:ext cx="222250" cy="1222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258082</xdr:colOff>
      <xdr:row>16</xdr:row>
      <xdr:rowOff>45683</xdr:rowOff>
    </xdr:from>
    <xdr:to>
      <xdr:col>4</xdr:col>
      <xdr:colOff>144689</xdr:colOff>
      <xdr:row>16</xdr:row>
      <xdr:rowOff>118129</xdr:rowOff>
    </xdr:to>
    <xdr:cxnSp macro="">
      <xdr:nvCxnSpPr>
        <xdr:cNvPr id="1169" name="SCHEMA_T06_COND_0023">
          <a:extLst>
            <a:ext uri="{FF2B5EF4-FFF2-40B4-BE49-F238E27FC236}">
              <a16:creationId xmlns:a16="http://schemas.microsoft.com/office/drawing/2014/main" id="{20C7F2DA-62E6-33E3-13BC-C817DC7751A2}"/>
            </a:ext>
          </a:extLst>
        </xdr:cNvPr>
        <xdr:cNvCxnSpPr/>
      </xdr:nvCxnSpPr>
      <xdr:spPr>
        <a:xfrm flipV="1">
          <a:off x="2562225" y="4835397"/>
          <a:ext cx="222250" cy="7244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144689</xdr:colOff>
      <xdr:row>15</xdr:row>
      <xdr:rowOff>133500</xdr:rowOff>
    </xdr:from>
    <xdr:to>
      <xdr:col>5</xdr:col>
      <xdr:colOff>31296</xdr:colOff>
      <xdr:row>16</xdr:row>
      <xdr:rowOff>45683</xdr:rowOff>
    </xdr:to>
    <xdr:cxnSp macro="">
      <xdr:nvCxnSpPr>
        <xdr:cNvPr id="1170" name="SCHEMA_T06_COND_0024">
          <a:extLst>
            <a:ext uri="{FF2B5EF4-FFF2-40B4-BE49-F238E27FC236}">
              <a16:creationId xmlns:a16="http://schemas.microsoft.com/office/drawing/2014/main" id="{ADECA9BC-2E2A-F517-9A23-766D386014D6}"/>
            </a:ext>
          </a:extLst>
        </xdr:cNvPr>
        <xdr:cNvCxnSpPr/>
      </xdr:nvCxnSpPr>
      <xdr:spPr>
        <a:xfrm flipV="1">
          <a:off x="2784475" y="4678286"/>
          <a:ext cx="222250" cy="15711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35832</xdr:colOff>
      <xdr:row>17</xdr:row>
      <xdr:rowOff>13379</xdr:rowOff>
    </xdr:from>
    <xdr:to>
      <xdr:col>3</xdr:col>
      <xdr:colOff>258082</xdr:colOff>
      <xdr:row>17</xdr:row>
      <xdr:rowOff>25600</xdr:rowOff>
    </xdr:to>
    <xdr:cxnSp macro="">
      <xdr:nvCxnSpPr>
        <xdr:cNvPr id="1171" name="SCHEMA_T06_COND_0025">
          <a:extLst>
            <a:ext uri="{FF2B5EF4-FFF2-40B4-BE49-F238E27FC236}">
              <a16:creationId xmlns:a16="http://schemas.microsoft.com/office/drawing/2014/main" id="{BCB4EFA2-9E0F-FA87-D234-2C8F4ED57DE4}"/>
            </a:ext>
          </a:extLst>
        </xdr:cNvPr>
        <xdr:cNvCxnSpPr/>
      </xdr:nvCxnSpPr>
      <xdr:spPr>
        <a:xfrm>
          <a:off x="2339975" y="5048022"/>
          <a:ext cx="222250" cy="1222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258082</xdr:colOff>
      <xdr:row>16</xdr:row>
      <xdr:rowOff>198083</xdr:rowOff>
    </xdr:from>
    <xdr:to>
      <xdr:col>4</xdr:col>
      <xdr:colOff>144689</xdr:colOff>
      <xdr:row>17</xdr:row>
      <xdr:rowOff>25600</xdr:rowOff>
    </xdr:to>
    <xdr:cxnSp macro="">
      <xdr:nvCxnSpPr>
        <xdr:cNvPr id="1172" name="SCHEMA_T06_COND_0026">
          <a:extLst>
            <a:ext uri="{FF2B5EF4-FFF2-40B4-BE49-F238E27FC236}">
              <a16:creationId xmlns:a16="http://schemas.microsoft.com/office/drawing/2014/main" id="{C53C993F-AD96-1616-3CB2-0C51BFE0E264}"/>
            </a:ext>
          </a:extLst>
        </xdr:cNvPr>
        <xdr:cNvCxnSpPr/>
      </xdr:nvCxnSpPr>
      <xdr:spPr>
        <a:xfrm flipV="1">
          <a:off x="2562225" y="4987797"/>
          <a:ext cx="222250" cy="7244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144689</xdr:colOff>
      <xdr:row>16</xdr:row>
      <xdr:rowOff>40972</xdr:rowOff>
    </xdr:from>
    <xdr:to>
      <xdr:col>5</xdr:col>
      <xdr:colOff>31296</xdr:colOff>
      <xdr:row>16</xdr:row>
      <xdr:rowOff>198083</xdr:rowOff>
    </xdr:to>
    <xdr:cxnSp macro="">
      <xdr:nvCxnSpPr>
        <xdr:cNvPr id="1173" name="SCHEMA_T06_COND_0027">
          <a:extLst>
            <a:ext uri="{FF2B5EF4-FFF2-40B4-BE49-F238E27FC236}">
              <a16:creationId xmlns:a16="http://schemas.microsoft.com/office/drawing/2014/main" id="{D8CAD7C2-D797-7886-AB6D-E41F7B4864C7}"/>
            </a:ext>
          </a:extLst>
        </xdr:cNvPr>
        <xdr:cNvCxnSpPr/>
      </xdr:nvCxnSpPr>
      <xdr:spPr>
        <a:xfrm flipV="1">
          <a:off x="2784475" y="4830686"/>
          <a:ext cx="222250" cy="15711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35832</xdr:colOff>
      <xdr:row>17</xdr:row>
      <xdr:rowOff>114979</xdr:rowOff>
    </xdr:from>
    <xdr:to>
      <xdr:col>3</xdr:col>
      <xdr:colOff>258082</xdr:colOff>
      <xdr:row>17</xdr:row>
      <xdr:rowOff>127200</xdr:rowOff>
    </xdr:to>
    <xdr:cxnSp macro="">
      <xdr:nvCxnSpPr>
        <xdr:cNvPr id="1174" name="SCHEMA_T06_COND_0028">
          <a:extLst>
            <a:ext uri="{FF2B5EF4-FFF2-40B4-BE49-F238E27FC236}">
              <a16:creationId xmlns:a16="http://schemas.microsoft.com/office/drawing/2014/main" id="{1CDA563C-5908-5481-0570-D6C4E77C4165}"/>
            </a:ext>
          </a:extLst>
        </xdr:cNvPr>
        <xdr:cNvCxnSpPr/>
      </xdr:nvCxnSpPr>
      <xdr:spPr>
        <a:xfrm>
          <a:off x="2339975" y="5149622"/>
          <a:ext cx="222250" cy="1222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258082</xdr:colOff>
      <xdr:row>17</xdr:row>
      <xdr:rowOff>54754</xdr:rowOff>
    </xdr:from>
    <xdr:to>
      <xdr:col>4</xdr:col>
      <xdr:colOff>144689</xdr:colOff>
      <xdr:row>17</xdr:row>
      <xdr:rowOff>127200</xdr:rowOff>
    </xdr:to>
    <xdr:cxnSp macro="">
      <xdr:nvCxnSpPr>
        <xdr:cNvPr id="1175" name="SCHEMA_T06_COND_0029">
          <a:extLst>
            <a:ext uri="{FF2B5EF4-FFF2-40B4-BE49-F238E27FC236}">
              <a16:creationId xmlns:a16="http://schemas.microsoft.com/office/drawing/2014/main" id="{B5A1DAEB-3E8F-51C0-15EE-F1A7EDFE3034}"/>
            </a:ext>
          </a:extLst>
        </xdr:cNvPr>
        <xdr:cNvCxnSpPr/>
      </xdr:nvCxnSpPr>
      <xdr:spPr>
        <a:xfrm flipV="1">
          <a:off x="2562225" y="5089397"/>
          <a:ext cx="222250" cy="7244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144689</xdr:colOff>
      <xdr:row>16</xdr:row>
      <xdr:rowOff>142572</xdr:rowOff>
    </xdr:from>
    <xdr:to>
      <xdr:col>5</xdr:col>
      <xdr:colOff>31296</xdr:colOff>
      <xdr:row>17</xdr:row>
      <xdr:rowOff>54754</xdr:rowOff>
    </xdr:to>
    <xdr:cxnSp macro="">
      <xdr:nvCxnSpPr>
        <xdr:cNvPr id="1176" name="SCHEMA_T06_COND_0030">
          <a:extLst>
            <a:ext uri="{FF2B5EF4-FFF2-40B4-BE49-F238E27FC236}">
              <a16:creationId xmlns:a16="http://schemas.microsoft.com/office/drawing/2014/main" id="{D32984A7-C8E6-2F13-3173-70F449160CDF}"/>
            </a:ext>
          </a:extLst>
        </xdr:cNvPr>
        <xdr:cNvCxnSpPr/>
      </xdr:nvCxnSpPr>
      <xdr:spPr>
        <a:xfrm flipV="1">
          <a:off x="2784475" y="4932286"/>
          <a:ext cx="222250" cy="15711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31296</xdr:colOff>
      <xdr:row>14</xdr:row>
      <xdr:rowOff>111729</xdr:rowOff>
    </xdr:from>
    <xdr:to>
      <xdr:col>5</xdr:col>
      <xdr:colOff>253546</xdr:colOff>
      <xdr:row>14</xdr:row>
      <xdr:rowOff>200971</xdr:rowOff>
    </xdr:to>
    <xdr:cxnSp macro="">
      <xdr:nvCxnSpPr>
        <xdr:cNvPr id="1177" name="SCHEMA_T06_COND_0031">
          <a:extLst>
            <a:ext uri="{FF2B5EF4-FFF2-40B4-BE49-F238E27FC236}">
              <a16:creationId xmlns:a16="http://schemas.microsoft.com/office/drawing/2014/main" id="{5B752869-BB7F-D29F-0C96-337276A8A368}"/>
            </a:ext>
          </a:extLst>
        </xdr:cNvPr>
        <xdr:cNvCxnSpPr/>
      </xdr:nvCxnSpPr>
      <xdr:spPr>
        <a:xfrm>
          <a:off x="3006725" y="4411586"/>
          <a:ext cx="222250" cy="89242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253546</xdr:colOff>
      <xdr:row>14</xdr:row>
      <xdr:rowOff>200971</xdr:rowOff>
    </xdr:from>
    <xdr:to>
      <xdr:col>6</xdr:col>
      <xdr:colOff>140154</xdr:colOff>
      <xdr:row>14</xdr:row>
      <xdr:rowOff>205546</xdr:rowOff>
    </xdr:to>
    <xdr:cxnSp macro="">
      <xdr:nvCxnSpPr>
        <xdr:cNvPr id="1178" name="SCHEMA_T06_COND_0032">
          <a:extLst>
            <a:ext uri="{FF2B5EF4-FFF2-40B4-BE49-F238E27FC236}">
              <a16:creationId xmlns:a16="http://schemas.microsoft.com/office/drawing/2014/main" id="{94B4C16A-D1E0-C292-B04F-FBE1C7937F74}"/>
            </a:ext>
          </a:extLst>
        </xdr:cNvPr>
        <xdr:cNvCxnSpPr/>
      </xdr:nvCxnSpPr>
      <xdr:spPr>
        <a:xfrm>
          <a:off x="3228975" y="4500828"/>
          <a:ext cx="222250" cy="4575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140154</xdr:colOff>
      <xdr:row>14</xdr:row>
      <xdr:rowOff>125455</xdr:rowOff>
    </xdr:from>
    <xdr:to>
      <xdr:col>7</xdr:col>
      <xdr:colOff>26761</xdr:colOff>
      <xdr:row>14</xdr:row>
      <xdr:rowOff>205546</xdr:rowOff>
    </xdr:to>
    <xdr:cxnSp macro="">
      <xdr:nvCxnSpPr>
        <xdr:cNvPr id="1179" name="SCHEMA_T06_COND_0033">
          <a:extLst>
            <a:ext uri="{FF2B5EF4-FFF2-40B4-BE49-F238E27FC236}">
              <a16:creationId xmlns:a16="http://schemas.microsoft.com/office/drawing/2014/main" id="{02E00BBB-8333-FD7F-0519-31F0BA11BC7E}"/>
            </a:ext>
          </a:extLst>
        </xdr:cNvPr>
        <xdr:cNvCxnSpPr/>
      </xdr:nvCxnSpPr>
      <xdr:spPr>
        <a:xfrm flipV="1">
          <a:off x="3451225" y="4425312"/>
          <a:ext cx="222250" cy="80091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31296</xdr:colOff>
      <xdr:row>15</xdr:row>
      <xdr:rowOff>31900</xdr:rowOff>
    </xdr:from>
    <xdr:to>
      <xdr:col>5</xdr:col>
      <xdr:colOff>253546</xdr:colOff>
      <xdr:row>15</xdr:row>
      <xdr:rowOff>121142</xdr:rowOff>
    </xdr:to>
    <xdr:cxnSp macro="">
      <xdr:nvCxnSpPr>
        <xdr:cNvPr id="1180" name="SCHEMA_T06_COND_0034">
          <a:extLst>
            <a:ext uri="{FF2B5EF4-FFF2-40B4-BE49-F238E27FC236}">
              <a16:creationId xmlns:a16="http://schemas.microsoft.com/office/drawing/2014/main" id="{FB657E5E-E55D-4A85-EAE1-D6926FE16CD1}"/>
            </a:ext>
          </a:extLst>
        </xdr:cNvPr>
        <xdr:cNvCxnSpPr/>
      </xdr:nvCxnSpPr>
      <xdr:spPr>
        <a:xfrm>
          <a:off x="3006725" y="4576686"/>
          <a:ext cx="222250" cy="8924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253546</xdr:colOff>
      <xdr:row>15</xdr:row>
      <xdr:rowOff>121142</xdr:rowOff>
    </xdr:from>
    <xdr:to>
      <xdr:col>6</xdr:col>
      <xdr:colOff>140154</xdr:colOff>
      <xdr:row>15</xdr:row>
      <xdr:rowOff>125717</xdr:rowOff>
    </xdr:to>
    <xdr:cxnSp macro="">
      <xdr:nvCxnSpPr>
        <xdr:cNvPr id="1181" name="SCHEMA_T06_COND_0035">
          <a:extLst>
            <a:ext uri="{FF2B5EF4-FFF2-40B4-BE49-F238E27FC236}">
              <a16:creationId xmlns:a16="http://schemas.microsoft.com/office/drawing/2014/main" id="{945EF272-E89C-46D4-2700-F77F40F6D00E}"/>
            </a:ext>
          </a:extLst>
        </xdr:cNvPr>
        <xdr:cNvCxnSpPr/>
      </xdr:nvCxnSpPr>
      <xdr:spPr>
        <a:xfrm>
          <a:off x="3228975" y="4665928"/>
          <a:ext cx="222250" cy="457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140154</xdr:colOff>
      <xdr:row>15</xdr:row>
      <xdr:rowOff>45626</xdr:rowOff>
    </xdr:from>
    <xdr:to>
      <xdr:col>7</xdr:col>
      <xdr:colOff>26761</xdr:colOff>
      <xdr:row>15</xdr:row>
      <xdr:rowOff>125717</xdr:rowOff>
    </xdr:to>
    <xdr:cxnSp macro="">
      <xdr:nvCxnSpPr>
        <xdr:cNvPr id="1182" name="SCHEMA_T06_COND_0036">
          <a:extLst>
            <a:ext uri="{FF2B5EF4-FFF2-40B4-BE49-F238E27FC236}">
              <a16:creationId xmlns:a16="http://schemas.microsoft.com/office/drawing/2014/main" id="{CD1D0CD4-8ED0-005D-E96F-D6D9AA516694}"/>
            </a:ext>
          </a:extLst>
        </xdr:cNvPr>
        <xdr:cNvCxnSpPr/>
      </xdr:nvCxnSpPr>
      <xdr:spPr>
        <a:xfrm flipV="1">
          <a:off x="3451225" y="4590412"/>
          <a:ext cx="222250" cy="8009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31296</xdr:colOff>
      <xdr:row>15</xdr:row>
      <xdr:rowOff>133500</xdr:rowOff>
    </xdr:from>
    <xdr:to>
      <xdr:col>5</xdr:col>
      <xdr:colOff>253546</xdr:colOff>
      <xdr:row>15</xdr:row>
      <xdr:rowOff>222742</xdr:rowOff>
    </xdr:to>
    <xdr:cxnSp macro="">
      <xdr:nvCxnSpPr>
        <xdr:cNvPr id="1183" name="SCHEMA_T06_COND_0037">
          <a:extLst>
            <a:ext uri="{FF2B5EF4-FFF2-40B4-BE49-F238E27FC236}">
              <a16:creationId xmlns:a16="http://schemas.microsoft.com/office/drawing/2014/main" id="{7B4E6A3C-8251-5D65-7963-9AA96862B852}"/>
            </a:ext>
          </a:extLst>
        </xdr:cNvPr>
        <xdr:cNvCxnSpPr/>
      </xdr:nvCxnSpPr>
      <xdr:spPr>
        <a:xfrm>
          <a:off x="3006725" y="4678286"/>
          <a:ext cx="222250" cy="8924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253546</xdr:colOff>
      <xdr:row>15</xdr:row>
      <xdr:rowOff>222742</xdr:rowOff>
    </xdr:from>
    <xdr:to>
      <xdr:col>6</xdr:col>
      <xdr:colOff>140154</xdr:colOff>
      <xdr:row>15</xdr:row>
      <xdr:rowOff>227317</xdr:rowOff>
    </xdr:to>
    <xdr:cxnSp macro="">
      <xdr:nvCxnSpPr>
        <xdr:cNvPr id="1184" name="SCHEMA_T06_COND_0038">
          <a:extLst>
            <a:ext uri="{FF2B5EF4-FFF2-40B4-BE49-F238E27FC236}">
              <a16:creationId xmlns:a16="http://schemas.microsoft.com/office/drawing/2014/main" id="{C47764D0-E736-9C8E-5203-B2E2AD5C6C84}"/>
            </a:ext>
          </a:extLst>
        </xdr:cNvPr>
        <xdr:cNvCxnSpPr/>
      </xdr:nvCxnSpPr>
      <xdr:spPr>
        <a:xfrm>
          <a:off x="3228975" y="4767528"/>
          <a:ext cx="222250" cy="457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140154</xdr:colOff>
      <xdr:row>15</xdr:row>
      <xdr:rowOff>147226</xdr:rowOff>
    </xdr:from>
    <xdr:to>
      <xdr:col>7</xdr:col>
      <xdr:colOff>26761</xdr:colOff>
      <xdr:row>15</xdr:row>
      <xdr:rowOff>227317</xdr:rowOff>
    </xdr:to>
    <xdr:cxnSp macro="">
      <xdr:nvCxnSpPr>
        <xdr:cNvPr id="1185" name="SCHEMA_T06_COND_0039">
          <a:extLst>
            <a:ext uri="{FF2B5EF4-FFF2-40B4-BE49-F238E27FC236}">
              <a16:creationId xmlns:a16="http://schemas.microsoft.com/office/drawing/2014/main" id="{559716B7-46EC-FD97-34FF-FE26CD7A3962}"/>
            </a:ext>
          </a:extLst>
        </xdr:cNvPr>
        <xdr:cNvCxnSpPr/>
      </xdr:nvCxnSpPr>
      <xdr:spPr>
        <a:xfrm flipV="1">
          <a:off x="3451225" y="4692012"/>
          <a:ext cx="222250" cy="8009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31296</xdr:colOff>
      <xdr:row>16</xdr:row>
      <xdr:rowOff>40972</xdr:rowOff>
    </xdr:from>
    <xdr:to>
      <xdr:col>5</xdr:col>
      <xdr:colOff>253546</xdr:colOff>
      <xdr:row>16</xdr:row>
      <xdr:rowOff>130214</xdr:rowOff>
    </xdr:to>
    <xdr:cxnSp macro="">
      <xdr:nvCxnSpPr>
        <xdr:cNvPr id="1186" name="SCHEMA_T06_COND_0040">
          <a:extLst>
            <a:ext uri="{FF2B5EF4-FFF2-40B4-BE49-F238E27FC236}">
              <a16:creationId xmlns:a16="http://schemas.microsoft.com/office/drawing/2014/main" id="{89E6437F-5971-D8E0-6B68-69DECB59CA3C}"/>
            </a:ext>
          </a:extLst>
        </xdr:cNvPr>
        <xdr:cNvCxnSpPr/>
      </xdr:nvCxnSpPr>
      <xdr:spPr>
        <a:xfrm>
          <a:off x="3006725" y="4830686"/>
          <a:ext cx="222250" cy="8924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253546</xdr:colOff>
      <xdr:row>16</xdr:row>
      <xdr:rowOff>130214</xdr:rowOff>
    </xdr:from>
    <xdr:to>
      <xdr:col>6</xdr:col>
      <xdr:colOff>140154</xdr:colOff>
      <xdr:row>16</xdr:row>
      <xdr:rowOff>134789</xdr:rowOff>
    </xdr:to>
    <xdr:cxnSp macro="">
      <xdr:nvCxnSpPr>
        <xdr:cNvPr id="1187" name="SCHEMA_T06_COND_0041">
          <a:extLst>
            <a:ext uri="{FF2B5EF4-FFF2-40B4-BE49-F238E27FC236}">
              <a16:creationId xmlns:a16="http://schemas.microsoft.com/office/drawing/2014/main" id="{36109381-1450-57C1-45B1-74B433E84B6B}"/>
            </a:ext>
          </a:extLst>
        </xdr:cNvPr>
        <xdr:cNvCxnSpPr/>
      </xdr:nvCxnSpPr>
      <xdr:spPr>
        <a:xfrm>
          <a:off x="3228975" y="4919928"/>
          <a:ext cx="222250" cy="457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140154</xdr:colOff>
      <xdr:row>16</xdr:row>
      <xdr:rowOff>54698</xdr:rowOff>
    </xdr:from>
    <xdr:to>
      <xdr:col>7</xdr:col>
      <xdr:colOff>26761</xdr:colOff>
      <xdr:row>16</xdr:row>
      <xdr:rowOff>134789</xdr:rowOff>
    </xdr:to>
    <xdr:cxnSp macro="">
      <xdr:nvCxnSpPr>
        <xdr:cNvPr id="1188" name="SCHEMA_T06_COND_0042">
          <a:extLst>
            <a:ext uri="{FF2B5EF4-FFF2-40B4-BE49-F238E27FC236}">
              <a16:creationId xmlns:a16="http://schemas.microsoft.com/office/drawing/2014/main" id="{CA813FA7-059B-284D-D781-656068F1A1C4}"/>
            </a:ext>
          </a:extLst>
        </xdr:cNvPr>
        <xdr:cNvCxnSpPr/>
      </xdr:nvCxnSpPr>
      <xdr:spPr>
        <a:xfrm flipV="1">
          <a:off x="3451225" y="4844412"/>
          <a:ext cx="222250" cy="8009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31296</xdr:colOff>
      <xdr:row>16</xdr:row>
      <xdr:rowOff>142572</xdr:rowOff>
    </xdr:from>
    <xdr:to>
      <xdr:col>5</xdr:col>
      <xdr:colOff>253546</xdr:colOff>
      <xdr:row>16</xdr:row>
      <xdr:rowOff>231814</xdr:rowOff>
    </xdr:to>
    <xdr:cxnSp macro="">
      <xdr:nvCxnSpPr>
        <xdr:cNvPr id="1189" name="SCHEMA_T06_COND_0043">
          <a:extLst>
            <a:ext uri="{FF2B5EF4-FFF2-40B4-BE49-F238E27FC236}">
              <a16:creationId xmlns:a16="http://schemas.microsoft.com/office/drawing/2014/main" id="{9F171E99-9295-BABA-8A5B-1EFA3F95654F}"/>
            </a:ext>
          </a:extLst>
        </xdr:cNvPr>
        <xdr:cNvCxnSpPr/>
      </xdr:nvCxnSpPr>
      <xdr:spPr>
        <a:xfrm>
          <a:off x="3006725" y="4932286"/>
          <a:ext cx="222250" cy="8924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253546</xdr:colOff>
      <xdr:row>16</xdr:row>
      <xdr:rowOff>231814</xdr:rowOff>
    </xdr:from>
    <xdr:to>
      <xdr:col>6</xdr:col>
      <xdr:colOff>140154</xdr:colOff>
      <xdr:row>16</xdr:row>
      <xdr:rowOff>236389</xdr:rowOff>
    </xdr:to>
    <xdr:cxnSp macro="">
      <xdr:nvCxnSpPr>
        <xdr:cNvPr id="1190" name="SCHEMA_T06_COND_0044">
          <a:extLst>
            <a:ext uri="{FF2B5EF4-FFF2-40B4-BE49-F238E27FC236}">
              <a16:creationId xmlns:a16="http://schemas.microsoft.com/office/drawing/2014/main" id="{8F946875-055D-F98A-EE38-276EBBDE1389}"/>
            </a:ext>
          </a:extLst>
        </xdr:cNvPr>
        <xdr:cNvCxnSpPr/>
      </xdr:nvCxnSpPr>
      <xdr:spPr>
        <a:xfrm>
          <a:off x="3228975" y="5021528"/>
          <a:ext cx="222250" cy="457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140154</xdr:colOff>
      <xdr:row>16</xdr:row>
      <xdr:rowOff>156298</xdr:rowOff>
    </xdr:from>
    <xdr:to>
      <xdr:col>7</xdr:col>
      <xdr:colOff>26761</xdr:colOff>
      <xdr:row>16</xdr:row>
      <xdr:rowOff>236389</xdr:rowOff>
    </xdr:to>
    <xdr:cxnSp macro="">
      <xdr:nvCxnSpPr>
        <xdr:cNvPr id="1191" name="SCHEMA_T06_COND_0045">
          <a:extLst>
            <a:ext uri="{FF2B5EF4-FFF2-40B4-BE49-F238E27FC236}">
              <a16:creationId xmlns:a16="http://schemas.microsoft.com/office/drawing/2014/main" id="{04A52BCE-5190-4EB2-C03A-152C365F2C1A}"/>
            </a:ext>
          </a:extLst>
        </xdr:cNvPr>
        <xdr:cNvCxnSpPr/>
      </xdr:nvCxnSpPr>
      <xdr:spPr>
        <a:xfrm flipV="1">
          <a:off x="3451225" y="4946012"/>
          <a:ext cx="222250" cy="8009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326571</xdr:colOff>
      <xdr:row>25</xdr:row>
      <xdr:rowOff>41729</xdr:rowOff>
    </xdr:from>
    <xdr:to>
      <xdr:col>6</xdr:col>
      <xdr:colOff>67129</xdr:colOff>
      <xdr:row>25</xdr:row>
      <xdr:rowOff>117929</xdr:rowOff>
    </xdr:to>
    <xdr:sp macro="" textlink="">
      <xdr:nvSpPr>
        <xdr:cNvPr id="1192" name="SCHEMA_T06_ATTRAV_03">
          <a:extLst>
            <a:ext uri="{FF2B5EF4-FFF2-40B4-BE49-F238E27FC236}">
              <a16:creationId xmlns:a16="http://schemas.microsoft.com/office/drawing/2014/main" id="{B40820E0-144B-E1A9-6141-071CF4EB1554}"/>
            </a:ext>
          </a:extLst>
        </xdr:cNvPr>
        <xdr:cNvSpPr/>
      </xdr:nvSpPr>
      <xdr:spPr>
        <a:xfrm>
          <a:off x="3302000" y="7035800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26761</xdr:colOff>
      <xdr:row>14</xdr:row>
      <xdr:rowOff>125455</xdr:rowOff>
    </xdr:from>
    <xdr:to>
      <xdr:col>7</xdr:col>
      <xdr:colOff>249011</xdr:colOff>
      <xdr:row>14</xdr:row>
      <xdr:rowOff>226898</xdr:rowOff>
    </xdr:to>
    <xdr:cxnSp macro="">
      <xdr:nvCxnSpPr>
        <xdr:cNvPr id="1193" name="SCHEMA_T06_COND_0046">
          <a:extLst>
            <a:ext uri="{FF2B5EF4-FFF2-40B4-BE49-F238E27FC236}">
              <a16:creationId xmlns:a16="http://schemas.microsoft.com/office/drawing/2014/main" id="{06487838-5D64-A1F2-9B5A-8F77EE5BA045}"/>
            </a:ext>
          </a:extLst>
        </xdr:cNvPr>
        <xdr:cNvCxnSpPr/>
      </xdr:nvCxnSpPr>
      <xdr:spPr>
        <a:xfrm>
          <a:off x="3673475" y="4425312"/>
          <a:ext cx="222250" cy="101443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249011</xdr:colOff>
      <xdr:row>14</xdr:row>
      <xdr:rowOff>226898</xdr:rowOff>
    </xdr:from>
    <xdr:to>
      <xdr:col>8</xdr:col>
      <xdr:colOff>135618</xdr:colOff>
      <xdr:row>14</xdr:row>
      <xdr:rowOff>243675</xdr:rowOff>
    </xdr:to>
    <xdr:cxnSp macro="">
      <xdr:nvCxnSpPr>
        <xdr:cNvPr id="1194" name="SCHEMA_T06_COND_0047">
          <a:extLst>
            <a:ext uri="{FF2B5EF4-FFF2-40B4-BE49-F238E27FC236}">
              <a16:creationId xmlns:a16="http://schemas.microsoft.com/office/drawing/2014/main" id="{94E7C32C-EC63-B55D-88BB-6B9559BE2217}"/>
            </a:ext>
          </a:extLst>
        </xdr:cNvPr>
        <xdr:cNvCxnSpPr/>
      </xdr:nvCxnSpPr>
      <xdr:spPr>
        <a:xfrm>
          <a:off x="3895725" y="4526755"/>
          <a:ext cx="222250" cy="16777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135618</xdr:colOff>
      <xdr:row>14</xdr:row>
      <xdr:rowOff>175786</xdr:rowOff>
    </xdr:from>
    <xdr:to>
      <xdr:col>9</xdr:col>
      <xdr:colOff>22225</xdr:colOff>
      <xdr:row>14</xdr:row>
      <xdr:rowOff>243675</xdr:rowOff>
    </xdr:to>
    <xdr:cxnSp macro="">
      <xdr:nvCxnSpPr>
        <xdr:cNvPr id="1195" name="SCHEMA_T06_COND_0048">
          <a:extLst>
            <a:ext uri="{FF2B5EF4-FFF2-40B4-BE49-F238E27FC236}">
              <a16:creationId xmlns:a16="http://schemas.microsoft.com/office/drawing/2014/main" id="{DE34D94E-871D-CC21-EBC6-03969C8BDE9A}"/>
            </a:ext>
          </a:extLst>
        </xdr:cNvPr>
        <xdr:cNvCxnSpPr/>
      </xdr:nvCxnSpPr>
      <xdr:spPr>
        <a:xfrm flipV="1">
          <a:off x="4117975" y="4475643"/>
          <a:ext cx="222250" cy="67889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26761</xdr:colOff>
      <xdr:row>15</xdr:row>
      <xdr:rowOff>45626</xdr:rowOff>
    </xdr:from>
    <xdr:to>
      <xdr:col>7</xdr:col>
      <xdr:colOff>249011</xdr:colOff>
      <xdr:row>15</xdr:row>
      <xdr:rowOff>147069</xdr:rowOff>
    </xdr:to>
    <xdr:cxnSp macro="">
      <xdr:nvCxnSpPr>
        <xdr:cNvPr id="1196" name="SCHEMA_T06_COND_0049">
          <a:extLst>
            <a:ext uri="{FF2B5EF4-FFF2-40B4-BE49-F238E27FC236}">
              <a16:creationId xmlns:a16="http://schemas.microsoft.com/office/drawing/2014/main" id="{3838FDFA-1378-3AE7-6A89-47719BF228A3}"/>
            </a:ext>
          </a:extLst>
        </xdr:cNvPr>
        <xdr:cNvCxnSpPr/>
      </xdr:nvCxnSpPr>
      <xdr:spPr>
        <a:xfrm>
          <a:off x="3673475" y="4590412"/>
          <a:ext cx="222250" cy="10144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249011</xdr:colOff>
      <xdr:row>15</xdr:row>
      <xdr:rowOff>147069</xdr:rowOff>
    </xdr:from>
    <xdr:to>
      <xdr:col>8</xdr:col>
      <xdr:colOff>135618</xdr:colOff>
      <xdr:row>15</xdr:row>
      <xdr:rowOff>163846</xdr:rowOff>
    </xdr:to>
    <xdr:cxnSp macro="">
      <xdr:nvCxnSpPr>
        <xdr:cNvPr id="1197" name="SCHEMA_T06_COND_0050">
          <a:extLst>
            <a:ext uri="{FF2B5EF4-FFF2-40B4-BE49-F238E27FC236}">
              <a16:creationId xmlns:a16="http://schemas.microsoft.com/office/drawing/2014/main" id="{B8C5AAA4-7C15-2575-26A9-A46E42D81289}"/>
            </a:ext>
          </a:extLst>
        </xdr:cNvPr>
        <xdr:cNvCxnSpPr/>
      </xdr:nvCxnSpPr>
      <xdr:spPr>
        <a:xfrm>
          <a:off x="3895725" y="4691855"/>
          <a:ext cx="222250" cy="1677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135618</xdr:colOff>
      <xdr:row>15</xdr:row>
      <xdr:rowOff>95957</xdr:rowOff>
    </xdr:from>
    <xdr:to>
      <xdr:col>9</xdr:col>
      <xdr:colOff>22225</xdr:colOff>
      <xdr:row>15</xdr:row>
      <xdr:rowOff>163846</xdr:rowOff>
    </xdr:to>
    <xdr:cxnSp macro="">
      <xdr:nvCxnSpPr>
        <xdr:cNvPr id="1198" name="SCHEMA_T06_COND_0051">
          <a:extLst>
            <a:ext uri="{FF2B5EF4-FFF2-40B4-BE49-F238E27FC236}">
              <a16:creationId xmlns:a16="http://schemas.microsoft.com/office/drawing/2014/main" id="{A4C1F0C2-E791-3EE6-9C6D-10E8787892CD}"/>
            </a:ext>
          </a:extLst>
        </xdr:cNvPr>
        <xdr:cNvCxnSpPr/>
      </xdr:nvCxnSpPr>
      <xdr:spPr>
        <a:xfrm flipV="1">
          <a:off x="4117975" y="4640743"/>
          <a:ext cx="222250" cy="6788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26761</xdr:colOff>
      <xdr:row>15</xdr:row>
      <xdr:rowOff>147226</xdr:rowOff>
    </xdr:from>
    <xdr:to>
      <xdr:col>7</xdr:col>
      <xdr:colOff>249011</xdr:colOff>
      <xdr:row>16</xdr:row>
      <xdr:rowOff>3741</xdr:rowOff>
    </xdr:to>
    <xdr:cxnSp macro="">
      <xdr:nvCxnSpPr>
        <xdr:cNvPr id="1199" name="SCHEMA_T06_COND_0052">
          <a:extLst>
            <a:ext uri="{FF2B5EF4-FFF2-40B4-BE49-F238E27FC236}">
              <a16:creationId xmlns:a16="http://schemas.microsoft.com/office/drawing/2014/main" id="{9DD5D80B-C192-2296-1C90-FBEFEAECAFAA}"/>
            </a:ext>
          </a:extLst>
        </xdr:cNvPr>
        <xdr:cNvCxnSpPr/>
      </xdr:nvCxnSpPr>
      <xdr:spPr>
        <a:xfrm>
          <a:off x="3673475" y="4692012"/>
          <a:ext cx="222250" cy="10144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249011</xdr:colOff>
      <xdr:row>16</xdr:row>
      <xdr:rowOff>3741</xdr:rowOff>
    </xdr:from>
    <xdr:to>
      <xdr:col>8</xdr:col>
      <xdr:colOff>135618</xdr:colOff>
      <xdr:row>16</xdr:row>
      <xdr:rowOff>20518</xdr:rowOff>
    </xdr:to>
    <xdr:cxnSp macro="">
      <xdr:nvCxnSpPr>
        <xdr:cNvPr id="1200" name="SCHEMA_T06_COND_0053">
          <a:extLst>
            <a:ext uri="{FF2B5EF4-FFF2-40B4-BE49-F238E27FC236}">
              <a16:creationId xmlns:a16="http://schemas.microsoft.com/office/drawing/2014/main" id="{4F0CDDD1-5B66-7473-EAD6-936C755AF06D}"/>
            </a:ext>
          </a:extLst>
        </xdr:cNvPr>
        <xdr:cNvCxnSpPr/>
      </xdr:nvCxnSpPr>
      <xdr:spPr>
        <a:xfrm>
          <a:off x="3895725" y="4793455"/>
          <a:ext cx="222250" cy="1677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135618</xdr:colOff>
      <xdr:row>15</xdr:row>
      <xdr:rowOff>197557</xdr:rowOff>
    </xdr:from>
    <xdr:to>
      <xdr:col>9</xdr:col>
      <xdr:colOff>22225</xdr:colOff>
      <xdr:row>16</xdr:row>
      <xdr:rowOff>20518</xdr:rowOff>
    </xdr:to>
    <xdr:cxnSp macro="">
      <xdr:nvCxnSpPr>
        <xdr:cNvPr id="1201" name="SCHEMA_T06_COND_0054">
          <a:extLst>
            <a:ext uri="{FF2B5EF4-FFF2-40B4-BE49-F238E27FC236}">
              <a16:creationId xmlns:a16="http://schemas.microsoft.com/office/drawing/2014/main" id="{3EEF3DEB-9ECA-7769-2653-58463DA0779B}"/>
            </a:ext>
          </a:extLst>
        </xdr:cNvPr>
        <xdr:cNvCxnSpPr/>
      </xdr:nvCxnSpPr>
      <xdr:spPr>
        <a:xfrm flipV="1">
          <a:off x="4117975" y="4742343"/>
          <a:ext cx="222250" cy="6788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26761</xdr:colOff>
      <xdr:row>16</xdr:row>
      <xdr:rowOff>54698</xdr:rowOff>
    </xdr:from>
    <xdr:to>
      <xdr:col>7</xdr:col>
      <xdr:colOff>249011</xdr:colOff>
      <xdr:row>16</xdr:row>
      <xdr:rowOff>156141</xdr:rowOff>
    </xdr:to>
    <xdr:cxnSp macro="">
      <xdr:nvCxnSpPr>
        <xdr:cNvPr id="1202" name="SCHEMA_T06_COND_0055">
          <a:extLst>
            <a:ext uri="{FF2B5EF4-FFF2-40B4-BE49-F238E27FC236}">
              <a16:creationId xmlns:a16="http://schemas.microsoft.com/office/drawing/2014/main" id="{7112FFA8-3302-81F4-3807-B8FE3389395B}"/>
            </a:ext>
          </a:extLst>
        </xdr:cNvPr>
        <xdr:cNvCxnSpPr/>
      </xdr:nvCxnSpPr>
      <xdr:spPr>
        <a:xfrm>
          <a:off x="3673475" y="4844412"/>
          <a:ext cx="222250" cy="10144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249011</xdr:colOff>
      <xdr:row>16</xdr:row>
      <xdr:rowOff>156141</xdr:rowOff>
    </xdr:from>
    <xdr:to>
      <xdr:col>8</xdr:col>
      <xdr:colOff>135618</xdr:colOff>
      <xdr:row>16</xdr:row>
      <xdr:rowOff>172918</xdr:rowOff>
    </xdr:to>
    <xdr:cxnSp macro="">
      <xdr:nvCxnSpPr>
        <xdr:cNvPr id="1203" name="SCHEMA_T06_COND_0056">
          <a:extLst>
            <a:ext uri="{FF2B5EF4-FFF2-40B4-BE49-F238E27FC236}">
              <a16:creationId xmlns:a16="http://schemas.microsoft.com/office/drawing/2014/main" id="{09C0BC56-E7B0-CD6C-9CF7-E16C7A5F8C92}"/>
            </a:ext>
          </a:extLst>
        </xdr:cNvPr>
        <xdr:cNvCxnSpPr/>
      </xdr:nvCxnSpPr>
      <xdr:spPr>
        <a:xfrm>
          <a:off x="3895725" y="4945855"/>
          <a:ext cx="222250" cy="1677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135618</xdr:colOff>
      <xdr:row>16</xdr:row>
      <xdr:rowOff>105029</xdr:rowOff>
    </xdr:from>
    <xdr:to>
      <xdr:col>9</xdr:col>
      <xdr:colOff>22225</xdr:colOff>
      <xdr:row>16</xdr:row>
      <xdr:rowOff>172918</xdr:rowOff>
    </xdr:to>
    <xdr:cxnSp macro="">
      <xdr:nvCxnSpPr>
        <xdr:cNvPr id="1204" name="SCHEMA_T06_COND_0057">
          <a:extLst>
            <a:ext uri="{FF2B5EF4-FFF2-40B4-BE49-F238E27FC236}">
              <a16:creationId xmlns:a16="http://schemas.microsoft.com/office/drawing/2014/main" id="{D1D047C9-5F4C-B195-EE39-436910F671F7}"/>
            </a:ext>
          </a:extLst>
        </xdr:cNvPr>
        <xdr:cNvCxnSpPr/>
      </xdr:nvCxnSpPr>
      <xdr:spPr>
        <a:xfrm flipV="1">
          <a:off x="4117975" y="4894743"/>
          <a:ext cx="222250" cy="6788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26761</xdr:colOff>
      <xdr:row>16</xdr:row>
      <xdr:rowOff>156298</xdr:rowOff>
    </xdr:from>
    <xdr:to>
      <xdr:col>7</xdr:col>
      <xdr:colOff>249011</xdr:colOff>
      <xdr:row>17</xdr:row>
      <xdr:rowOff>12812</xdr:rowOff>
    </xdr:to>
    <xdr:cxnSp macro="">
      <xdr:nvCxnSpPr>
        <xdr:cNvPr id="1205" name="SCHEMA_T06_COND_0058">
          <a:extLst>
            <a:ext uri="{FF2B5EF4-FFF2-40B4-BE49-F238E27FC236}">
              <a16:creationId xmlns:a16="http://schemas.microsoft.com/office/drawing/2014/main" id="{F093322E-ABA2-70A0-D6D6-A14619E982E6}"/>
            </a:ext>
          </a:extLst>
        </xdr:cNvPr>
        <xdr:cNvCxnSpPr/>
      </xdr:nvCxnSpPr>
      <xdr:spPr>
        <a:xfrm>
          <a:off x="3673475" y="4946012"/>
          <a:ext cx="222250" cy="10144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249011</xdr:colOff>
      <xdr:row>17</xdr:row>
      <xdr:rowOff>12812</xdr:rowOff>
    </xdr:from>
    <xdr:to>
      <xdr:col>8</xdr:col>
      <xdr:colOff>135618</xdr:colOff>
      <xdr:row>17</xdr:row>
      <xdr:rowOff>29589</xdr:rowOff>
    </xdr:to>
    <xdr:cxnSp macro="">
      <xdr:nvCxnSpPr>
        <xdr:cNvPr id="1206" name="SCHEMA_T06_COND_0059">
          <a:extLst>
            <a:ext uri="{FF2B5EF4-FFF2-40B4-BE49-F238E27FC236}">
              <a16:creationId xmlns:a16="http://schemas.microsoft.com/office/drawing/2014/main" id="{E125011D-D7A0-2D10-E943-3875BF319C76}"/>
            </a:ext>
          </a:extLst>
        </xdr:cNvPr>
        <xdr:cNvCxnSpPr/>
      </xdr:nvCxnSpPr>
      <xdr:spPr>
        <a:xfrm>
          <a:off x="3895725" y="5047455"/>
          <a:ext cx="222250" cy="1677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135618</xdr:colOff>
      <xdr:row>16</xdr:row>
      <xdr:rowOff>206629</xdr:rowOff>
    </xdr:from>
    <xdr:to>
      <xdr:col>9</xdr:col>
      <xdr:colOff>22225</xdr:colOff>
      <xdr:row>17</xdr:row>
      <xdr:rowOff>29589</xdr:rowOff>
    </xdr:to>
    <xdr:cxnSp macro="">
      <xdr:nvCxnSpPr>
        <xdr:cNvPr id="1207" name="SCHEMA_T06_COND_0060">
          <a:extLst>
            <a:ext uri="{FF2B5EF4-FFF2-40B4-BE49-F238E27FC236}">
              <a16:creationId xmlns:a16="http://schemas.microsoft.com/office/drawing/2014/main" id="{01C830E3-9154-D4C4-D443-2EEF25AF9020}"/>
            </a:ext>
          </a:extLst>
        </xdr:cNvPr>
        <xdr:cNvCxnSpPr/>
      </xdr:nvCxnSpPr>
      <xdr:spPr>
        <a:xfrm flipV="1">
          <a:off x="4117975" y="4996343"/>
          <a:ext cx="222250" cy="6788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322036</xdr:colOff>
      <xdr:row>25</xdr:row>
      <xdr:rowOff>41729</xdr:rowOff>
    </xdr:from>
    <xdr:to>
      <xdr:col>8</xdr:col>
      <xdr:colOff>62593</xdr:colOff>
      <xdr:row>25</xdr:row>
      <xdr:rowOff>117929</xdr:rowOff>
    </xdr:to>
    <xdr:sp macro="" textlink="">
      <xdr:nvSpPr>
        <xdr:cNvPr id="1208" name="SCHEMA_T06_ATTRAV_04">
          <a:extLst>
            <a:ext uri="{FF2B5EF4-FFF2-40B4-BE49-F238E27FC236}">
              <a16:creationId xmlns:a16="http://schemas.microsoft.com/office/drawing/2014/main" id="{1DF9227F-3399-B787-17CF-890FA4A5A22B}"/>
            </a:ext>
          </a:extLst>
        </xdr:cNvPr>
        <xdr:cNvSpPr/>
      </xdr:nvSpPr>
      <xdr:spPr>
        <a:xfrm>
          <a:off x="3968750" y="7035800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22225</xdr:colOff>
      <xdr:row>14</xdr:row>
      <xdr:rowOff>175786</xdr:rowOff>
    </xdr:from>
    <xdr:to>
      <xdr:col>9</xdr:col>
      <xdr:colOff>244475</xdr:colOff>
      <xdr:row>14</xdr:row>
      <xdr:rowOff>217747</xdr:rowOff>
    </xdr:to>
    <xdr:cxnSp macro="">
      <xdr:nvCxnSpPr>
        <xdr:cNvPr id="1209" name="SCHEMA_T06_COND_0061">
          <a:extLst>
            <a:ext uri="{FF2B5EF4-FFF2-40B4-BE49-F238E27FC236}">
              <a16:creationId xmlns:a16="http://schemas.microsoft.com/office/drawing/2014/main" id="{05C6E648-7893-60A9-4159-63CA9A592B89}"/>
            </a:ext>
          </a:extLst>
        </xdr:cNvPr>
        <xdr:cNvCxnSpPr/>
      </xdr:nvCxnSpPr>
      <xdr:spPr>
        <a:xfrm>
          <a:off x="4340225" y="4475643"/>
          <a:ext cx="222250" cy="41961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244475</xdr:colOff>
      <xdr:row>14</xdr:row>
      <xdr:rowOff>175043</xdr:rowOff>
    </xdr:from>
    <xdr:to>
      <xdr:col>10</xdr:col>
      <xdr:colOff>131082</xdr:colOff>
      <xdr:row>14</xdr:row>
      <xdr:rowOff>217747</xdr:rowOff>
    </xdr:to>
    <xdr:cxnSp macro="">
      <xdr:nvCxnSpPr>
        <xdr:cNvPr id="1210" name="SCHEMA_T06_COND_0062">
          <a:extLst>
            <a:ext uri="{FF2B5EF4-FFF2-40B4-BE49-F238E27FC236}">
              <a16:creationId xmlns:a16="http://schemas.microsoft.com/office/drawing/2014/main" id="{1EEB81DD-0FEA-EA9A-67F9-05D308D244D4}"/>
            </a:ext>
          </a:extLst>
        </xdr:cNvPr>
        <xdr:cNvCxnSpPr/>
      </xdr:nvCxnSpPr>
      <xdr:spPr>
        <a:xfrm flipV="1">
          <a:off x="4562475" y="4474900"/>
          <a:ext cx="222250" cy="42704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131082</xdr:colOff>
      <xdr:row>14</xdr:row>
      <xdr:rowOff>47672</xdr:rowOff>
    </xdr:from>
    <xdr:to>
      <xdr:col>11</xdr:col>
      <xdr:colOff>17689</xdr:colOff>
      <xdr:row>14</xdr:row>
      <xdr:rowOff>175043</xdr:rowOff>
    </xdr:to>
    <xdr:cxnSp macro="">
      <xdr:nvCxnSpPr>
        <xdr:cNvPr id="1211" name="SCHEMA_T06_COND_0063">
          <a:extLst>
            <a:ext uri="{FF2B5EF4-FFF2-40B4-BE49-F238E27FC236}">
              <a16:creationId xmlns:a16="http://schemas.microsoft.com/office/drawing/2014/main" id="{32714D84-E049-9E6C-4080-492C02457F1C}"/>
            </a:ext>
          </a:extLst>
        </xdr:cNvPr>
        <xdr:cNvCxnSpPr/>
      </xdr:nvCxnSpPr>
      <xdr:spPr>
        <a:xfrm flipV="1">
          <a:off x="4784725" y="4347529"/>
          <a:ext cx="222250" cy="127371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22225</xdr:colOff>
      <xdr:row>15</xdr:row>
      <xdr:rowOff>95957</xdr:rowOff>
    </xdr:from>
    <xdr:to>
      <xdr:col>9</xdr:col>
      <xdr:colOff>244475</xdr:colOff>
      <xdr:row>15</xdr:row>
      <xdr:rowOff>137918</xdr:rowOff>
    </xdr:to>
    <xdr:cxnSp macro="">
      <xdr:nvCxnSpPr>
        <xdr:cNvPr id="1212" name="SCHEMA_T06_COND_0064">
          <a:extLst>
            <a:ext uri="{FF2B5EF4-FFF2-40B4-BE49-F238E27FC236}">
              <a16:creationId xmlns:a16="http://schemas.microsoft.com/office/drawing/2014/main" id="{BA7D73AB-DDEA-C510-8D53-F406617C720F}"/>
            </a:ext>
          </a:extLst>
        </xdr:cNvPr>
        <xdr:cNvCxnSpPr/>
      </xdr:nvCxnSpPr>
      <xdr:spPr>
        <a:xfrm>
          <a:off x="4340225" y="4640743"/>
          <a:ext cx="222250" cy="4196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244475</xdr:colOff>
      <xdr:row>15</xdr:row>
      <xdr:rowOff>95214</xdr:rowOff>
    </xdr:from>
    <xdr:to>
      <xdr:col>10</xdr:col>
      <xdr:colOff>131082</xdr:colOff>
      <xdr:row>15</xdr:row>
      <xdr:rowOff>137918</xdr:rowOff>
    </xdr:to>
    <xdr:cxnSp macro="">
      <xdr:nvCxnSpPr>
        <xdr:cNvPr id="1213" name="SCHEMA_T06_COND_0065">
          <a:extLst>
            <a:ext uri="{FF2B5EF4-FFF2-40B4-BE49-F238E27FC236}">
              <a16:creationId xmlns:a16="http://schemas.microsoft.com/office/drawing/2014/main" id="{5069F403-DEBB-4DCD-6173-DDB3BDDFA193}"/>
            </a:ext>
          </a:extLst>
        </xdr:cNvPr>
        <xdr:cNvCxnSpPr/>
      </xdr:nvCxnSpPr>
      <xdr:spPr>
        <a:xfrm flipV="1">
          <a:off x="4562475" y="4640000"/>
          <a:ext cx="222250" cy="42704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131082</xdr:colOff>
      <xdr:row>14</xdr:row>
      <xdr:rowOff>212772</xdr:rowOff>
    </xdr:from>
    <xdr:to>
      <xdr:col>11</xdr:col>
      <xdr:colOff>17689</xdr:colOff>
      <xdr:row>15</xdr:row>
      <xdr:rowOff>95214</xdr:rowOff>
    </xdr:to>
    <xdr:cxnSp macro="">
      <xdr:nvCxnSpPr>
        <xdr:cNvPr id="1214" name="SCHEMA_T06_COND_0066">
          <a:extLst>
            <a:ext uri="{FF2B5EF4-FFF2-40B4-BE49-F238E27FC236}">
              <a16:creationId xmlns:a16="http://schemas.microsoft.com/office/drawing/2014/main" id="{8F8105A6-08A1-8FE2-DE4D-0858BA216549}"/>
            </a:ext>
          </a:extLst>
        </xdr:cNvPr>
        <xdr:cNvCxnSpPr/>
      </xdr:nvCxnSpPr>
      <xdr:spPr>
        <a:xfrm flipV="1">
          <a:off x="4784725" y="4512629"/>
          <a:ext cx="222250" cy="12737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22225</xdr:colOff>
      <xdr:row>15</xdr:row>
      <xdr:rowOff>197557</xdr:rowOff>
    </xdr:from>
    <xdr:to>
      <xdr:col>9</xdr:col>
      <xdr:colOff>244475</xdr:colOff>
      <xdr:row>15</xdr:row>
      <xdr:rowOff>239518</xdr:rowOff>
    </xdr:to>
    <xdr:cxnSp macro="">
      <xdr:nvCxnSpPr>
        <xdr:cNvPr id="1215" name="SCHEMA_T06_COND_0067">
          <a:extLst>
            <a:ext uri="{FF2B5EF4-FFF2-40B4-BE49-F238E27FC236}">
              <a16:creationId xmlns:a16="http://schemas.microsoft.com/office/drawing/2014/main" id="{A69057C6-E5C7-3356-291A-9B81B75AF12D}"/>
            </a:ext>
          </a:extLst>
        </xdr:cNvPr>
        <xdr:cNvCxnSpPr/>
      </xdr:nvCxnSpPr>
      <xdr:spPr>
        <a:xfrm>
          <a:off x="4340225" y="4742343"/>
          <a:ext cx="222250" cy="4196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244475</xdr:colOff>
      <xdr:row>15</xdr:row>
      <xdr:rowOff>196814</xdr:rowOff>
    </xdr:from>
    <xdr:to>
      <xdr:col>10</xdr:col>
      <xdr:colOff>131082</xdr:colOff>
      <xdr:row>15</xdr:row>
      <xdr:rowOff>239518</xdr:rowOff>
    </xdr:to>
    <xdr:cxnSp macro="">
      <xdr:nvCxnSpPr>
        <xdr:cNvPr id="1216" name="SCHEMA_T06_COND_0068">
          <a:extLst>
            <a:ext uri="{FF2B5EF4-FFF2-40B4-BE49-F238E27FC236}">
              <a16:creationId xmlns:a16="http://schemas.microsoft.com/office/drawing/2014/main" id="{68A36FE5-F62D-407C-4DCE-ABF1906E06E2}"/>
            </a:ext>
          </a:extLst>
        </xdr:cNvPr>
        <xdr:cNvCxnSpPr/>
      </xdr:nvCxnSpPr>
      <xdr:spPr>
        <a:xfrm flipV="1">
          <a:off x="4562475" y="4741600"/>
          <a:ext cx="222250" cy="42704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131082</xdr:colOff>
      <xdr:row>15</xdr:row>
      <xdr:rowOff>69443</xdr:rowOff>
    </xdr:from>
    <xdr:to>
      <xdr:col>11</xdr:col>
      <xdr:colOff>17689</xdr:colOff>
      <xdr:row>15</xdr:row>
      <xdr:rowOff>196814</xdr:rowOff>
    </xdr:to>
    <xdr:cxnSp macro="">
      <xdr:nvCxnSpPr>
        <xdr:cNvPr id="1217" name="SCHEMA_T06_COND_0069">
          <a:extLst>
            <a:ext uri="{FF2B5EF4-FFF2-40B4-BE49-F238E27FC236}">
              <a16:creationId xmlns:a16="http://schemas.microsoft.com/office/drawing/2014/main" id="{A2513975-A45E-2301-C7A1-588C0CE0733B}"/>
            </a:ext>
          </a:extLst>
        </xdr:cNvPr>
        <xdr:cNvCxnSpPr/>
      </xdr:nvCxnSpPr>
      <xdr:spPr>
        <a:xfrm flipV="1">
          <a:off x="4784725" y="4614229"/>
          <a:ext cx="222250" cy="12737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22225</xdr:colOff>
      <xdr:row>16</xdr:row>
      <xdr:rowOff>105029</xdr:rowOff>
    </xdr:from>
    <xdr:to>
      <xdr:col>9</xdr:col>
      <xdr:colOff>244475</xdr:colOff>
      <xdr:row>16</xdr:row>
      <xdr:rowOff>146990</xdr:rowOff>
    </xdr:to>
    <xdr:cxnSp macro="">
      <xdr:nvCxnSpPr>
        <xdr:cNvPr id="1218" name="SCHEMA_T06_COND_0070">
          <a:extLst>
            <a:ext uri="{FF2B5EF4-FFF2-40B4-BE49-F238E27FC236}">
              <a16:creationId xmlns:a16="http://schemas.microsoft.com/office/drawing/2014/main" id="{15980E2D-D2C7-42D0-4F62-98FDC8C6F5B7}"/>
            </a:ext>
          </a:extLst>
        </xdr:cNvPr>
        <xdr:cNvCxnSpPr/>
      </xdr:nvCxnSpPr>
      <xdr:spPr>
        <a:xfrm>
          <a:off x="4340225" y="4894743"/>
          <a:ext cx="222250" cy="4196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244475</xdr:colOff>
      <xdr:row>16</xdr:row>
      <xdr:rowOff>104286</xdr:rowOff>
    </xdr:from>
    <xdr:to>
      <xdr:col>10</xdr:col>
      <xdr:colOff>131082</xdr:colOff>
      <xdr:row>16</xdr:row>
      <xdr:rowOff>146990</xdr:rowOff>
    </xdr:to>
    <xdr:cxnSp macro="">
      <xdr:nvCxnSpPr>
        <xdr:cNvPr id="1219" name="SCHEMA_T06_COND_0071">
          <a:extLst>
            <a:ext uri="{FF2B5EF4-FFF2-40B4-BE49-F238E27FC236}">
              <a16:creationId xmlns:a16="http://schemas.microsoft.com/office/drawing/2014/main" id="{0414C6EF-BCEF-8FB3-1A58-15C65C52B722}"/>
            </a:ext>
          </a:extLst>
        </xdr:cNvPr>
        <xdr:cNvCxnSpPr/>
      </xdr:nvCxnSpPr>
      <xdr:spPr>
        <a:xfrm flipV="1">
          <a:off x="4562475" y="4894000"/>
          <a:ext cx="222250" cy="42704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131082</xdr:colOff>
      <xdr:row>15</xdr:row>
      <xdr:rowOff>221843</xdr:rowOff>
    </xdr:from>
    <xdr:to>
      <xdr:col>11</xdr:col>
      <xdr:colOff>17689</xdr:colOff>
      <xdr:row>16</xdr:row>
      <xdr:rowOff>104286</xdr:rowOff>
    </xdr:to>
    <xdr:cxnSp macro="">
      <xdr:nvCxnSpPr>
        <xdr:cNvPr id="1220" name="SCHEMA_T06_COND_0072">
          <a:extLst>
            <a:ext uri="{FF2B5EF4-FFF2-40B4-BE49-F238E27FC236}">
              <a16:creationId xmlns:a16="http://schemas.microsoft.com/office/drawing/2014/main" id="{251B31C4-47FD-8384-D0C7-004E73A511C2}"/>
            </a:ext>
          </a:extLst>
        </xdr:cNvPr>
        <xdr:cNvCxnSpPr/>
      </xdr:nvCxnSpPr>
      <xdr:spPr>
        <a:xfrm flipV="1">
          <a:off x="4784725" y="4766629"/>
          <a:ext cx="222250" cy="12737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22225</xdr:colOff>
      <xdr:row>16</xdr:row>
      <xdr:rowOff>206629</xdr:rowOff>
    </xdr:from>
    <xdr:to>
      <xdr:col>9</xdr:col>
      <xdr:colOff>244475</xdr:colOff>
      <xdr:row>17</xdr:row>
      <xdr:rowOff>3661</xdr:rowOff>
    </xdr:to>
    <xdr:cxnSp macro="">
      <xdr:nvCxnSpPr>
        <xdr:cNvPr id="1221" name="SCHEMA_T06_COND_0073">
          <a:extLst>
            <a:ext uri="{FF2B5EF4-FFF2-40B4-BE49-F238E27FC236}">
              <a16:creationId xmlns:a16="http://schemas.microsoft.com/office/drawing/2014/main" id="{ABD5F885-F078-52D1-C65D-E1E3D33DB3A6}"/>
            </a:ext>
          </a:extLst>
        </xdr:cNvPr>
        <xdr:cNvCxnSpPr/>
      </xdr:nvCxnSpPr>
      <xdr:spPr>
        <a:xfrm>
          <a:off x="4340225" y="4996343"/>
          <a:ext cx="222250" cy="4196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244475</xdr:colOff>
      <xdr:row>16</xdr:row>
      <xdr:rowOff>205886</xdr:rowOff>
    </xdr:from>
    <xdr:to>
      <xdr:col>10</xdr:col>
      <xdr:colOff>131082</xdr:colOff>
      <xdr:row>17</xdr:row>
      <xdr:rowOff>3661</xdr:rowOff>
    </xdr:to>
    <xdr:cxnSp macro="">
      <xdr:nvCxnSpPr>
        <xdr:cNvPr id="1222" name="SCHEMA_T06_COND_0074">
          <a:extLst>
            <a:ext uri="{FF2B5EF4-FFF2-40B4-BE49-F238E27FC236}">
              <a16:creationId xmlns:a16="http://schemas.microsoft.com/office/drawing/2014/main" id="{B7A2CD3F-4A40-67D2-C019-3DB2A79A42C4}"/>
            </a:ext>
          </a:extLst>
        </xdr:cNvPr>
        <xdr:cNvCxnSpPr/>
      </xdr:nvCxnSpPr>
      <xdr:spPr>
        <a:xfrm flipV="1">
          <a:off x="4562475" y="4995600"/>
          <a:ext cx="222250" cy="42704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131082</xdr:colOff>
      <xdr:row>16</xdr:row>
      <xdr:rowOff>78515</xdr:rowOff>
    </xdr:from>
    <xdr:to>
      <xdr:col>11</xdr:col>
      <xdr:colOff>17689</xdr:colOff>
      <xdr:row>16</xdr:row>
      <xdr:rowOff>205886</xdr:rowOff>
    </xdr:to>
    <xdr:cxnSp macro="">
      <xdr:nvCxnSpPr>
        <xdr:cNvPr id="1223" name="SCHEMA_T06_COND_0075">
          <a:extLst>
            <a:ext uri="{FF2B5EF4-FFF2-40B4-BE49-F238E27FC236}">
              <a16:creationId xmlns:a16="http://schemas.microsoft.com/office/drawing/2014/main" id="{894D9ED4-ECB9-F024-320D-2AE26EBC26D4}"/>
            </a:ext>
          </a:extLst>
        </xdr:cNvPr>
        <xdr:cNvCxnSpPr/>
      </xdr:nvCxnSpPr>
      <xdr:spPr>
        <a:xfrm flipV="1">
          <a:off x="4784725" y="4868229"/>
          <a:ext cx="222250" cy="12737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17689</xdr:colOff>
      <xdr:row>14</xdr:row>
      <xdr:rowOff>47672</xdr:rowOff>
    </xdr:from>
    <xdr:to>
      <xdr:col>11</xdr:col>
      <xdr:colOff>239939</xdr:colOff>
      <xdr:row>14</xdr:row>
      <xdr:rowOff>101072</xdr:rowOff>
    </xdr:to>
    <xdr:cxnSp macro="">
      <xdr:nvCxnSpPr>
        <xdr:cNvPr id="1224" name="SCHEMA_T06_COND_0076">
          <a:extLst>
            <a:ext uri="{FF2B5EF4-FFF2-40B4-BE49-F238E27FC236}">
              <a16:creationId xmlns:a16="http://schemas.microsoft.com/office/drawing/2014/main" id="{D2070B1D-9F0B-0AB7-BADF-9BC86CBC8C41}"/>
            </a:ext>
          </a:extLst>
        </xdr:cNvPr>
        <xdr:cNvCxnSpPr/>
      </xdr:nvCxnSpPr>
      <xdr:spPr>
        <a:xfrm>
          <a:off x="5006975" y="4347529"/>
          <a:ext cx="222250" cy="53400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239939</xdr:colOff>
      <xdr:row>14</xdr:row>
      <xdr:rowOff>69807</xdr:rowOff>
    </xdr:from>
    <xdr:to>
      <xdr:col>12</xdr:col>
      <xdr:colOff>126546</xdr:colOff>
      <xdr:row>14</xdr:row>
      <xdr:rowOff>101072</xdr:rowOff>
    </xdr:to>
    <xdr:cxnSp macro="">
      <xdr:nvCxnSpPr>
        <xdr:cNvPr id="1225" name="SCHEMA_T06_COND_0077">
          <a:extLst>
            <a:ext uri="{FF2B5EF4-FFF2-40B4-BE49-F238E27FC236}">
              <a16:creationId xmlns:a16="http://schemas.microsoft.com/office/drawing/2014/main" id="{3BEFC4A2-C229-F0A6-FC91-3CFEC0414B01}"/>
            </a:ext>
          </a:extLst>
        </xdr:cNvPr>
        <xdr:cNvCxnSpPr/>
      </xdr:nvCxnSpPr>
      <xdr:spPr>
        <a:xfrm flipV="1">
          <a:off x="5229225" y="4369664"/>
          <a:ext cx="222250" cy="31265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126546</xdr:colOff>
      <xdr:row>13</xdr:row>
      <xdr:rowOff>198802</xdr:rowOff>
    </xdr:from>
    <xdr:to>
      <xdr:col>13</xdr:col>
      <xdr:colOff>13154</xdr:colOff>
      <xdr:row>14</xdr:row>
      <xdr:rowOff>69807</xdr:rowOff>
    </xdr:to>
    <xdr:cxnSp macro="">
      <xdr:nvCxnSpPr>
        <xdr:cNvPr id="1226" name="SCHEMA_T06_COND_0078">
          <a:extLst>
            <a:ext uri="{FF2B5EF4-FFF2-40B4-BE49-F238E27FC236}">
              <a16:creationId xmlns:a16="http://schemas.microsoft.com/office/drawing/2014/main" id="{A6B9539F-4861-26CC-6652-6A6C39D3AE47}"/>
            </a:ext>
          </a:extLst>
        </xdr:cNvPr>
        <xdr:cNvCxnSpPr/>
      </xdr:nvCxnSpPr>
      <xdr:spPr>
        <a:xfrm flipV="1">
          <a:off x="5451475" y="4253731"/>
          <a:ext cx="222250" cy="115933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17689</xdr:colOff>
      <xdr:row>14</xdr:row>
      <xdr:rowOff>212772</xdr:rowOff>
    </xdr:from>
    <xdr:to>
      <xdr:col>11</xdr:col>
      <xdr:colOff>239939</xdr:colOff>
      <xdr:row>15</xdr:row>
      <xdr:rowOff>21243</xdr:rowOff>
    </xdr:to>
    <xdr:cxnSp macro="">
      <xdr:nvCxnSpPr>
        <xdr:cNvPr id="1227" name="SCHEMA_T06_COND_0079">
          <a:extLst>
            <a:ext uri="{FF2B5EF4-FFF2-40B4-BE49-F238E27FC236}">
              <a16:creationId xmlns:a16="http://schemas.microsoft.com/office/drawing/2014/main" id="{AE33AAEB-DE93-F5DB-31BB-D114CB1BC644}"/>
            </a:ext>
          </a:extLst>
        </xdr:cNvPr>
        <xdr:cNvCxnSpPr/>
      </xdr:nvCxnSpPr>
      <xdr:spPr>
        <a:xfrm>
          <a:off x="5006975" y="4512629"/>
          <a:ext cx="222250" cy="5340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239939</xdr:colOff>
      <xdr:row>14</xdr:row>
      <xdr:rowOff>234907</xdr:rowOff>
    </xdr:from>
    <xdr:to>
      <xdr:col>12</xdr:col>
      <xdr:colOff>126546</xdr:colOff>
      <xdr:row>15</xdr:row>
      <xdr:rowOff>21243</xdr:rowOff>
    </xdr:to>
    <xdr:cxnSp macro="">
      <xdr:nvCxnSpPr>
        <xdr:cNvPr id="1228" name="SCHEMA_T06_COND_0080">
          <a:extLst>
            <a:ext uri="{FF2B5EF4-FFF2-40B4-BE49-F238E27FC236}">
              <a16:creationId xmlns:a16="http://schemas.microsoft.com/office/drawing/2014/main" id="{C313F17A-5FD6-1A31-A3AB-4921AAA9E604}"/>
            </a:ext>
          </a:extLst>
        </xdr:cNvPr>
        <xdr:cNvCxnSpPr/>
      </xdr:nvCxnSpPr>
      <xdr:spPr>
        <a:xfrm flipV="1">
          <a:off x="5229225" y="4534764"/>
          <a:ext cx="222250" cy="3126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126546</xdr:colOff>
      <xdr:row>14</xdr:row>
      <xdr:rowOff>118974</xdr:rowOff>
    </xdr:from>
    <xdr:to>
      <xdr:col>13</xdr:col>
      <xdr:colOff>13154</xdr:colOff>
      <xdr:row>14</xdr:row>
      <xdr:rowOff>234907</xdr:rowOff>
    </xdr:to>
    <xdr:cxnSp macro="">
      <xdr:nvCxnSpPr>
        <xdr:cNvPr id="1229" name="SCHEMA_T06_COND_0081">
          <a:extLst>
            <a:ext uri="{FF2B5EF4-FFF2-40B4-BE49-F238E27FC236}">
              <a16:creationId xmlns:a16="http://schemas.microsoft.com/office/drawing/2014/main" id="{AE79432A-B350-4684-4599-0D9A47977D94}"/>
            </a:ext>
          </a:extLst>
        </xdr:cNvPr>
        <xdr:cNvCxnSpPr/>
      </xdr:nvCxnSpPr>
      <xdr:spPr>
        <a:xfrm flipV="1">
          <a:off x="5451475" y="4418831"/>
          <a:ext cx="222250" cy="11593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17689</xdr:colOff>
      <xdr:row>15</xdr:row>
      <xdr:rowOff>69443</xdr:rowOff>
    </xdr:from>
    <xdr:to>
      <xdr:col>11</xdr:col>
      <xdr:colOff>239939</xdr:colOff>
      <xdr:row>15</xdr:row>
      <xdr:rowOff>122843</xdr:rowOff>
    </xdr:to>
    <xdr:cxnSp macro="">
      <xdr:nvCxnSpPr>
        <xdr:cNvPr id="1230" name="SCHEMA_T06_COND_0082">
          <a:extLst>
            <a:ext uri="{FF2B5EF4-FFF2-40B4-BE49-F238E27FC236}">
              <a16:creationId xmlns:a16="http://schemas.microsoft.com/office/drawing/2014/main" id="{8CFFD310-7C1C-B4A6-2EC3-3027F75E788A}"/>
            </a:ext>
          </a:extLst>
        </xdr:cNvPr>
        <xdr:cNvCxnSpPr/>
      </xdr:nvCxnSpPr>
      <xdr:spPr>
        <a:xfrm>
          <a:off x="5006975" y="4614229"/>
          <a:ext cx="222250" cy="5340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239939</xdr:colOff>
      <xdr:row>15</xdr:row>
      <xdr:rowOff>91578</xdr:rowOff>
    </xdr:from>
    <xdr:to>
      <xdr:col>12</xdr:col>
      <xdr:colOff>126546</xdr:colOff>
      <xdr:row>15</xdr:row>
      <xdr:rowOff>122843</xdr:rowOff>
    </xdr:to>
    <xdr:cxnSp macro="">
      <xdr:nvCxnSpPr>
        <xdr:cNvPr id="1231" name="SCHEMA_T06_COND_0083">
          <a:extLst>
            <a:ext uri="{FF2B5EF4-FFF2-40B4-BE49-F238E27FC236}">
              <a16:creationId xmlns:a16="http://schemas.microsoft.com/office/drawing/2014/main" id="{E7A0731E-AB25-3ACA-7ECF-97F9B4D48913}"/>
            </a:ext>
          </a:extLst>
        </xdr:cNvPr>
        <xdr:cNvCxnSpPr/>
      </xdr:nvCxnSpPr>
      <xdr:spPr>
        <a:xfrm flipV="1">
          <a:off x="5229225" y="4636364"/>
          <a:ext cx="222250" cy="3126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126546</xdr:colOff>
      <xdr:row>14</xdr:row>
      <xdr:rowOff>220574</xdr:rowOff>
    </xdr:from>
    <xdr:to>
      <xdr:col>13</xdr:col>
      <xdr:colOff>13154</xdr:colOff>
      <xdr:row>15</xdr:row>
      <xdr:rowOff>91578</xdr:rowOff>
    </xdr:to>
    <xdr:cxnSp macro="">
      <xdr:nvCxnSpPr>
        <xdr:cNvPr id="1232" name="SCHEMA_T06_COND_0084">
          <a:extLst>
            <a:ext uri="{FF2B5EF4-FFF2-40B4-BE49-F238E27FC236}">
              <a16:creationId xmlns:a16="http://schemas.microsoft.com/office/drawing/2014/main" id="{E2A51C21-8A2E-8351-DA8A-96CB9696A2C6}"/>
            </a:ext>
          </a:extLst>
        </xdr:cNvPr>
        <xdr:cNvCxnSpPr/>
      </xdr:nvCxnSpPr>
      <xdr:spPr>
        <a:xfrm flipV="1">
          <a:off x="5451475" y="4520431"/>
          <a:ext cx="222250" cy="11593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17689</xdr:colOff>
      <xdr:row>15</xdr:row>
      <xdr:rowOff>221843</xdr:rowOff>
    </xdr:from>
    <xdr:to>
      <xdr:col>11</xdr:col>
      <xdr:colOff>239939</xdr:colOff>
      <xdr:row>16</xdr:row>
      <xdr:rowOff>30315</xdr:rowOff>
    </xdr:to>
    <xdr:cxnSp macro="">
      <xdr:nvCxnSpPr>
        <xdr:cNvPr id="1233" name="SCHEMA_T06_COND_0085">
          <a:extLst>
            <a:ext uri="{FF2B5EF4-FFF2-40B4-BE49-F238E27FC236}">
              <a16:creationId xmlns:a16="http://schemas.microsoft.com/office/drawing/2014/main" id="{77CD7602-9205-080B-0ECF-13EC21E152AA}"/>
            </a:ext>
          </a:extLst>
        </xdr:cNvPr>
        <xdr:cNvCxnSpPr/>
      </xdr:nvCxnSpPr>
      <xdr:spPr>
        <a:xfrm>
          <a:off x="5006975" y="4766629"/>
          <a:ext cx="222250" cy="5340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239939</xdr:colOff>
      <xdr:row>15</xdr:row>
      <xdr:rowOff>243978</xdr:rowOff>
    </xdr:from>
    <xdr:to>
      <xdr:col>12</xdr:col>
      <xdr:colOff>126546</xdr:colOff>
      <xdr:row>16</xdr:row>
      <xdr:rowOff>30315</xdr:rowOff>
    </xdr:to>
    <xdr:cxnSp macro="">
      <xdr:nvCxnSpPr>
        <xdr:cNvPr id="1234" name="SCHEMA_T06_COND_0086">
          <a:extLst>
            <a:ext uri="{FF2B5EF4-FFF2-40B4-BE49-F238E27FC236}">
              <a16:creationId xmlns:a16="http://schemas.microsoft.com/office/drawing/2014/main" id="{43DC6AF2-32AC-AA5F-CF2F-C85BC7EBDB2A}"/>
            </a:ext>
          </a:extLst>
        </xdr:cNvPr>
        <xdr:cNvCxnSpPr/>
      </xdr:nvCxnSpPr>
      <xdr:spPr>
        <a:xfrm flipV="1">
          <a:off x="5229225" y="4788764"/>
          <a:ext cx="222250" cy="3126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126546</xdr:colOff>
      <xdr:row>15</xdr:row>
      <xdr:rowOff>128045</xdr:rowOff>
    </xdr:from>
    <xdr:to>
      <xdr:col>13</xdr:col>
      <xdr:colOff>13154</xdr:colOff>
      <xdr:row>15</xdr:row>
      <xdr:rowOff>243978</xdr:rowOff>
    </xdr:to>
    <xdr:cxnSp macro="">
      <xdr:nvCxnSpPr>
        <xdr:cNvPr id="1235" name="SCHEMA_T06_COND_0087">
          <a:extLst>
            <a:ext uri="{FF2B5EF4-FFF2-40B4-BE49-F238E27FC236}">
              <a16:creationId xmlns:a16="http://schemas.microsoft.com/office/drawing/2014/main" id="{D6BF51AA-7AE1-C14C-39AF-F748C61E54EE}"/>
            </a:ext>
          </a:extLst>
        </xdr:cNvPr>
        <xdr:cNvCxnSpPr/>
      </xdr:nvCxnSpPr>
      <xdr:spPr>
        <a:xfrm flipV="1">
          <a:off x="5451475" y="4672831"/>
          <a:ext cx="222250" cy="11593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17689</xdr:colOff>
      <xdr:row>16</xdr:row>
      <xdr:rowOff>78515</xdr:rowOff>
    </xdr:from>
    <xdr:to>
      <xdr:col>11</xdr:col>
      <xdr:colOff>239939</xdr:colOff>
      <xdr:row>16</xdr:row>
      <xdr:rowOff>131915</xdr:rowOff>
    </xdr:to>
    <xdr:cxnSp macro="">
      <xdr:nvCxnSpPr>
        <xdr:cNvPr id="1236" name="SCHEMA_T06_COND_0088">
          <a:extLst>
            <a:ext uri="{FF2B5EF4-FFF2-40B4-BE49-F238E27FC236}">
              <a16:creationId xmlns:a16="http://schemas.microsoft.com/office/drawing/2014/main" id="{74C5474B-8903-FE0F-1965-E596BAE221B6}"/>
            </a:ext>
          </a:extLst>
        </xdr:cNvPr>
        <xdr:cNvCxnSpPr/>
      </xdr:nvCxnSpPr>
      <xdr:spPr>
        <a:xfrm>
          <a:off x="5006975" y="4868229"/>
          <a:ext cx="222250" cy="5340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239939</xdr:colOff>
      <xdr:row>16</xdr:row>
      <xdr:rowOff>100650</xdr:rowOff>
    </xdr:from>
    <xdr:to>
      <xdr:col>12</xdr:col>
      <xdr:colOff>126546</xdr:colOff>
      <xdr:row>16</xdr:row>
      <xdr:rowOff>131915</xdr:rowOff>
    </xdr:to>
    <xdr:cxnSp macro="">
      <xdr:nvCxnSpPr>
        <xdr:cNvPr id="1237" name="SCHEMA_T06_COND_0089">
          <a:extLst>
            <a:ext uri="{FF2B5EF4-FFF2-40B4-BE49-F238E27FC236}">
              <a16:creationId xmlns:a16="http://schemas.microsoft.com/office/drawing/2014/main" id="{9DD5B6AE-25B1-054E-F0D1-116471D39805}"/>
            </a:ext>
          </a:extLst>
        </xdr:cNvPr>
        <xdr:cNvCxnSpPr/>
      </xdr:nvCxnSpPr>
      <xdr:spPr>
        <a:xfrm flipV="1">
          <a:off x="5229225" y="4890364"/>
          <a:ext cx="222250" cy="3126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126546</xdr:colOff>
      <xdr:row>15</xdr:row>
      <xdr:rowOff>229645</xdr:rowOff>
    </xdr:from>
    <xdr:to>
      <xdr:col>13</xdr:col>
      <xdr:colOff>13154</xdr:colOff>
      <xdr:row>16</xdr:row>
      <xdr:rowOff>100650</xdr:rowOff>
    </xdr:to>
    <xdr:cxnSp macro="">
      <xdr:nvCxnSpPr>
        <xdr:cNvPr id="1238" name="SCHEMA_T06_COND_0090">
          <a:extLst>
            <a:ext uri="{FF2B5EF4-FFF2-40B4-BE49-F238E27FC236}">
              <a16:creationId xmlns:a16="http://schemas.microsoft.com/office/drawing/2014/main" id="{5C4E7B9D-0344-FC44-BED2-43E161E00E11}"/>
            </a:ext>
          </a:extLst>
        </xdr:cNvPr>
        <xdr:cNvCxnSpPr/>
      </xdr:nvCxnSpPr>
      <xdr:spPr>
        <a:xfrm flipV="1">
          <a:off x="5451475" y="4774431"/>
          <a:ext cx="222250" cy="11593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13154</xdr:colOff>
      <xdr:row>13</xdr:row>
      <xdr:rowOff>198802</xdr:rowOff>
    </xdr:from>
    <xdr:to>
      <xdr:col>13</xdr:col>
      <xdr:colOff>235404</xdr:colOff>
      <xdr:row>13</xdr:row>
      <xdr:rowOff>233138</xdr:rowOff>
    </xdr:to>
    <xdr:cxnSp macro="">
      <xdr:nvCxnSpPr>
        <xdr:cNvPr id="1239" name="SCHEMA_T06_COND_0091">
          <a:extLst>
            <a:ext uri="{FF2B5EF4-FFF2-40B4-BE49-F238E27FC236}">
              <a16:creationId xmlns:a16="http://schemas.microsoft.com/office/drawing/2014/main" id="{496A2F4A-6ECF-4B73-55A6-88AF34240001}"/>
            </a:ext>
          </a:extLst>
        </xdr:cNvPr>
        <xdr:cNvCxnSpPr/>
      </xdr:nvCxnSpPr>
      <xdr:spPr>
        <a:xfrm>
          <a:off x="5673725" y="4253731"/>
          <a:ext cx="222250" cy="34336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235404</xdr:colOff>
      <xdr:row>13</xdr:row>
      <xdr:rowOff>182808</xdr:rowOff>
    </xdr:from>
    <xdr:to>
      <xdr:col>14</xdr:col>
      <xdr:colOff>122011</xdr:colOff>
      <xdr:row>13</xdr:row>
      <xdr:rowOff>233138</xdr:rowOff>
    </xdr:to>
    <xdr:cxnSp macro="">
      <xdr:nvCxnSpPr>
        <xdr:cNvPr id="1240" name="SCHEMA_T06_COND_0092">
          <a:extLst>
            <a:ext uri="{FF2B5EF4-FFF2-40B4-BE49-F238E27FC236}">
              <a16:creationId xmlns:a16="http://schemas.microsoft.com/office/drawing/2014/main" id="{67CA4961-2143-2AB8-0F63-C078778603B4}"/>
            </a:ext>
          </a:extLst>
        </xdr:cNvPr>
        <xdr:cNvCxnSpPr/>
      </xdr:nvCxnSpPr>
      <xdr:spPr>
        <a:xfrm flipV="1">
          <a:off x="5895975" y="4237737"/>
          <a:ext cx="222250" cy="50330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122011</xdr:colOff>
      <xdr:row>13</xdr:row>
      <xdr:rowOff>47810</xdr:rowOff>
    </xdr:from>
    <xdr:to>
      <xdr:col>15</xdr:col>
      <xdr:colOff>8618</xdr:colOff>
      <xdr:row>13</xdr:row>
      <xdr:rowOff>182808</xdr:rowOff>
    </xdr:to>
    <xdr:cxnSp macro="">
      <xdr:nvCxnSpPr>
        <xdr:cNvPr id="1241" name="SCHEMA_T06_COND_0093">
          <a:extLst>
            <a:ext uri="{FF2B5EF4-FFF2-40B4-BE49-F238E27FC236}">
              <a16:creationId xmlns:a16="http://schemas.microsoft.com/office/drawing/2014/main" id="{5F739D3E-3970-ECFF-23D3-04C5DBC5C876}"/>
            </a:ext>
          </a:extLst>
        </xdr:cNvPr>
        <xdr:cNvCxnSpPr/>
      </xdr:nvCxnSpPr>
      <xdr:spPr>
        <a:xfrm flipV="1">
          <a:off x="6118225" y="4102739"/>
          <a:ext cx="222250" cy="134998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13154</xdr:colOff>
      <xdr:row>14</xdr:row>
      <xdr:rowOff>118974</xdr:rowOff>
    </xdr:from>
    <xdr:to>
      <xdr:col>13</xdr:col>
      <xdr:colOff>235404</xdr:colOff>
      <xdr:row>14</xdr:row>
      <xdr:rowOff>153310</xdr:rowOff>
    </xdr:to>
    <xdr:cxnSp macro="">
      <xdr:nvCxnSpPr>
        <xdr:cNvPr id="1242" name="SCHEMA_T06_COND_0094">
          <a:extLst>
            <a:ext uri="{FF2B5EF4-FFF2-40B4-BE49-F238E27FC236}">
              <a16:creationId xmlns:a16="http://schemas.microsoft.com/office/drawing/2014/main" id="{79603607-10E0-6C45-9755-CCE944585B0F}"/>
            </a:ext>
          </a:extLst>
        </xdr:cNvPr>
        <xdr:cNvCxnSpPr/>
      </xdr:nvCxnSpPr>
      <xdr:spPr>
        <a:xfrm>
          <a:off x="5673725" y="4418831"/>
          <a:ext cx="222250" cy="3433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235404</xdr:colOff>
      <xdr:row>14</xdr:row>
      <xdr:rowOff>102980</xdr:rowOff>
    </xdr:from>
    <xdr:to>
      <xdr:col>14</xdr:col>
      <xdr:colOff>122011</xdr:colOff>
      <xdr:row>14</xdr:row>
      <xdr:rowOff>153310</xdr:rowOff>
    </xdr:to>
    <xdr:cxnSp macro="">
      <xdr:nvCxnSpPr>
        <xdr:cNvPr id="1243" name="SCHEMA_T06_COND_0095">
          <a:extLst>
            <a:ext uri="{FF2B5EF4-FFF2-40B4-BE49-F238E27FC236}">
              <a16:creationId xmlns:a16="http://schemas.microsoft.com/office/drawing/2014/main" id="{48B0CBB8-AFC6-1D8A-936D-80BCD4A5F073}"/>
            </a:ext>
          </a:extLst>
        </xdr:cNvPr>
        <xdr:cNvCxnSpPr/>
      </xdr:nvCxnSpPr>
      <xdr:spPr>
        <a:xfrm flipV="1">
          <a:off x="5895975" y="4402837"/>
          <a:ext cx="222250" cy="5033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122011</xdr:colOff>
      <xdr:row>13</xdr:row>
      <xdr:rowOff>212910</xdr:rowOff>
    </xdr:from>
    <xdr:to>
      <xdr:col>15</xdr:col>
      <xdr:colOff>8618</xdr:colOff>
      <xdr:row>14</xdr:row>
      <xdr:rowOff>102980</xdr:rowOff>
    </xdr:to>
    <xdr:cxnSp macro="">
      <xdr:nvCxnSpPr>
        <xdr:cNvPr id="1244" name="SCHEMA_T06_COND_0096">
          <a:extLst>
            <a:ext uri="{FF2B5EF4-FFF2-40B4-BE49-F238E27FC236}">
              <a16:creationId xmlns:a16="http://schemas.microsoft.com/office/drawing/2014/main" id="{6B02E01D-2D9D-9310-7EB9-3B99BA9CBA9F}"/>
            </a:ext>
          </a:extLst>
        </xdr:cNvPr>
        <xdr:cNvCxnSpPr/>
      </xdr:nvCxnSpPr>
      <xdr:spPr>
        <a:xfrm flipV="1">
          <a:off x="6118225" y="4267839"/>
          <a:ext cx="222250" cy="13499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13154</xdr:colOff>
      <xdr:row>14</xdr:row>
      <xdr:rowOff>220574</xdr:rowOff>
    </xdr:from>
    <xdr:to>
      <xdr:col>13</xdr:col>
      <xdr:colOff>235404</xdr:colOff>
      <xdr:row>15</xdr:row>
      <xdr:rowOff>9981</xdr:rowOff>
    </xdr:to>
    <xdr:cxnSp macro="">
      <xdr:nvCxnSpPr>
        <xdr:cNvPr id="1245" name="SCHEMA_T06_COND_0097">
          <a:extLst>
            <a:ext uri="{FF2B5EF4-FFF2-40B4-BE49-F238E27FC236}">
              <a16:creationId xmlns:a16="http://schemas.microsoft.com/office/drawing/2014/main" id="{4DA70C61-0203-77C2-8BEF-46B732D6CBA0}"/>
            </a:ext>
          </a:extLst>
        </xdr:cNvPr>
        <xdr:cNvCxnSpPr/>
      </xdr:nvCxnSpPr>
      <xdr:spPr>
        <a:xfrm>
          <a:off x="5673725" y="4520431"/>
          <a:ext cx="222250" cy="3433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235404</xdr:colOff>
      <xdr:row>14</xdr:row>
      <xdr:rowOff>204580</xdr:rowOff>
    </xdr:from>
    <xdr:to>
      <xdr:col>14</xdr:col>
      <xdr:colOff>122011</xdr:colOff>
      <xdr:row>15</xdr:row>
      <xdr:rowOff>9981</xdr:rowOff>
    </xdr:to>
    <xdr:cxnSp macro="">
      <xdr:nvCxnSpPr>
        <xdr:cNvPr id="1246" name="SCHEMA_T06_COND_0098">
          <a:extLst>
            <a:ext uri="{FF2B5EF4-FFF2-40B4-BE49-F238E27FC236}">
              <a16:creationId xmlns:a16="http://schemas.microsoft.com/office/drawing/2014/main" id="{D605002C-8D75-7895-C4DB-3E69A015D33F}"/>
            </a:ext>
          </a:extLst>
        </xdr:cNvPr>
        <xdr:cNvCxnSpPr/>
      </xdr:nvCxnSpPr>
      <xdr:spPr>
        <a:xfrm flipV="1">
          <a:off x="5895975" y="4504437"/>
          <a:ext cx="222250" cy="50330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122011</xdr:colOff>
      <xdr:row>14</xdr:row>
      <xdr:rowOff>69582</xdr:rowOff>
    </xdr:from>
    <xdr:to>
      <xdr:col>15</xdr:col>
      <xdr:colOff>8618</xdr:colOff>
      <xdr:row>14</xdr:row>
      <xdr:rowOff>204580</xdr:rowOff>
    </xdr:to>
    <xdr:cxnSp macro="">
      <xdr:nvCxnSpPr>
        <xdr:cNvPr id="1247" name="SCHEMA_T06_COND_0099">
          <a:extLst>
            <a:ext uri="{FF2B5EF4-FFF2-40B4-BE49-F238E27FC236}">
              <a16:creationId xmlns:a16="http://schemas.microsoft.com/office/drawing/2014/main" id="{089D2FF2-5BE1-DDF3-5227-3D6A5AD267F9}"/>
            </a:ext>
          </a:extLst>
        </xdr:cNvPr>
        <xdr:cNvCxnSpPr/>
      </xdr:nvCxnSpPr>
      <xdr:spPr>
        <a:xfrm flipV="1">
          <a:off x="6118225" y="4369439"/>
          <a:ext cx="222250" cy="13499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13154</xdr:colOff>
      <xdr:row>15</xdr:row>
      <xdr:rowOff>128045</xdr:rowOff>
    </xdr:from>
    <xdr:to>
      <xdr:col>13</xdr:col>
      <xdr:colOff>235404</xdr:colOff>
      <xdr:row>15</xdr:row>
      <xdr:rowOff>162381</xdr:rowOff>
    </xdr:to>
    <xdr:cxnSp macro="">
      <xdr:nvCxnSpPr>
        <xdr:cNvPr id="1248" name="SCHEMA_T06_COND_0100">
          <a:extLst>
            <a:ext uri="{FF2B5EF4-FFF2-40B4-BE49-F238E27FC236}">
              <a16:creationId xmlns:a16="http://schemas.microsoft.com/office/drawing/2014/main" id="{B3CB378F-E494-6555-0D48-F13148DA79BA}"/>
            </a:ext>
          </a:extLst>
        </xdr:cNvPr>
        <xdr:cNvCxnSpPr/>
      </xdr:nvCxnSpPr>
      <xdr:spPr>
        <a:xfrm>
          <a:off x="5673725" y="4672831"/>
          <a:ext cx="222250" cy="3433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235404</xdr:colOff>
      <xdr:row>15</xdr:row>
      <xdr:rowOff>112051</xdr:rowOff>
    </xdr:from>
    <xdr:to>
      <xdr:col>14</xdr:col>
      <xdr:colOff>122011</xdr:colOff>
      <xdr:row>15</xdr:row>
      <xdr:rowOff>162381</xdr:rowOff>
    </xdr:to>
    <xdr:cxnSp macro="">
      <xdr:nvCxnSpPr>
        <xdr:cNvPr id="1249" name="SCHEMA_T06_COND_0101">
          <a:extLst>
            <a:ext uri="{FF2B5EF4-FFF2-40B4-BE49-F238E27FC236}">
              <a16:creationId xmlns:a16="http://schemas.microsoft.com/office/drawing/2014/main" id="{504B4805-1167-9936-82E6-E6B43578A537}"/>
            </a:ext>
          </a:extLst>
        </xdr:cNvPr>
        <xdr:cNvCxnSpPr/>
      </xdr:nvCxnSpPr>
      <xdr:spPr>
        <a:xfrm flipV="1">
          <a:off x="5895975" y="4656837"/>
          <a:ext cx="222250" cy="5033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122011</xdr:colOff>
      <xdr:row>14</xdr:row>
      <xdr:rowOff>221982</xdr:rowOff>
    </xdr:from>
    <xdr:to>
      <xdr:col>15</xdr:col>
      <xdr:colOff>8618</xdr:colOff>
      <xdr:row>15</xdr:row>
      <xdr:rowOff>112051</xdr:rowOff>
    </xdr:to>
    <xdr:cxnSp macro="">
      <xdr:nvCxnSpPr>
        <xdr:cNvPr id="1250" name="SCHEMA_T06_COND_0102">
          <a:extLst>
            <a:ext uri="{FF2B5EF4-FFF2-40B4-BE49-F238E27FC236}">
              <a16:creationId xmlns:a16="http://schemas.microsoft.com/office/drawing/2014/main" id="{0E44734E-508F-3C37-9EEB-3F53EC978759}"/>
            </a:ext>
          </a:extLst>
        </xdr:cNvPr>
        <xdr:cNvCxnSpPr/>
      </xdr:nvCxnSpPr>
      <xdr:spPr>
        <a:xfrm flipV="1">
          <a:off x="6118225" y="4521839"/>
          <a:ext cx="222250" cy="13499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13154</xdr:colOff>
      <xdr:row>15</xdr:row>
      <xdr:rowOff>229645</xdr:rowOff>
    </xdr:from>
    <xdr:to>
      <xdr:col>13</xdr:col>
      <xdr:colOff>235404</xdr:colOff>
      <xdr:row>16</xdr:row>
      <xdr:rowOff>19053</xdr:rowOff>
    </xdr:to>
    <xdr:cxnSp macro="">
      <xdr:nvCxnSpPr>
        <xdr:cNvPr id="1251" name="SCHEMA_T06_COND_0103">
          <a:extLst>
            <a:ext uri="{FF2B5EF4-FFF2-40B4-BE49-F238E27FC236}">
              <a16:creationId xmlns:a16="http://schemas.microsoft.com/office/drawing/2014/main" id="{4E7C0ED1-FE9B-D597-19C1-36D931242ECF}"/>
            </a:ext>
          </a:extLst>
        </xdr:cNvPr>
        <xdr:cNvCxnSpPr/>
      </xdr:nvCxnSpPr>
      <xdr:spPr>
        <a:xfrm>
          <a:off x="5673725" y="4774431"/>
          <a:ext cx="222250" cy="3433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235404</xdr:colOff>
      <xdr:row>15</xdr:row>
      <xdr:rowOff>213651</xdr:rowOff>
    </xdr:from>
    <xdr:to>
      <xdr:col>14</xdr:col>
      <xdr:colOff>122011</xdr:colOff>
      <xdr:row>16</xdr:row>
      <xdr:rowOff>19053</xdr:rowOff>
    </xdr:to>
    <xdr:cxnSp macro="">
      <xdr:nvCxnSpPr>
        <xdr:cNvPr id="1252" name="SCHEMA_T06_COND_0104">
          <a:extLst>
            <a:ext uri="{FF2B5EF4-FFF2-40B4-BE49-F238E27FC236}">
              <a16:creationId xmlns:a16="http://schemas.microsoft.com/office/drawing/2014/main" id="{A53CA864-AABD-F712-4703-28F635716D89}"/>
            </a:ext>
          </a:extLst>
        </xdr:cNvPr>
        <xdr:cNvCxnSpPr/>
      </xdr:nvCxnSpPr>
      <xdr:spPr>
        <a:xfrm flipV="1">
          <a:off x="5895975" y="4758437"/>
          <a:ext cx="222250" cy="50330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122011</xdr:colOff>
      <xdr:row>15</xdr:row>
      <xdr:rowOff>78653</xdr:rowOff>
    </xdr:from>
    <xdr:to>
      <xdr:col>15</xdr:col>
      <xdr:colOff>8618</xdr:colOff>
      <xdr:row>15</xdr:row>
      <xdr:rowOff>213651</xdr:rowOff>
    </xdr:to>
    <xdr:cxnSp macro="">
      <xdr:nvCxnSpPr>
        <xdr:cNvPr id="1253" name="SCHEMA_T06_COND_0105">
          <a:extLst>
            <a:ext uri="{FF2B5EF4-FFF2-40B4-BE49-F238E27FC236}">
              <a16:creationId xmlns:a16="http://schemas.microsoft.com/office/drawing/2014/main" id="{33E7229E-B4D9-72FC-4B58-C95B31821DCE}"/>
            </a:ext>
          </a:extLst>
        </xdr:cNvPr>
        <xdr:cNvCxnSpPr/>
      </xdr:nvCxnSpPr>
      <xdr:spPr>
        <a:xfrm flipV="1">
          <a:off x="6118225" y="4623439"/>
          <a:ext cx="222250" cy="13499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308429</xdr:colOff>
      <xdr:row>25</xdr:row>
      <xdr:rowOff>41729</xdr:rowOff>
    </xdr:from>
    <xdr:to>
      <xdr:col>14</xdr:col>
      <xdr:colOff>48986</xdr:colOff>
      <xdr:row>25</xdr:row>
      <xdr:rowOff>117929</xdr:rowOff>
    </xdr:to>
    <xdr:sp macro="" textlink="">
      <xdr:nvSpPr>
        <xdr:cNvPr id="1254" name="SCHEMA_T06_ATTRAV_07">
          <a:extLst>
            <a:ext uri="{FF2B5EF4-FFF2-40B4-BE49-F238E27FC236}">
              <a16:creationId xmlns:a16="http://schemas.microsoft.com/office/drawing/2014/main" id="{54FB6688-1739-A503-FA28-148C00A68278}"/>
            </a:ext>
          </a:extLst>
        </xdr:cNvPr>
        <xdr:cNvSpPr/>
      </xdr:nvSpPr>
      <xdr:spPr>
        <a:xfrm>
          <a:off x="5969000" y="7035800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15</xdr:col>
      <xdr:colOff>8618</xdr:colOff>
      <xdr:row>13</xdr:row>
      <xdr:rowOff>47810</xdr:rowOff>
    </xdr:from>
    <xdr:to>
      <xdr:col>15</xdr:col>
      <xdr:colOff>230868</xdr:colOff>
      <xdr:row>13</xdr:row>
      <xdr:rowOff>151542</xdr:rowOff>
    </xdr:to>
    <xdr:cxnSp macro="">
      <xdr:nvCxnSpPr>
        <xdr:cNvPr id="1255" name="SCHEMA_T06_COND_0106">
          <a:extLst>
            <a:ext uri="{FF2B5EF4-FFF2-40B4-BE49-F238E27FC236}">
              <a16:creationId xmlns:a16="http://schemas.microsoft.com/office/drawing/2014/main" id="{CF747097-41CF-543E-6E32-C8BDE16FB8F9}"/>
            </a:ext>
          </a:extLst>
        </xdr:cNvPr>
        <xdr:cNvCxnSpPr/>
      </xdr:nvCxnSpPr>
      <xdr:spPr>
        <a:xfrm>
          <a:off x="6340475" y="4102739"/>
          <a:ext cx="222250" cy="103732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230868</xdr:colOff>
      <xdr:row>13</xdr:row>
      <xdr:rowOff>151542</xdr:rowOff>
    </xdr:from>
    <xdr:to>
      <xdr:col>16</xdr:col>
      <xdr:colOff>117475</xdr:colOff>
      <xdr:row>13</xdr:row>
      <xdr:rowOff>170606</xdr:rowOff>
    </xdr:to>
    <xdr:cxnSp macro="">
      <xdr:nvCxnSpPr>
        <xdr:cNvPr id="1256" name="SCHEMA_T06_COND_0107">
          <a:extLst>
            <a:ext uri="{FF2B5EF4-FFF2-40B4-BE49-F238E27FC236}">
              <a16:creationId xmlns:a16="http://schemas.microsoft.com/office/drawing/2014/main" id="{2E964F98-485C-0B1C-0A50-4FB684486E33}"/>
            </a:ext>
          </a:extLst>
        </xdr:cNvPr>
        <xdr:cNvCxnSpPr/>
      </xdr:nvCxnSpPr>
      <xdr:spPr>
        <a:xfrm>
          <a:off x="6562725" y="4206471"/>
          <a:ext cx="222250" cy="19064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117475</xdr:colOff>
      <xdr:row>13</xdr:row>
      <xdr:rowOff>105004</xdr:rowOff>
    </xdr:from>
    <xdr:to>
      <xdr:col>17</xdr:col>
      <xdr:colOff>4082</xdr:colOff>
      <xdr:row>13</xdr:row>
      <xdr:rowOff>170606</xdr:rowOff>
    </xdr:to>
    <xdr:cxnSp macro="">
      <xdr:nvCxnSpPr>
        <xdr:cNvPr id="1257" name="SCHEMA_T06_COND_0108">
          <a:extLst>
            <a:ext uri="{FF2B5EF4-FFF2-40B4-BE49-F238E27FC236}">
              <a16:creationId xmlns:a16="http://schemas.microsoft.com/office/drawing/2014/main" id="{6CA9CA4D-DBB6-A57D-64D0-14864E4D1288}"/>
            </a:ext>
          </a:extLst>
        </xdr:cNvPr>
        <xdr:cNvCxnSpPr/>
      </xdr:nvCxnSpPr>
      <xdr:spPr>
        <a:xfrm flipV="1">
          <a:off x="6784975" y="4159933"/>
          <a:ext cx="222250" cy="65602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8618</xdr:colOff>
      <xdr:row>13</xdr:row>
      <xdr:rowOff>212910</xdr:rowOff>
    </xdr:from>
    <xdr:to>
      <xdr:col>15</xdr:col>
      <xdr:colOff>230868</xdr:colOff>
      <xdr:row>14</xdr:row>
      <xdr:rowOff>71714</xdr:rowOff>
    </xdr:to>
    <xdr:cxnSp macro="">
      <xdr:nvCxnSpPr>
        <xdr:cNvPr id="1258" name="SCHEMA_T06_COND_0109">
          <a:extLst>
            <a:ext uri="{FF2B5EF4-FFF2-40B4-BE49-F238E27FC236}">
              <a16:creationId xmlns:a16="http://schemas.microsoft.com/office/drawing/2014/main" id="{B51469F9-AB95-54E8-3AC2-D8E572C5A126}"/>
            </a:ext>
          </a:extLst>
        </xdr:cNvPr>
        <xdr:cNvCxnSpPr/>
      </xdr:nvCxnSpPr>
      <xdr:spPr>
        <a:xfrm>
          <a:off x="6340475" y="4267839"/>
          <a:ext cx="222250" cy="10373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230868</xdr:colOff>
      <xdr:row>14</xdr:row>
      <xdr:rowOff>71714</xdr:rowOff>
    </xdr:from>
    <xdr:to>
      <xdr:col>16</xdr:col>
      <xdr:colOff>117475</xdr:colOff>
      <xdr:row>14</xdr:row>
      <xdr:rowOff>90778</xdr:rowOff>
    </xdr:to>
    <xdr:cxnSp macro="">
      <xdr:nvCxnSpPr>
        <xdr:cNvPr id="1259" name="SCHEMA_T06_COND_0110">
          <a:extLst>
            <a:ext uri="{FF2B5EF4-FFF2-40B4-BE49-F238E27FC236}">
              <a16:creationId xmlns:a16="http://schemas.microsoft.com/office/drawing/2014/main" id="{145280CD-0277-B5E9-3F6E-9BE7E15A8E95}"/>
            </a:ext>
          </a:extLst>
        </xdr:cNvPr>
        <xdr:cNvCxnSpPr/>
      </xdr:nvCxnSpPr>
      <xdr:spPr>
        <a:xfrm>
          <a:off x="6562725" y="4371571"/>
          <a:ext cx="222250" cy="19064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117475</xdr:colOff>
      <xdr:row>14</xdr:row>
      <xdr:rowOff>25176</xdr:rowOff>
    </xdr:from>
    <xdr:to>
      <xdr:col>17</xdr:col>
      <xdr:colOff>4082</xdr:colOff>
      <xdr:row>14</xdr:row>
      <xdr:rowOff>90778</xdr:rowOff>
    </xdr:to>
    <xdr:cxnSp macro="">
      <xdr:nvCxnSpPr>
        <xdr:cNvPr id="1260" name="SCHEMA_T06_COND_0111">
          <a:extLst>
            <a:ext uri="{FF2B5EF4-FFF2-40B4-BE49-F238E27FC236}">
              <a16:creationId xmlns:a16="http://schemas.microsoft.com/office/drawing/2014/main" id="{B06F0B9D-7E2D-B843-86EA-099629369B2C}"/>
            </a:ext>
          </a:extLst>
        </xdr:cNvPr>
        <xdr:cNvCxnSpPr/>
      </xdr:nvCxnSpPr>
      <xdr:spPr>
        <a:xfrm flipV="1">
          <a:off x="6784975" y="4325033"/>
          <a:ext cx="222250" cy="6560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8618</xdr:colOff>
      <xdr:row>14</xdr:row>
      <xdr:rowOff>69582</xdr:rowOff>
    </xdr:from>
    <xdr:to>
      <xdr:col>15</xdr:col>
      <xdr:colOff>230868</xdr:colOff>
      <xdr:row>14</xdr:row>
      <xdr:rowOff>173314</xdr:rowOff>
    </xdr:to>
    <xdr:cxnSp macro="">
      <xdr:nvCxnSpPr>
        <xdr:cNvPr id="1261" name="SCHEMA_T06_COND_0112">
          <a:extLst>
            <a:ext uri="{FF2B5EF4-FFF2-40B4-BE49-F238E27FC236}">
              <a16:creationId xmlns:a16="http://schemas.microsoft.com/office/drawing/2014/main" id="{20CFE13C-C83D-5451-3BC5-02C2D0FA0DC5}"/>
            </a:ext>
          </a:extLst>
        </xdr:cNvPr>
        <xdr:cNvCxnSpPr/>
      </xdr:nvCxnSpPr>
      <xdr:spPr>
        <a:xfrm>
          <a:off x="6340475" y="4369439"/>
          <a:ext cx="222250" cy="10373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230868</xdr:colOff>
      <xdr:row>14</xdr:row>
      <xdr:rowOff>173314</xdr:rowOff>
    </xdr:from>
    <xdr:to>
      <xdr:col>16</xdr:col>
      <xdr:colOff>117475</xdr:colOff>
      <xdr:row>14</xdr:row>
      <xdr:rowOff>192378</xdr:rowOff>
    </xdr:to>
    <xdr:cxnSp macro="">
      <xdr:nvCxnSpPr>
        <xdr:cNvPr id="1262" name="SCHEMA_T06_COND_0113">
          <a:extLst>
            <a:ext uri="{FF2B5EF4-FFF2-40B4-BE49-F238E27FC236}">
              <a16:creationId xmlns:a16="http://schemas.microsoft.com/office/drawing/2014/main" id="{22E602A7-9C50-D3C6-FCA5-381246022C21}"/>
            </a:ext>
          </a:extLst>
        </xdr:cNvPr>
        <xdr:cNvCxnSpPr/>
      </xdr:nvCxnSpPr>
      <xdr:spPr>
        <a:xfrm>
          <a:off x="6562725" y="4473171"/>
          <a:ext cx="222250" cy="19064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117475</xdr:colOff>
      <xdr:row>14</xdr:row>
      <xdr:rowOff>126776</xdr:rowOff>
    </xdr:from>
    <xdr:to>
      <xdr:col>17</xdr:col>
      <xdr:colOff>4082</xdr:colOff>
      <xdr:row>14</xdr:row>
      <xdr:rowOff>192378</xdr:rowOff>
    </xdr:to>
    <xdr:cxnSp macro="">
      <xdr:nvCxnSpPr>
        <xdr:cNvPr id="1263" name="SCHEMA_T06_COND_0114">
          <a:extLst>
            <a:ext uri="{FF2B5EF4-FFF2-40B4-BE49-F238E27FC236}">
              <a16:creationId xmlns:a16="http://schemas.microsoft.com/office/drawing/2014/main" id="{5E66CE71-D28C-5BB4-DF38-F45DF8C230C2}"/>
            </a:ext>
          </a:extLst>
        </xdr:cNvPr>
        <xdr:cNvCxnSpPr/>
      </xdr:nvCxnSpPr>
      <xdr:spPr>
        <a:xfrm flipV="1">
          <a:off x="6784975" y="4426633"/>
          <a:ext cx="222250" cy="6560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8618</xdr:colOff>
      <xdr:row>14</xdr:row>
      <xdr:rowOff>221982</xdr:rowOff>
    </xdr:from>
    <xdr:to>
      <xdr:col>15</xdr:col>
      <xdr:colOff>230868</xdr:colOff>
      <xdr:row>15</xdr:row>
      <xdr:rowOff>80785</xdr:rowOff>
    </xdr:to>
    <xdr:cxnSp macro="">
      <xdr:nvCxnSpPr>
        <xdr:cNvPr id="1264" name="SCHEMA_T06_COND_0115">
          <a:extLst>
            <a:ext uri="{FF2B5EF4-FFF2-40B4-BE49-F238E27FC236}">
              <a16:creationId xmlns:a16="http://schemas.microsoft.com/office/drawing/2014/main" id="{11A0DFDF-C808-04B1-8FC0-B9A9C1CF256F}"/>
            </a:ext>
          </a:extLst>
        </xdr:cNvPr>
        <xdr:cNvCxnSpPr/>
      </xdr:nvCxnSpPr>
      <xdr:spPr>
        <a:xfrm>
          <a:off x="6340475" y="4521839"/>
          <a:ext cx="222250" cy="10373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230868</xdr:colOff>
      <xdr:row>15</xdr:row>
      <xdr:rowOff>80785</xdr:rowOff>
    </xdr:from>
    <xdr:to>
      <xdr:col>16</xdr:col>
      <xdr:colOff>117475</xdr:colOff>
      <xdr:row>15</xdr:row>
      <xdr:rowOff>99849</xdr:rowOff>
    </xdr:to>
    <xdr:cxnSp macro="">
      <xdr:nvCxnSpPr>
        <xdr:cNvPr id="1265" name="SCHEMA_T06_COND_0116">
          <a:extLst>
            <a:ext uri="{FF2B5EF4-FFF2-40B4-BE49-F238E27FC236}">
              <a16:creationId xmlns:a16="http://schemas.microsoft.com/office/drawing/2014/main" id="{BE3C4215-8315-3276-DFDF-D9A3F68E869D}"/>
            </a:ext>
          </a:extLst>
        </xdr:cNvPr>
        <xdr:cNvCxnSpPr/>
      </xdr:nvCxnSpPr>
      <xdr:spPr>
        <a:xfrm>
          <a:off x="6562725" y="4625571"/>
          <a:ext cx="222250" cy="19064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117475</xdr:colOff>
      <xdr:row>15</xdr:row>
      <xdr:rowOff>34247</xdr:rowOff>
    </xdr:from>
    <xdr:to>
      <xdr:col>17</xdr:col>
      <xdr:colOff>4082</xdr:colOff>
      <xdr:row>15</xdr:row>
      <xdr:rowOff>99849</xdr:rowOff>
    </xdr:to>
    <xdr:cxnSp macro="">
      <xdr:nvCxnSpPr>
        <xdr:cNvPr id="1266" name="SCHEMA_T06_COND_0117">
          <a:extLst>
            <a:ext uri="{FF2B5EF4-FFF2-40B4-BE49-F238E27FC236}">
              <a16:creationId xmlns:a16="http://schemas.microsoft.com/office/drawing/2014/main" id="{A6C50A87-BB88-91F3-E40D-4CAAFF4F13FD}"/>
            </a:ext>
          </a:extLst>
        </xdr:cNvPr>
        <xdr:cNvCxnSpPr/>
      </xdr:nvCxnSpPr>
      <xdr:spPr>
        <a:xfrm flipV="1">
          <a:off x="6784975" y="4579033"/>
          <a:ext cx="222250" cy="6560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8618</xdr:colOff>
      <xdr:row>15</xdr:row>
      <xdr:rowOff>78653</xdr:rowOff>
    </xdr:from>
    <xdr:to>
      <xdr:col>15</xdr:col>
      <xdr:colOff>230868</xdr:colOff>
      <xdr:row>15</xdr:row>
      <xdr:rowOff>182385</xdr:rowOff>
    </xdr:to>
    <xdr:cxnSp macro="">
      <xdr:nvCxnSpPr>
        <xdr:cNvPr id="1267" name="SCHEMA_T06_COND_0118">
          <a:extLst>
            <a:ext uri="{FF2B5EF4-FFF2-40B4-BE49-F238E27FC236}">
              <a16:creationId xmlns:a16="http://schemas.microsoft.com/office/drawing/2014/main" id="{3E1E3EFC-29D4-5AF9-FC12-95CD77F94D68}"/>
            </a:ext>
          </a:extLst>
        </xdr:cNvPr>
        <xdr:cNvCxnSpPr/>
      </xdr:nvCxnSpPr>
      <xdr:spPr>
        <a:xfrm>
          <a:off x="6340475" y="4623439"/>
          <a:ext cx="222250" cy="10373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230868</xdr:colOff>
      <xdr:row>15</xdr:row>
      <xdr:rowOff>182385</xdr:rowOff>
    </xdr:from>
    <xdr:to>
      <xdr:col>16</xdr:col>
      <xdr:colOff>117475</xdr:colOff>
      <xdr:row>15</xdr:row>
      <xdr:rowOff>201449</xdr:rowOff>
    </xdr:to>
    <xdr:cxnSp macro="">
      <xdr:nvCxnSpPr>
        <xdr:cNvPr id="1268" name="SCHEMA_T06_COND_0119">
          <a:extLst>
            <a:ext uri="{FF2B5EF4-FFF2-40B4-BE49-F238E27FC236}">
              <a16:creationId xmlns:a16="http://schemas.microsoft.com/office/drawing/2014/main" id="{BD08E479-25F9-7013-F8FC-46AC58B75237}"/>
            </a:ext>
          </a:extLst>
        </xdr:cNvPr>
        <xdr:cNvCxnSpPr/>
      </xdr:nvCxnSpPr>
      <xdr:spPr>
        <a:xfrm>
          <a:off x="6562725" y="4727171"/>
          <a:ext cx="222250" cy="19064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117475</xdr:colOff>
      <xdr:row>15</xdr:row>
      <xdr:rowOff>135847</xdr:rowOff>
    </xdr:from>
    <xdr:to>
      <xdr:col>17</xdr:col>
      <xdr:colOff>4082</xdr:colOff>
      <xdr:row>15</xdr:row>
      <xdr:rowOff>201449</xdr:rowOff>
    </xdr:to>
    <xdr:cxnSp macro="">
      <xdr:nvCxnSpPr>
        <xdr:cNvPr id="1269" name="SCHEMA_T06_COND_0120">
          <a:extLst>
            <a:ext uri="{FF2B5EF4-FFF2-40B4-BE49-F238E27FC236}">
              <a16:creationId xmlns:a16="http://schemas.microsoft.com/office/drawing/2014/main" id="{753A94DF-8072-9502-C71B-60CE61E40B71}"/>
            </a:ext>
          </a:extLst>
        </xdr:cNvPr>
        <xdr:cNvCxnSpPr/>
      </xdr:nvCxnSpPr>
      <xdr:spPr>
        <a:xfrm flipV="1">
          <a:off x="6784975" y="4680633"/>
          <a:ext cx="222250" cy="6560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303893</xdr:colOff>
      <xdr:row>25</xdr:row>
      <xdr:rowOff>41729</xdr:rowOff>
    </xdr:from>
    <xdr:to>
      <xdr:col>16</xdr:col>
      <xdr:colOff>44450</xdr:colOff>
      <xdr:row>25</xdr:row>
      <xdr:rowOff>117929</xdr:rowOff>
    </xdr:to>
    <xdr:sp macro="" textlink="">
      <xdr:nvSpPr>
        <xdr:cNvPr id="1270" name="SCHEMA_T06_ATTRAV_08">
          <a:extLst>
            <a:ext uri="{FF2B5EF4-FFF2-40B4-BE49-F238E27FC236}">
              <a16:creationId xmlns:a16="http://schemas.microsoft.com/office/drawing/2014/main" id="{0B258101-D978-5C64-03F9-ED665264616A}"/>
            </a:ext>
          </a:extLst>
        </xdr:cNvPr>
        <xdr:cNvSpPr/>
      </xdr:nvSpPr>
      <xdr:spPr>
        <a:xfrm>
          <a:off x="6635750" y="7035800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17</xdr:col>
      <xdr:colOff>4082</xdr:colOff>
      <xdr:row>13</xdr:row>
      <xdr:rowOff>105004</xdr:rowOff>
    </xdr:from>
    <xdr:to>
      <xdr:col>17</xdr:col>
      <xdr:colOff>226332</xdr:colOff>
      <xdr:row>13</xdr:row>
      <xdr:rowOff>140866</xdr:rowOff>
    </xdr:to>
    <xdr:cxnSp macro="">
      <xdr:nvCxnSpPr>
        <xdr:cNvPr id="1271" name="SCHEMA_T06_COND_0121">
          <a:extLst>
            <a:ext uri="{FF2B5EF4-FFF2-40B4-BE49-F238E27FC236}">
              <a16:creationId xmlns:a16="http://schemas.microsoft.com/office/drawing/2014/main" id="{A5F8DB01-F482-BB00-0A61-C60B0AE98A1B}"/>
            </a:ext>
          </a:extLst>
        </xdr:cNvPr>
        <xdr:cNvCxnSpPr/>
      </xdr:nvCxnSpPr>
      <xdr:spPr>
        <a:xfrm>
          <a:off x="7007225" y="4159933"/>
          <a:ext cx="222250" cy="35862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226332</xdr:colOff>
      <xdr:row>13</xdr:row>
      <xdr:rowOff>92061</xdr:rowOff>
    </xdr:from>
    <xdr:to>
      <xdr:col>18</xdr:col>
      <xdr:colOff>112939</xdr:colOff>
      <xdr:row>13</xdr:row>
      <xdr:rowOff>140866</xdr:rowOff>
    </xdr:to>
    <xdr:cxnSp macro="">
      <xdr:nvCxnSpPr>
        <xdr:cNvPr id="1272" name="SCHEMA_T06_COND_0122">
          <a:extLst>
            <a:ext uri="{FF2B5EF4-FFF2-40B4-BE49-F238E27FC236}">
              <a16:creationId xmlns:a16="http://schemas.microsoft.com/office/drawing/2014/main" id="{EAC10681-BE9A-C05A-363E-E4F625742029}"/>
            </a:ext>
          </a:extLst>
        </xdr:cNvPr>
        <xdr:cNvCxnSpPr/>
      </xdr:nvCxnSpPr>
      <xdr:spPr>
        <a:xfrm flipV="1">
          <a:off x="7229475" y="4146990"/>
          <a:ext cx="222250" cy="48805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112939</xdr:colOff>
      <xdr:row>12</xdr:row>
      <xdr:rowOff>203517</xdr:rowOff>
    </xdr:from>
    <xdr:to>
      <xdr:col>18</xdr:col>
      <xdr:colOff>335189</xdr:colOff>
      <xdr:row>13</xdr:row>
      <xdr:rowOff>92061</xdr:rowOff>
    </xdr:to>
    <xdr:cxnSp macro="">
      <xdr:nvCxnSpPr>
        <xdr:cNvPr id="1273" name="SCHEMA_T06_COND_0123">
          <a:extLst>
            <a:ext uri="{FF2B5EF4-FFF2-40B4-BE49-F238E27FC236}">
              <a16:creationId xmlns:a16="http://schemas.microsoft.com/office/drawing/2014/main" id="{68F7E96E-54D4-F85B-4C74-05CE12BD29C0}"/>
            </a:ext>
          </a:extLst>
        </xdr:cNvPr>
        <xdr:cNvCxnSpPr/>
      </xdr:nvCxnSpPr>
      <xdr:spPr>
        <a:xfrm flipV="1">
          <a:off x="7451725" y="4013517"/>
          <a:ext cx="222250" cy="133473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4082</xdr:colOff>
      <xdr:row>14</xdr:row>
      <xdr:rowOff>25176</xdr:rowOff>
    </xdr:from>
    <xdr:to>
      <xdr:col>17</xdr:col>
      <xdr:colOff>226332</xdr:colOff>
      <xdr:row>14</xdr:row>
      <xdr:rowOff>61038</xdr:rowOff>
    </xdr:to>
    <xdr:cxnSp macro="">
      <xdr:nvCxnSpPr>
        <xdr:cNvPr id="1274" name="SCHEMA_T06_COND_0124">
          <a:extLst>
            <a:ext uri="{FF2B5EF4-FFF2-40B4-BE49-F238E27FC236}">
              <a16:creationId xmlns:a16="http://schemas.microsoft.com/office/drawing/2014/main" id="{B4414C76-482C-FE66-FD93-857DFAC6383A}"/>
            </a:ext>
          </a:extLst>
        </xdr:cNvPr>
        <xdr:cNvCxnSpPr/>
      </xdr:nvCxnSpPr>
      <xdr:spPr>
        <a:xfrm>
          <a:off x="7007225" y="4325033"/>
          <a:ext cx="222250" cy="3586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226332</xdr:colOff>
      <xdr:row>14</xdr:row>
      <xdr:rowOff>12233</xdr:rowOff>
    </xdr:from>
    <xdr:to>
      <xdr:col>18</xdr:col>
      <xdr:colOff>112939</xdr:colOff>
      <xdr:row>14</xdr:row>
      <xdr:rowOff>61038</xdr:rowOff>
    </xdr:to>
    <xdr:cxnSp macro="">
      <xdr:nvCxnSpPr>
        <xdr:cNvPr id="1275" name="SCHEMA_T06_COND_0125">
          <a:extLst>
            <a:ext uri="{FF2B5EF4-FFF2-40B4-BE49-F238E27FC236}">
              <a16:creationId xmlns:a16="http://schemas.microsoft.com/office/drawing/2014/main" id="{4E27160A-98D0-1282-9A8E-E7A2AC34BAB2}"/>
            </a:ext>
          </a:extLst>
        </xdr:cNvPr>
        <xdr:cNvCxnSpPr/>
      </xdr:nvCxnSpPr>
      <xdr:spPr>
        <a:xfrm flipV="1">
          <a:off x="7229475" y="4312090"/>
          <a:ext cx="222250" cy="4880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112939</xdr:colOff>
      <xdr:row>13</xdr:row>
      <xdr:rowOff>123688</xdr:rowOff>
    </xdr:from>
    <xdr:to>
      <xdr:col>18</xdr:col>
      <xdr:colOff>335189</xdr:colOff>
      <xdr:row>14</xdr:row>
      <xdr:rowOff>12233</xdr:rowOff>
    </xdr:to>
    <xdr:cxnSp macro="">
      <xdr:nvCxnSpPr>
        <xdr:cNvPr id="1276" name="SCHEMA_T06_COND_0126">
          <a:extLst>
            <a:ext uri="{FF2B5EF4-FFF2-40B4-BE49-F238E27FC236}">
              <a16:creationId xmlns:a16="http://schemas.microsoft.com/office/drawing/2014/main" id="{EE3B9BEE-13E8-2FA0-1B09-BA880C1967E5}"/>
            </a:ext>
          </a:extLst>
        </xdr:cNvPr>
        <xdr:cNvCxnSpPr/>
      </xdr:nvCxnSpPr>
      <xdr:spPr>
        <a:xfrm flipV="1">
          <a:off x="7451725" y="4178617"/>
          <a:ext cx="222250" cy="13347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4082</xdr:colOff>
      <xdr:row>14</xdr:row>
      <xdr:rowOff>126776</xdr:rowOff>
    </xdr:from>
    <xdr:to>
      <xdr:col>17</xdr:col>
      <xdr:colOff>226332</xdr:colOff>
      <xdr:row>14</xdr:row>
      <xdr:rowOff>162638</xdr:rowOff>
    </xdr:to>
    <xdr:cxnSp macro="">
      <xdr:nvCxnSpPr>
        <xdr:cNvPr id="1277" name="SCHEMA_T06_COND_0127">
          <a:extLst>
            <a:ext uri="{FF2B5EF4-FFF2-40B4-BE49-F238E27FC236}">
              <a16:creationId xmlns:a16="http://schemas.microsoft.com/office/drawing/2014/main" id="{C3E26259-97A5-64AE-C015-9E2F321F1224}"/>
            </a:ext>
          </a:extLst>
        </xdr:cNvPr>
        <xdr:cNvCxnSpPr/>
      </xdr:nvCxnSpPr>
      <xdr:spPr>
        <a:xfrm>
          <a:off x="7007225" y="4426633"/>
          <a:ext cx="222250" cy="3586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226332</xdr:colOff>
      <xdr:row>14</xdr:row>
      <xdr:rowOff>113833</xdr:rowOff>
    </xdr:from>
    <xdr:to>
      <xdr:col>18</xdr:col>
      <xdr:colOff>112939</xdr:colOff>
      <xdr:row>14</xdr:row>
      <xdr:rowOff>162638</xdr:rowOff>
    </xdr:to>
    <xdr:cxnSp macro="">
      <xdr:nvCxnSpPr>
        <xdr:cNvPr id="1278" name="SCHEMA_T06_COND_0128">
          <a:extLst>
            <a:ext uri="{FF2B5EF4-FFF2-40B4-BE49-F238E27FC236}">
              <a16:creationId xmlns:a16="http://schemas.microsoft.com/office/drawing/2014/main" id="{6E152BAF-28E7-95FE-EBF6-5488D434BCF3}"/>
            </a:ext>
          </a:extLst>
        </xdr:cNvPr>
        <xdr:cNvCxnSpPr/>
      </xdr:nvCxnSpPr>
      <xdr:spPr>
        <a:xfrm flipV="1">
          <a:off x="7229475" y="4413690"/>
          <a:ext cx="222250" cy="48805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112939</xdr:colOff>
      <xdr:row>13</xdr:row>
      <xdr:rowOff>225288</xdr:rowOff>
    </xdr:from>
    <xdr:to>
      <xdr:col>18</xdr:col>
      <xdr:colOff>335189</xdr:colOff>
      <xdr:row>14</xdr:row>
      <xdr:rowOff>113833</xdr:rowOff>
    </xdr:to>
    <xdr:cxnSp macro="">
      <xdr:nvCxnSpPr>
        <xdr:cNvPr id="1279" name="SCHEMA_T06_COND_0129">
          <a:extLst>
            <a:ext uri="{FF2B5EF4-FFF2-40B4-BE49-F238E27FC236}">
              <a16:creationId xmlns:a16="http://schemas.microsoft.com/office/drawing/2014/main" id="{7C098F6F-FE74-F5DE-D59C-22122E60F166}"/>
            </a:ext>
          </a:extLst>
        </xdr:cNvPr>
        <xdr:cNvCxnSpPr/>
      </xdr:nvCxnSpPr>
      <xdr:spPr>
        <a:xfrm flipV="1">
          <a:off x="7451725" y="4280217"/>
          <a:ext cx="222250" cy="13347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4082</xdr:colOff>
      <xdr:row>15</xdr:row>
      <xdr:rowOff>34247</xdr:rowOff>
    </xdr:from>
    <xdr:to>
      <xdr:col>17</xdr:col>
      <xdr:colOff>226332</xdr:colOff>
      <xdr:row>15</xdr:row>
      <xdr:rowOff>70109</xdr:rowOff>
    </xdr:to>
    <xdr:cxnSp macro="">
      <xdr:nvCxnSpPr>
        <xdr:cNvPr id="1280" name="SCHEMA_T06_COND_0130">
          <a:extLst>
            <a:ext uri="{FF2B5EF4-FFF2-40B4-BE49-F238E27FC236}">
              <a16:creationId xmlns:a16="http://schemas.microsoft.com/office/drawing/2014/main" id="{42E10323-56F6-774C-6E88-43DB98180A1A}"/>
            </a:ext>
          </a:extLst>
        </xdr:cNvPr>
        <xdr:cNvCxnSpPr/>
      </xdr:nvCxnSpPr>
      <xdr:spPr>
        <a:xfrm>
          <a:off x="7007225" y="4579033"/>
          <a:ext cx="222250" cy="3586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226332</xdr:colOff>
      <xdr:row>15</xdr:row>
      <xdr:rowOff>21304</xdr:rowOff>
    </xdr:from>
    <xdr:to>
      <xdr:col>18</xdr:col>
      <xdr:colOff>112939</xdr:colOff>
      <xdr:row>15</xdr:row>
      <xdr:rowOff>70109</xdr:rowOff>
    </xdr:to>
    <xdr:cxnSp macro="">
      <xdr:nvCxnSpPr>
        <xdr:cNvPr id="1281" name="SCHEMA_T06_COND_0131">
          <a:extLst>
            <a:ext uri="{FF2B5EF4-FFF2-40B4-BE49-F238E27FC236}">
              <a16:creationId xmlns:a16="http://schemas.microsoft.com/office/drawing/2014/main" id="{5BCD8AB9-B0E3-2F46-6862-0E51578603AA}"/>
            </a:ext>
          </a:extLst>
        </xdr:cNvPr>
        <xdr:cNvCxnSpPr/>
      </xdr:nvCxnSpPr>
      <xdr:spPr>
        <a:xfrm flipV="1">
          <a:off x="7229475" y="4566090"/>
          <a:ext cx="222250" cy="4880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112939</xdr:colOff>
      <xdr:row>14</xdr:row>
      <xdr:rowOff>132760</xdr:rowOff>
    </xdr:from>
    <xdr:to>
      <xdr:col>18</xdr:col>
      <xdr:colOff>335189</xdr:colOff>
      <xdr:row>15</xdr:row>
      <xdr:rowOff>21304</xdr:rowOff>
    </xdr:to>
    <xdr:cxnSp macro="">
      <xdr:nvCxnSpPr>
        <xdr:cNvPr id="1282" name="SCHEMA_T06_COND_0132">
          <a:extLst>
            <a:ext uri="{FF2B5EF4-FFF2-40B4-BE49-F238E27FC236}">
              <a16:creationId xmlns:a16="http://schemas.microsoft.com/office/drawing/2014/main" id="{27D7BCA8-0918-CB12-7078-8CB29D02EDC7}"/>
            </a:ext>
          </a:extLst>
        </xdr:cNvPr>
        <xdr:cNvCxnSpPr/>
      </xdr:nvCxnSpPr>
      <xdr:spPr>
        <a:xfrm flipV="1">
          <a:off x="7451725" y="4432617"/>
          <a:ext cx="222250" cy="13347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4082</xdr:colOff>
      <xdr:row>15</xdr:row>
      <xdr:rowOff>135847</xdr:rowOff>
    </xdr:from>
    <xdr:to>
      <xdr:col>17</xdr:col>
      <xdr:colOff>226332</xdr:colOff>
      <xdr:row>15</xdr:row>
      <xdr:rowOff>171709</xdr:rowOff>
    </xdr:to>
    <xdr:cxnSp macro="">
      <xdr:nvCxnSpPr>
        <xdr:cNvPr id="1283" name="SCHEMA_T06_COND_0133">
          <a:extLst>
            <a:ext uri="{FF2B5EF4-FFF2-40B4-BE49-F238E27FC236}">
              <a16:creationId xmlns:a16="http://schemas.microsoft.com/office/drawing/2014/main" id="{4A91F959-9BCE-AF82-D797-3CC79BC2BC11}"/>
            </a:ext>
          </a:extLst>
        </xdr:cNvPr>
        <xdr:cNvCxnSpPr/>
      </xdr:nvCxnSpPr>
      <xdr:spPr>
        <a:xfrm>
          <a:off x="7007225" y="4680633"/>
          <a:ext cx="222250" cy="3586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226332</xdr:colOff>
      <xdr:row>15</xdr:row>
      <xdr:rowOff>122904</xdr:rowOff>
    </xdr:from>
    <xdr:to>
      <xdr:col>18</xdr:col>
      <xdr:colOff>112939</xdr:colOff>
      <xdr:row>15</xdr:row>
      <xdr:rowOff>171709</xdr:rowOff>
    </xdr:to>
    <xdr:cxnSp macro="">
      <xdr:nvCxnSpPr>
        <xdr:cNvPr id="1284" name="SCHEMA_T06_COND_0134">
          <a:extLst>
            <a:ext uri="{FF2B5EF4-FFF2-40B4-BE49-F238E27FC236}">
              <a16:creationId xmlns:a16="http://schemas.microsoft.com/office/drawing/2014/main" id="{DA4063DD-6B93-8B74-9692-BC0D32DC12D0}"/>
            </a:ext>
          </a:extLst>
        </xdr:cNvPr>
        <xdr:cNvCxnSpPr/>
      </xdr:nvCxnSpPr>
      <xdr:spPr>
        <a:xfrm flipV="1">
          <a:off x="7229475" y="4667690"/>
          <a:ext cx="222250" cy="48805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112939</xdr:colOff>
      <xdr:row>14</xdr:row>
      <xdr:rowOff>234360</xdr:rowOff>
    </xdr:from>
    <xdr:to>
      <xdr:col>18</xdr:col>
      <xdr:colOff>335189</xdr:colOff>
      <xdr:row>15</xdr:row>
      <xdr:rowOff>122904</xdr:rowOff>
    </xdr:to>
    <xdr:cxnSp macro="">
      <xdr:nvCxnSpPr>
        <xdr:cNvPr id="1285" name="SCHEMA_T06_COND_0135">
          <a:extLst>
            <a:ext uri="{FF2B5EF4-FFF2-40B4-BE49-F238E27FC236}">
              <a16:creationId xmlns:a16="http://schemas.microsoft.com/office/drawing/2014/main" id="{153BCE7C-4829-392C-C7C2-9EA91D8BEA3A}"/>
            </a:ext>
          </a:extLst>
        </xdr:cNvPr>
        <xdr:cNvCxnSpPr/>
      </xdr:nvCxnSpPr>
      <xdr:spPr>
        <a:xfrm flipV="1">
          <a:off x="7451725" y="4534217"/>
          <a:ext cx="222250" cy="13347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299357</xdr:colOff>
      <xdr:row>25</xdr:row>
      <xdr:rowOff>41729</xdr:rowOff>
    </xdr:from>
    <xdr:to>
      <xdr:col>18</xdr:col>
      <xdr:colOff>39914</xdr:colOff>
      <xdr:row>25</xdr:row>
      <xdr:rowOff>117929</xdr:rowOff>
    </xdr:to>
    <xdr:sp macro="" textlink="">
      <xdr:nvSpPr>
        <xdr:cNvPr id="1286" name="SCHEMA_T06_ATTRAV_09">
          <a:extLst>
            <a:ext uri="{FF2B5EF4-FFF2-40B4-BE49-F238E27FC236}">
              <a16:creationId xmlns:a16="http://schemas.microsoft.com/office/drawing/2014/main" id="{A9F5BDC8-0F96-CD0B-7944-67C7BA269F3B}"/>
            </a:ext>
          </a:extLst>
        </xdr:cNvPr>
        <xdr:cNvSpPr/>
      </xdr:nvSpPr>
      <xdr:spPr>
        <a:xfrm>
          <a:off x="7302500" y="7035800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18</xdr:col>
      <xdr:colOff>335189</xdr:colOff>
      <xdr:row>12</xdr:row>
      <xdr:rowOff>203517</xdr:rowOff>
    </xdr:from>
    <xdr:to>
      <xdr:col>19</xdr:col>
      <xdr:colOff>221796</xdr:colOff>
      <xdr:row>13</xdr:row>
      <xdr:rowOff>144679</xdr:rowOff>
    </xdr:to>
    <xdr:cxnSp macro="">
      <xdr:nvCxnSpPr>
        <xdr:cNvPr id="1287" name="SCHEMA_T06_COND_0136">
          <a:extLst>
            <a:ext uri="{FF2B5EF4-FFF2-40B4-BE49-F238E27FC236}">
              <a16:creationId xmlns:a16="http://schemas.microsoft.com/office/drawing/2014/main" id="{8DF909B0-AD58-5EC4-D1BE-775CFC726C25}"/>
            </a:ext>
          </a:extLst>
        </xdr:cNvPr>
        <xdr:cNvCxnSpPr/>
      </xdr:nvCxnSpPr>
      <xdr:spPr>
        <a:xfrm>
          <a:off x="7673975" y="4013517"/>
          <a:ext cx="222250" cy="186091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221796</xdr:colOff>
      <xdr:row>13</xdr:row>
      <xdr:rowOff>144679</xdr:rowOff>
    </xdr:from>
    <xdr:to>
      <xdr:col>20</xdr:col>
      <xdr:colOff>108404</xdr:colOff>
      <xdr:row>14</xdr:row>
      <xdr:rowOff>1174</xdr:rowOff>
    </xdr:to>
    <xdr:cxnSp macro="">
      <xdr:nvCxnSpPr>
        <xdr:cNvPr id="1288" name="SCHEMA_T06_COND_0137">
          <a:extLst>
            <a:ext uri="{FF2B5EF4-FFF2-40B4-BE49-F238E27FC236}">
              <a16:creationId xmlns:a16="http://schemas.microsoft.com/office/drawing/2014/main" id="{9A379674-602A-4FC9-9587-E6217A50562F}"/>
            </a:ext>
          </a:extLst>
        </xdr:cNvPr>
        <xdr:cNvCxnSpPr/>
      </xdr:nvCxnSpPr>
      <xdr:spPr>
        <a:xfrm>
          <a:off x="7896225" y="4199608"/>
          <a:ext cx="222250" cy="101423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108404</xdr:colOff>
      <xdr:row>14</xdr:row>
      <xdr:rowOff>1174</xdr:rowOff>
    </xdr:from>
    <xdr:to>
      <xdr:col>20</xdr:col>
      <xdr:colOff>330654</xdr:colOff>
      <xdr:row>14</xdr:row>
      <xdr:rowOff>17931</xdr:rowOff>
    </xdr:to>
    <xdr:cxnSp macro="">
      <xdr:nvCxnSpPr>
        <xdr:cNvPr id="1289" name="SCHEMA_T06_COND_0138">
          <a:extLst>
            <a:ext uri="{FF2B5EF4-FFF2-40B4-BE49-F238E27FC236}">
              <a16:creationId xmlns:a16="http://schemas.microsoft.com/office/drawing/2014/main" id="{5C7B7D78-7290-CF03-B8AA-6103E5F3B000}"/>
            </a:ext>
          </a:extLst>
        </xdr:cNvPr>
        <xdr:cNvCxnSpPr/>
      </xdr:nvCxnSpPr>
      <xdr:spPr>
        <a:xfrm>
          <a:off x="8118475" y="4301031"/>
          <a:ext cx="222250" cy="16757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335189</xdr:colOff>
      <xdr:row>13</xdr:row>
      <xdr:rowOff>123688</xdr:rowOff>
    </xdr:from>
    <xdr:to>
      <xdr:col>19</xdr:col>
      <xdr:colOff>221796</xdr:colOff>
      <xdr:row>14</xdr:row>
      <xdr:rowOff>64851</xdr:rowOff>
    </xdr:to>
    <xdr:cxnSp macro="">
      <xdr:nvCxnSpPr>
        <xdr:cNvPr id="1290" name="SCHEMA_T06_COND_0139">
          <a:extLst>
            <a:ext uri="{FF2B5EF4-FFF2-40B4-BE49-F238E27FC236}">
              <a16:creationId xmlns:a16="http://schemas.microsoft.com/office/drawing/2014/main" id="{9F9573D8-6A9D-8968-4B2A-9C9CD7BA9431}"/>
            </a:ext>
          </a:extLst>
        </xdr:cNvPr>
        <xdr:cNvCxnSpPr/>
      </xdr:nvCxnSpPr>
      <xdr:spPr>
        <a:xfrm>
          <a:off x="7673975" y="4178617"/>
          <a:ext cx="222250" cy="18609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221796</xdr:colOff>
      <xdr:row>14</xdr:row>
      <xdr:rowOff>64851</xdr:rowOff>
    </xdr:from>
    <xdr:to>
      <xdr:col>20</xdr:col>
      <xdr:colOff>108404</xdr:colOff>
      <xdr:row>14</xdr:row>
      <xdr:rowOff>166274</xdr:rowOff>
    </xdr:to>
    <xdr:cxnSp macro="">
      <xdr:nvCxnSpPr>
        <xdr:cNvPr id="1291" name="SCHEMA_T06_COND_0140">
          <a:extLst>
            <a:ext uri="{FF2B5EF4-FFF2-40B4-BE49-F238E27FC236}">
              <a16:creationId xmlns:a16="http://schemas.microsoft.com/office/drawing/2014/main" id="{3CF51C28-949A-D64F-7500-3DFF84895877}"/>
            </a:ext>
          </a:extLst>
        </xdr:cNvPr>
        <xdr:cNvCxnSpPr/>
      </xdr:nvCxnSpPr>
      <xdr:spPr>
        <a:xfrm>
          <a:off x="7896225" y="4364708"/>
          <a:ext cx="222250" cy="10142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108404</xdr:colOff>
      <xdr:row>14</xdr:row>
      <xdr:rowOff>166274</xdr:rowOff>
    </xdr:from>
    <xdr:to>
      <xdr:col>20</xdr:col>
      <xdr:colOff>330654</xdr:colOff>
      <xdr:row>14</xdr:row>
      <xdr:rowOff>183031</xdr:rowOff>
    </xdr:to>
    <xdr:cxnSp macro="">
      <xdr:nvCxnSpPr>
        <xdr:cNvPr id="1292" name="SCHEMA_T06_COND_0141">
          <a:extLst>
            <a:ext uri="{FF2B5EF4-FFF2-40B4-BE49-F238E27FC236}">
              <a16:creationId xmlns:a16="http://schemas.microsoft.com/office/drawing/2014/main" id="{B61D48C6-7B20-B21B-D9E5-40EADB42D107}"/>
            </a:ext>
          </a:extLst>
        </xdr:cNvPr>
        <xdr:cNvCxnSpPr/>
      </xdr:nvCxnSpPr>
      <xdr:spPr>
        <a:xfrm>
          <a:off x="8118475" y="4466131"/>
          <a:ext cx="222250" cy="1675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335189</xdr:colOff>
      <xdr:row>13</xdr:row>
      <xdr:rowOff>225288</xdr:rowOff>
    </xdr:from>
    <xdr:to>
      <xdr:col>19</xdr:col>
      <xdr:colOff>221796</xdr:colOff>
      <xdr:row>14</xdr:row>
      <xdr:rowOff>166451</xdr:rowOff>
    </xdr:to>
    <xdr:cxnSp macro="">
      <xdr:nvCxnSpPr>
        <xdr:cNvPr id="1293" name="SCHEMA_T06_COND_0142">
          <a:extLst>
            <a:ext uri="{FF2B5EF4-FFF2-40B4-BE49-F238E27FC236}">
              <a16:creationId xmlns:a16="http://schemas.microsoft.com/office/drawing/2014/main" id="{D07A78C0-45F6-CD89-78AF-98E93A4DA2F8}"/>
            </a:ext>
          </a:extLst>
        </xdr:cNvPr>
        <xdr:cNvCxnSpPr/>
      </xdr:nvCxnSpPr>
      <xdr:spPr>
        <a:xfrm>
          <a:off x="7673975" y="4280217"/>
          <a:ext cx="222250" cy="18609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221796</xdr:colOff>
      <xdr:row>14</xdr:row>
      <xdr:rowOff>166451</xdr:rowOff>
    </xdr:from>
    <xdr:to>
      <xdr:col>20</xdr:col>
      <xdr:colOff>108404</xdr:colOff>
      <xdr:row>15</xdr:row>
      <xdr:rowOff>22945</xdr:rowOff>
    </xdr:to>
    <xdr:cxnSp macro="">
      <xdr:nvCxnSpPr>
        <xdr:cNvPr id="1294" name="SCHEMA_T06_COND_0143">
          <a:extLst>
            <a:ext uri="{FF2B5EF4-FFF2-40B4-BE49-F238E27FC236}">
              <a16:creationId xmlns:a16="http://schemas.microsoft.com/office/drawing/2014/main" id="{DED11DA4-C8BC-A978-5A62-FE55461A24B8}"/>
            </a:ext>
          </a:extLst>
        </xdr:cNvPr>
        <xdr:cNvCxnSpPr/>
      </xdr:nvCxnSpPr>
      <xdr:spPr>
        <a:xfrm>
          <a:off x="7896225" y="4466308"/>
          <a:ext cx="222250" cy="10142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108404</xdr:colOff>
      <xdr:row>15</xdr:row>
      <xdr:rowOff>22945</xdr:rowOff>
    </xdr:from>
    <xdr:to>
      <xdr:col>20</xdr:col>
      <xdr:colOff>330654</xdr:colOff>
      <xdr:row>15</xdr:row>
      <xdr:rowOff>39702</xdr:rowOff>
    </xdr:to>
    <xdr:cxnSp macro="">
      <xdr:nvCxnSpPr>
        <xdr:cNvPr id="1295" name="SCHEMA_T06_COND_0144">
          <a:extLst>
            <a:ext uri="{FF2B5EF4-FFF2-40B4-BE49-F238E27FC236}">
              <a16:creationId xmlns:a16="http://schemas.microsoft.com/office/drawing/2014/main" id="{86AC0E6A-E001-4CC2-E6DB-A9B35969DE40}"/>
            </a:ext>
          </a:extLst>
        </xdr:cNvPr>
        <xdr:cNvCxnSpPr/>
      </xdr:nvCxnSpPr>
      <xdr:spPr>
        <a:xfrm>
          <a:off x="8118475" y="4567731"/>
          <a:ext cx="222250" cy="1675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335189</xdr:colOff>
      <xdr:row>14</xdr:row>
      <xdr:rowOff>132760</xdr:rowOff>
    </xdr:from>
    <xdr:to>
      <xdr:col>19</xdr:col>
      <xdr:colOff>221796</xdr:colOff>
      <xdr:row>15</xdr:row>
      <xdr:rowOff>73922</xdr:rowOff>
    </xdr:to>
    <xdr:cxnSp macro="">
      <xdr:nvCxnSpPr>
        <xdr:cNvPr id="1296" name="SCHEMA_T06_COND_0145">
          <a:extLst>
            <a:ext uri="{FF2B5EF4-FFF2-40B4-BE49-F238E27FC236}">
              <a16:creationId xmlns:a16="http://schemas.microsoft.com/office/drawing/2014/main" id="{947EEE33-CAEA-2C85-B875-73AC45114113}"/>
            </a:ext>
          </a:extLst>
        </xdr:cNvPr>
        <xdr:cNvCxnSpPr/>
      </xdr:nvCxnSpPr>
      <xdr:spPr>
        <a:xfrm>
          <a:off x="7673975" y="4432617"/>
          <a:ext cx="222250" cy="18609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221796</xdr:colOff>
      <xdr:row>15</xdr:row>
      <xdr:rowOff>73922</xdr:rowOff>
    </xdr:from>
    <xdr:to>
      <xdr:col>20</xdr:col>
      <xdr:colOff>108404</xdr:colOff>
      <xdr:row>15</xdr:row>
      <xdr:rowOff>175345</xdr:rowOff>
    </xdr:to>
    <xdr:cxnSp macro="">
      <xdr:nvCxnSpPr>
        <xdr:cNvPr id="1297" name="SCHEMA_T06_COND_0146">
          <a:extLst>
            <a:ext uri="{FF2B5EF4-FFF2-40B4-BE49-F238E27FC236}">
              <a16:creationId xmlns:a16="http://schemas.microsoft.com/office/drawing/2014/main" id="{F5C1E2F2-5B59-B27D-60A8-ABAB5B09FEF4}"/>
            </a:ext>
          </a:extLst>
        </xdr:cNvPr>
        <xdr:cNvCxnSpPr/>
      </xdr:nvCxnSpPr>
      <xdr:spPr>
        <a:xfrm>
          <a:off x="7896225" y="4618708"/>
          <a:ext cx="222250" cy="10142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108404</xdr:colOff>
      <xdr:row>15</xdr:row>
      <xdr:rowOff>175345</xdr:rowOff>
    </xdr:from>
    <xdr:to>
      <xdr:col>20</xdr:col>
      <xdr:colOff>330654</xdr:colOff>
      <xdr:row>15</xdr:row>
      <xdr:rowOff>192102</xdr:rowOff>
    </xdr:to>
    <xdr:cxnSp macro="">
      <xdr:nvCxnSpPr>
        <xdr:cNvPr id="1298" name="SCHEMA_T06_COND_0147">
          <a:extLst>
            <a:ext uri="{FF2B5EF4-FFF2-40B4-BE49-F238E27FC236}">
              <a16:creationId xmlns:a16="http://schemas.microsoft.com/office/drawing/2014/main" id="{40CA123F-D6B7-E3D3-B256-D618B6B09599}"/>
            </a:ext>
          </a:extLst>
        </xdr:cNvPr>
        <xdr:cNvCxnSpPr/>
      </xdr:nvCxnSpPr>
      <xdr:spPr>
        <a:xfrm>
          <a:off x="8118475" y="4720131"/>
          <a:ext cx="222250" cy="1675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335189</xdr:colOff>
      <xdr:row>14</xdr:row>
      <xdr:rowOff>234360</xdr:rowOff>
    </xdr:from>
    <xdr:to>
      <xdr:col>19</xdr:col>
      <xdr:colOff>221796</xdr:colOff>
      <xdr:row>15</xdr:row>
      <xdr:rowOff>175522</xdr:rowOff>
    </xdr:to>
    <xdr:cxnSp macro="">
      <xdr:nvCxnSpPr>
        <xdr:cNvPr id="1299" name="SCHEMA_T06_COND_0148">
          <a:extLst>
            <a:ext uri="{FF2B5EF4-FFF2-40B4-BE49-F238E27FC236}">
              <a16:creationId xmlns:a16="http://schemas.microsoft.com/office/drawing/2014/main" id="{24AF8F1D-929C-A205-D316-E99E7D205E5F}"/>
            </a:ext>
          </a:extLst>
        </xdr:cNvPr>
        <xdr:cNvCxnSpPr/>
      </xdr:nvCxnSpPr>
      <xdr:spPr>
        <a:xfrm>
          <a:off x="7673975" y="4534217"/>
          <a:ext cx="222250" cy="18609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221796</xdr:colOff>
      <xdr:row>15</xdr:row>
      <xdr:rowOff>175522</xdr:rowOff>
    </xdr:from>
    <xdr:to>
      <xdr:col>20</xdr:col>
      <xdr:colOff>108404</xdr:colOff>
      <xdr:row>16</xdr:row>
      <xdr:rowOff>32017</xdr:rowOff>
    </xdr:to>
    <xdr:cxnSp macro="">
      <xdr:nvCxnSpPr>
        <xdr:cNvPr id="1300" name="SCHEMA_T06_COND_0149">
          <a:extLst>
            <a:ext uri="{FF2B5EF4-FFF2-40B4-BE49-F238E27FC236}">
              <a16:creationId xmlns:a16="http://schemas.microsoft.com/office/drawing/2014/main" id="{F9801214-28B9-09B0-829F-7DC838FF10D8}"/>
            </a:ext>
          </a:extLst>
        </xdr:cNvPr>
        <xdr:cNvCxnSpPr/>
      </xdr:nvCxnSpPr>
      <xdr:spPr>
        <a:xfrm>
          <a:off x="7896225" y="4720308"/>
          <a:ext cx="222250" cy="10142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108404</xdr:colOff>
      <xdr:row>16</xdr:row>
      <xdr:rowOff>32017</xdr:rowOff>
    </xdr:from>
    <xdr:to>
      <xdr:col>20</xdr:col>
      <xdr:colOff>330654</xdr:colOff>
      <xdr:row>16</xdr:row>
      <xdr:rowOff>48774</xdr:rowOff>
    </xdr:to>
    <xdr:cxnSp macro="">
      <xdr:nvCxnSpPr>
        <xdr:cNvPr id="1301" name="SCHEMA_T06_COND_0150">
          <a:extLst>
            <a:ext uri="{FF2B5EF4-FFF2-40B4-BE49-F238E27FC236}">
              <a16:creationId xmlns:a16="http://schemas.microsoft.com/office/drawing/2014/main" id="{2D51BF79-3F5F-147D-A0DA-787457DA6671}"/>
            </a:ext>
          </a:extLst>
        </xdr:cNvPr>
        <xdr:cNvCxnSpPr/>
      </xdr:nvCxnSpPr>
      <xdr:spPr>
        <a:xfrm>
          <a:off x="8118475" y="4821731"/>
          <a:ext cx="222250" cy="1675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294821</xdr:colOff>
      <xdr:row>25</xdr:row>
      <xdr:rowOff>41729</xdr:rowOff>
    </xdr:from>
    <xdr:to>
      <xdr:col>20</xdr:col>
      <xdr:colOff>35379</xdr:colOff>
      <xdr:row>25</xdr:row>
      <xdr:rowOff>117929</xdr:rowOff>
    </xdr:to>
    <xdr:sp macro="" textlink="">
      <xdr:nvSpPr>
        <xdr:cNvPr id="1302" name="SCHEMA_T06_ATTRAV_10">
          <a:extLst>
            <a:ext uri="{FF2B5EF4-FFF2-40B4-BE49-F238E27FC236}">
              <a16:creationId xmlns:a16="http://schemas.microsoft.com/office/drawing/2014/main" id="{C1114442-3BFD-7BD7-A3F9-D47C8643DBEB}"/>
            </a:ext>
          </a:extLst>
        </xdr:cNvPr>
        <xdr:cNvSpPr/>
      </xdr:nvSpPr>
      <xdr:spPr>
        <a:xfrm>
          <a:off x="7969250" y="7035800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20</xdr:col>
      <xdr:colOff>330654</xdr:colOff>
      <xdr:row>14</xdr:row>
      <xdr:rowOff>17931</xdr:rowOff>
    </xdr:from>
    <xdr:to>
      <xdr:col>21</xdr:col>
      <xdr:colOff>217261</xdr:colOff>
      <xdr:row>14</xdr:row>
      <xdr:rowOff>72857</xdr:rowOff>
    </xdr:to>
    <xdr:cxnSp macro="">
      <xdr:nvCxnSpPr>
        <xdr:cNvPr id="1303" name="SCHEMA_T06_COND_0151">
          <a:extLst>
            <a:ext uri="{FF2B5EF4-FFF2-40B4-BE49-F238E27FC236}">
              <a16:creationId xmlns:a16="http://schemas.microsoft.com/office/drawing/2014/main" id="{E1830BA7-1AE1-123D-68F2-641E1A25B7B9}"/>
            </a:ext>
          </a:extLst>
        </xdr:cNvPr>
        <xdr:cNvCxnSpPr/>
      </xdr:nvCxnSpPr>
      <xdr:spPr>
        <a:xfrm>
          <a:off x="8340725" y="4317788"/>
          <a:ext cx="222250" cy="54926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217261</xdr:colOff>
      <xdr:row>14</xdr:row>
      <xdr:rowOff>43116</xdr:rowOff>
    </xdr:from>
    <xdr:to>
      <xdr:col>22</xdr:col>
      <xdr:colOff>103868</xdr:colOff>
      <xdr:row>14</xdr:row>
      <xdr:rowOff>72857</xdr:rowOff>
    </xdr:to>
    <xdr:cxnSp macro="">
      <xdr:nvCxnSpPr>
        <xdr:cNvPr id="1304" name="SCHEMA_T06_COND_0152">
          <a:extLst>
            <a:ext uri="{FF2B5EF4-FFF2-40B4-BE49-F238E27FC236}">
              <a16:creationId xmlns:a16="http://schemas.microsoft.com/office/drawing/2014/main" id="{7AD3230A-2E53-6968-BA63-810584AEB240}"/>
            </a:ext>
          </a:extLst>
        </xdr:cNvPr>
        <xdr:cNvCxnSpPr/>
      </xdr:nvCxnSpPr>
      <xdr:spPr>
        <a:xfrm flipV="1">
          <a:off x="8562975" y="4342973"/>
          <a:ext cx="222250" cy="29741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103868</xdr:colOff>
      <xdr:row>13</xdr:row>
      <xdr:rowOff>173637</xdr:rowOff>
    </xdr:from>
    <xdr:to>
      <xdr:col>22</xdr:col>
      <xdr:colOff>326118</xdr:colOff>
      <xdr:row>14</xdr:row>
      <xdr:rowOff>43116</xdr:rowOff>
    </xdr:to>
    <xdr:cxnSp macro="">
      <xdr:nvCxnSpPr>
        <xdr:cNvPr id="1305" name="SCHEMA_T06_COND_0153">
          <a:extLst>
            <a:ext uri="{FF2B5EF4-FFF2-40B4-BE49-F238E27FC236}">
              <a16:creationId xmlns:a16="http://schemas.microsoft.com/office/drawing/2014/main" id="{E1FA2469-CD1B-2EE3-0BB3-F5468756E0EA}"/>
            </a:ext>
          </a:extLst>
        </xdr:cNvPr>
        <xdr:cNvCxnSpPr/>
      </xdr:nvCxnSpPr>
      <xdr:spPr>
        <a:xfrm flipV="1">
          <a:off x="8785225" y="4228566"/>
          <a:ext cx="222250" cy="114407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330654</xdr:colOff>
      <xdr:row>14</xdr:row>
      <xdr:rowOff>183031</xdr:rowOff>
    </xdr:from>
    <xdr:to>
      <xdr:col>21</xdr:col>
      <xdr:colOff>217261</xdr:colOff>
      <xdr:row>14</xdr:row>
      <xdr:rowOff>237957</xdr:rowOff>
    </xdr:to>
    <xdr:cxnSp macro="">
      <xdr:nvCxnSpPr>
        <xdr:cNvPr id="1306" name="SCHEMA_T06_COND_0154">
          <a:extLst>
            <a:ext uri="{FF2B5EF4-FFF2-40B4-BE49-F238E27FC236}">
              <a16:creationId xmlns:a16="http://schemas.microsoft.com/office/drawing/2014/main" id="{A7922C41-24E9-A9F4-BAFF-CB53EACB6A61}"/>
            </a:ext>
          </a:extLst>
        </xdr:cNvPr>
        <xdr:cNvCxnSpPr/>
      </xdr:nvCxnSpPr>
      <xdr:spPr>
        <a:xfrm>
          <a:off x="8340725" y="4482888"/>
          <a:ext cx="222250" cy="5492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217261</xdr:colOff>
      <xdr:row>14</xdr:row>
      <xdr:rowOff>208216</xdr:rowOff>
    </xdr:from>
    <xdr:to>
      <xdr:col>22</xdr:col>
      <xdr:colOff>103868</xdr:colOff>
      <xdr:row>14</xdr:row>
      <xdr:rowOff>237957</xdr:rowOff>
    </xdr:to>
    <xdr:cxnSp macro="">
      <xdr:nvCxnSpPr>
        <xdr:cNvPr id="1307" name="SCHEMA_T06_COND_0155">
          <a:extLst>
            <a:ext uri="{FF2B5EF4-FFF2-40B4-BE49-F238E27FC236}">
              <a16:creationId xmlns:a16="http://schemas.microsoft.com/office/drawing/2014/main" id="{40B14093-6007-6126-5A78-B8FE52B40966}"/>
            </a:ext>
          </a:extLst>
        </xdr:cNvPr>
        <xdr:cNvCxnSpPr/>
      </xdr:nvCxnSpPr>
      <xdr:spPr>
        <a:xfrm flipV="1">
          <a:off x="8562975" y="4508073"/>
          <a:ext cx="222250" cy="2974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103868</xdr:colOff>
      <xdr:row>14</xdr:row>
      <xdr:rowOff>93809</xdr:rowOff>
    </xdr:from>
    <xdr:to>
      <xdr:col>22</xdr:col>
      <xdr:colOff>326118</xdr:colOff>
      <xdr:row>14</xdr:row>
      <xdr:rowOff>208216</xdr:rowOff>
    </xdr:to>
    <xdr:cxnSp macro="">
      <xdr:nvCxnSpPr>
        <xdr:cNvPr id="1308" name="SCHEMA_T06_COND_0156">
          <a:extLst>
            <a:ext uri="{FF2B5EF4-FFF2-40B4-BE49-F238E27FC236}">
              <a16:creationId xmlns:a16="http://schemas.microsoft.com/office/drawing/2014/main" id="{029285E4-88D9-1DE7-E013-98742ED06BDE}"/>
            </a:ext>
          </a:extLst>
        </xdr:cNvPr>
        <xdr:cNvCxnSpPr/>
      </xdr:nvCxnSpPr>
      <xdr:spPr>
        <a:xfrm flipV="1">
          <a:off x="8785225" y="4393666"/>
          <a:ext cx="222250" cy="11440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330654</xdr:colOff>
      <xdr:row>15</xdr:row>
      <xdr:rowOff>39702</xdr:rowOff>
    </xdr:from>
    <xdr:to>
      <xdr:col>21</xdr:col>
      <xdr:colOff>217261</xdr:colOff>
      <xdr:row>15</xdr:row>
      <xdr:rowOff>94628</xdr:rowOff>
    </xdr:to>
    <xdr:cxnSp macro="">
      <xdr:nvCxnSpPr>
        <xdr:cNvPr id="1309" name="SCHEMA_T06_COND_0157">
          <a:extLst>
            <a:ext uri="{FF2B5EF4-FFF2-40B4-BE49-F238E27FC236}">
              <a16:creationId xmlns:a16="http://schemas.microsoft.com/office/drawing/2014/main" id="{30EA7D1E-6F57-3B37-C1D7-EE4F88CDAD0D}"/>
            </a:ext>
          </a:extLst>
        </xdr:cNvPr>
        <xdr:cNvCxnSpPr/>
      </xdr:nvCxnSpPr>
      <xdr:spPr>
        <a:xfrm>
          <a:off x="8340725" y="4584488"/>
          <a:ext cx="222250" cy="5492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217261</xdr:colOff>
      <xdr:row>15</xdr:row>
      <xdr:rowOff>64887</xdr:rowOff>
    </xdr:from>
    <xdr:to>
      <xdr:col>22</xdr:col>
      <xdr:colOff>103868</xdr:colOff>
      <xdr:row>15</xdr:row>
      <xdr:rowOff>94628</xdr:rowOff>
    </xdr:to>
    <xdr:cxnSp macro="">
      <xdr:nvCxnSpPr>
        <xdr:cNvPr id="1310" name="SCHEMA_T06_COND_0158">
          <a:extLst>
            <a:ext uri="{FF2B5EF4-FFF2-40B4-BE49-F238E27FC236}">
              <a16:creationId xmlns:a16="http://schemas.microsoft.com/office/drawing/2014/main" id="{B286BF9F-C10F-4867-2525-688476A61B70}"/>
            </a:ext>
          </a:extLst>
        </xdr:cNvPr>
        <xdr:cNvCxnSpPr/>
      </xdr:nvCxnSpPr>
      <xdr:spPr>
        <a:xfrm flipV="1">
          <a:off x="8562975" y="4609673"/>
          <a:ext cx="222250" cy="2974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103868</xdr:colOff>
      <xdr:row>14</xdr:row>
      <xdr:rowOff>195409</xdr:rowOff>
    </xdr:from>
    <xdr:to>
      <xdr:col>22</xdr:col>
      <xdr:colOff>326118</xdr:colOff>
      <xdr:row>15</xdr:row>
      <xdr:rowOff>64887</xdr:rowOff>
    </xdr:to>
    <xdr:cxnSp macro="">
      <xdr:nvCxnSpPr>
        <xdr:cNvPr id="1311" name="SCHEMA_T06_COND_0159">
          <a:extLst>
            <a:ext uri="{FF2B5EF4-FFF2-40B4-BE49-F238E27FC236}">
              <a16:creationId xmlns:a16="http://schemas.microsoft.com/office/drawing/2014/main" id="{7C051247-AA29-8BBE-77DB-661D0CDE5FE0}"/>
            </a:ext>
          </a:extLst>
        </xdr:cNvPr>
        <xdr:cNvCxnSpPr/>
      </xdr:nvCxnSpPr>
      <xdr:spPr>
        <a:xfrm flipV="1">
          <a:off x="8785225" y="4495266"/>
          <a:ext cx="222250" cy="11440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330654</xdr:colOff>
      <xdr:row>15</xdr:row>
      <xdr:rowOff>192102</xdr:rowOff>
    </xdr:from>
    <xdr:to>
      <xdr:col>21</xdr:col>
      <xdr:colOff>217261</xdr:colOff>
      <xdr:row>16</xdr:row>
      <xdr:rowOff>2100</xdr:rowOff>
    </xdr:to>
    <xdr:cxnSp macro="">
      <xdr:nvCxnSpPr>
        <xdr:cNvPr id="1312" name="SCHEMA_T06_COND_0160">
          <a:extLst>
            <a:ext uri="{FF2B5EF4-FFF2-40B4-BE49-F238E27FC236}">
              <a16:creationId xmlns:a16="http://schemas.microsoft.com/office/drawing/2014/main" id="{40996ED8-1495-3FBF-190E-173EC8740E14}"/>
            </a:ext>
          </a:extLst>
        </xdr:cNvPr>
        <xdr:cNvCxnSpPr/>
      </xdr:nvCxnSpPr>
      <xdr:spPr>
        <a:xfrm>
          <a:off x="8340725" y="4736888"/>
          <a:ext cx="222250" cy="5492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217261</xdr:colOff>
      <xdr:row>15</xdr:row>
      <xdr:rowOff>217287</xdr:rowOff>
    </xdr:from>
    <xdr:to>
      <xdr:col>22</xdr:col>
      <xdr:colOff>103868</xdr:colOff>
      <xdr:row>16</xdr:row>
      <xdr:rowOff>2100</xdr:rowOff>
    </xdr:to>
    <xdr:cxnSp macro="">
      <xdr:nvCxnSpPr>
        <xdr:cNvPr id="1313" name="SCHEMA_T06_COND_0161">
          <a:extLst>
            <a:ext uri="{FF2B5EF4-FFF2-40B4-BE49-F238E27FC236}">
              <a16:creationId xmlns:a16="http://schemas.microsoft.com/office/drawing/2014/main" id="{596B2F1B-7E5E-AA39-6B19-542CD25329AE}"/>
            </a:ext>
          </a:extLst>
        </xdr:cNvPr>
        <xdr:cNvCxnSpPr/>
      </xdr:nvCxnSpPr>
      <xdr:spPr>
        <a:xfrm flipV="1">
          <a:off x="8562975" y="4762073"/>
          <a:ext cx="222250" cy="2974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103868</xdr:colOff>
      <xdr:row>15</xdr:row>
      <xdr:rowOff>102880</xdr:rowOff>
    </xdr:from>
    <xdr:to>
      <xdr:col>22</xdr:col>
      <xdr:colOff>326118</xdr:colOff>
      <xdr:row>15</xdr:row>
      <xdr:rowOff>217287</xdr:rowOff>
    </xdr:to>
    <xdr:cxnSp macro="">
      <xdr:nvCxnSpPr>
        <xdr:cNvPr id="1314" name="SCHEMA_T06_COND_0162">
          <a:extLst>
            <a:ext uri="{FF2B5EF4-FFF2-40B4-BE49-F238E27FC236}">
              <a16:creationId xmlns:a16="http://schemas.microsoft.com/office/drawing/2014/main" id="{34DA9B35-CAE6-94A7-3FE5-A8B34EBF6165}"/>
            </a:ext>
          </a:extLst>
        </xdr:cNvPr>
        <xdr:cNvCxnSpPr/>
      </xdr:nvCxnSpPr>
      <xdr:spPr>
        <a:xfrm flipV="1">
          <a:off x="8785225" y="4647666"/>
          <a:ext cx="222250" cy="11440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330654</xdr:colOff>
      <xdr:row>16</xdr:row>
      <xdr:rowOff>48774</xdr:rowOff>
    </xdr:from>
    <xdr:to>
      <xdr:col>21</xdr:col>
      <xdr:colOff>217261</xdr:colOff>
      <xdr:row>16</xdr:row>
      <xdr:rowOff>103700</xdr:rowOff>
    </xdr:to>
    <xdr:cxnSp macro="">
      <xdr:nvCxnSpPr>
        <xdr:cNvPr id="1315" name="SCHEMA_T06_COND_0163">
          <a:extLst>
            <a:ext uri="{FF2B5EF4-FFF2-40B4-BE49-F238E27FC236}">
              <a16:creationId xmlns:a16="http://schemas.microsoft.com/office/drawing/2014/main" id="{CFDF13E5-A9F7-42A6-4351-B8FFD1A22468}"/>
            </a:ext>
          </a:extLst>
        </xdr:cNvPr>
        <xdr:cNvCxnSpPr/>
      </xdr:nvCxnSpPr>
      <xdr:spPr>
        <a:xfrm>
          <a:off x="8340725" y="4838488"/>
          <a:ext cx="222250" cy="5492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217261</xdr:colOff>
      <xdr:row>16</xdr:row>
      <xdr:rowOff>73959</xdr:rowOff>
    </xdr:from>
    <xdr:to>
      <xdr:col>22</xdr:col>
      <xdr:colOff>103868</xdr:colOff>
      <xdr:row>16</xdr:row>
      <xdr:rowOff>103700</xdr:rowOff>
    </xdr:to>
    <xdr:cxnSp macro="">
      <xdr:nvCxnSpPr>
        <xdr:cNvPr id="1316" name="SCHEMA_T06_COND_0164">
          <a:extLst>
            <a:ext uri="{FF2B5EF4-FFF2-40B4-BE49-F238E27FC236}">
              <a16:creationId xmlns:a16="http://schemas.microsoft.com/office/drawing/2014/main" id="{5D22FAE2-A144-C140-7AF6-F48D67070A2D}"/>
            </a:ext>
          </a:extLst>
        </xdr:cNvPr>
        <xdr:cNvCxnSpPr/>
      </xdr:nvCxnSpPr>
      <xdr:spPr>
        <a:xfrm flipV="1">
          <a:off x="8562975" y="4863673"/>
          <a:ext cx="222250" cy="2974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103868</xdr:colOff>
      <xdr:row>15</xdr:row>
      <xdr:rowOff>204480</xdr:rowOff>
    </xdr:from>
    <xdr:to>
      <xdr:col>22</xdr:col>
      <xdr:colOff>326118</xdr:colOff>
      <xdr:row>16</xdr:row>
      <xdr:rowOff>73959</xdr:rowOff>
    </xdr:to>
    <xdr:cxnSp macro="">
      <xdr:nvCxnSpPr>
        <xdr:cNvPr id="1317" name="SCHEMA_T06_COND_0165">
          <a:extLst>
            <a:ext uri="{FF2B5EF4-FFF2-40B4-BE49-F238E27FC236}">
              <a16:creationId xmlns:a16="http://schemas.microsoft.com/office/drawing/2014/main" id="{78D6E8CA-D2C3-2A84-0BFE-C6AF73CB2274}"/>
            </a:ext>
          </a:extLst>
        </xdr:cNvPr>
        <xdr:cNvCxnSpPr/>
      </xdr:nvCxnSpPr>
      <xdr:spPr>
        <a:xfrm flipV="1">
          <a:off x="8785225" y="4749266"/>
          <a:ext cx="222250" cy="11440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290286</xdr:colOff>
      <xdr:row>25</xdr:row>
      <xdr:rowOff>41729</xdr:rowOff>
    </xdr:from>
    <xdr:to>
      <xdr:col>22</xdr:col>
      <xdr:colOff>30843</xdr:colOff>
      <xdr:row>25</xdr:row>
      <xdr:rowOff>117929</xdr:rowOff>
    </xdr:to>
    <xdr:sp macro="" textlink="">
      <xdr:nvSpPr>
        <xdr:cNvPr id="1318" name="SCHEMA_T06_ATTRAV_11">
          <a:extLst>
            <a:ext uri="{FF2B5EF4-FFF2-40B4-BE49-F238E27FC236}">
              <a16:creationId xmlns:a16="http://schemas.microsoft.com/office/drawing/2014/main" id="{C047B649-8297-15A9-A321-8C2326029A04}"/>
            </a:ext>
          </a:extLst>
        </xdr:cNvPr>
        <xdr:cNvSpPr/>
      </xdr:nvSpPr>
      <xdr:spPr>
        <a:xfrm>
          <a:off x="8636000" y="7035800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22</xdr:col>
      <xdr:colOff>326118</xdr:colOff>
      <xdr:row>13</xdr:row>
      <xdr:rowOff>173637</xdr:rowOff>
    </xdr:from>
    <xdr:to>
      <xdr:col>23</xdr:col>
      <xdr:colOff>212725</xdr:colOff>
      <xdr:row>13</xdr:row>
      <xdr:rowOff>243814</xdr:rowOff>
    </xdr:to>
    <xdr:cxnSp macro="">
      <xdr:nvCxnSpPr>
        <xdr:cNvPr id="1319" name="SCHEMA_T06_COND_0166">
          <a:extLst>
            <a:ext uri="{FF2B5EF4-FFF2-40B4-BE49-F238E27FC236}">
              <a16:creationId xmlns:a16="http://schemas.microsoft.com/office/drawing/2014/main" id="{4FD0A29C-5A81-2A18-654C-B3A8150E9023}"/>
            </a:ext>
          </a:extLst>
        </xdr:cNvPr>
        <xdr:cNvCxnSpPr/>
      </xdr:nvCxnSpPr>
      <xdr:spPr>
        <a:xfrm>
          <a:off x="9007475" y="4228566"/>
          <a:ext cx="222250" cy="70177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212725</xdr:colOff>
      <xdr:row>13</xdr:row>
      <xdr:rowOff>229325</xdr:rowOff>
    </xdr:from>
    <xdr:to>
      <xdr:col>24</xdr:col>
      <xdr:colOff>99332</xdr:colOff>
      <xdr:row>13</xdr:row>
      <xdr:rowOff>243814</xdr:rowOff>
    </xdr:to>
    <xdr:cxnSp macro="">
      <xdr:nvCxnSpPr>
        <xdr:cNvPr id="1320" name="SCHEMA_T06_COND_0167">
          <a:extLst>
            <a:ext uri="{FF2B5EF4-FFF2-40B4-BE49-F238E27FC236}">
              <a16:creationId xmlns:a16="http://schemas.microsoft.com/office/drawing/2014/main" id="{A796D7F9-4C09-260A-F1AC-A7D52A76DEEC}"/>
            </a:ext>
          </a:extLst>
        </xdr:cNvPr>
        <xdr:cNvCxnSpPr/>
      </xdr:nvCxnSpPr>
      <xdr:spPr>
        <a:xfrm flipV="1">
          <a:off x="9229725" y="4284254"/>
          <a:ext cx="222250" cy="14489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99332</xdr:colOff>
      <xdr:row>13</xdr:row>
      <xdr:rowOff>130169</xdr:rowOff>
    </xdr:from>
    <xdr:to>
      <xdr:col>24</xdr:col>
      <xdr:colOff>321582</xdr:colOff>
      <xdr:row>13</xdr:row>
      <xdr:rowOff>229325</xdr:rowOff>
    </xdr:to>
    <xdr:cxnSp macro="">
      <xdr:nvCxnSpPr>
        <xdr:cNvPr id="1321" name="SCHEMA_T06_COND_0168">
          <a:extLst>
            <a:ext uri="{FF2B5EF4-FFF2-40B4-BE49-F238E27FC236}">
              <a16:creationId xmlns:a16="http://schemas.microsoft.com/office/drawing/2014/main" id="{D8D1F13B-77FD-1462-3E4A-D97A8BE7B23F}"/>
            </a:ext>
          </a:extLst>
        </xdr:cNvPr>
        <xdr:cNvCxnSpPr/>
      </xdr:nvCxnSpPr>
      <xdr:spPr>
        <a:xfrm flipV="1">
          <a:off x="9451975" y="4185098"/>
          <a:ext cx="222250" cy="99156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326118</xdr:colOff>
      <xdr:row>14</xdr:row>
      <xdr:rowOff>93809</xdr:rowOff>
    </xdr:from>
    <xdr:to>
      <xdr:col>23</xdr:col>
      <xdr:colOff>212725</xdr:colOff>
      <xdr:row>14</xdr:row>
      <xdr:rowOff>163986</xdr:rowOff>
    </xdr:to>
    <xdr:cxnSp macro="">
      <xdr:nvCxnSpPr>
        <xdr:cNvPr id="1322" name="SCHEMA_T06_COND_0169">
          <a:extLst>
            <a:ext uri="{FF2B5EF4-FFF2-40B4-BE49-F238E27FC236}">
              <a16:creationId xmlns:a16="http://schemas.microsoft.com/office/drawing/2014/main" id="{DD8377DF-22C6-F8DB-BBCF-27078BD46B4B}"/>
            </a:ext>
          </a:extLst>
        </xdr:cNvPr>
        <xdr:cNvCxnSpPr/>
      </xdr:nvCxnSpPr>
      <xdr:spPr>
        <a:xfrm>
          <a:off x="9007475" y="4393666"/>
          <a:ext cx="222250" cy="7017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212725</xdr:colOff>
      <xdr:row>14</xdr:row>
      <xdr:rowOff>149497</xdr:rowOff>
    </xdr:from>
    <xdr:to>
      <xdr:col>24</xdr:col>
      <xdr:colOff>99332</xdr:colOff>
      <xdr:row>14</xdr:row>
      <xdr:rowOff>163986</xdr:rowOff>
    </xdr:to>
    <xdr:cxnSp macro="">
      <xdr:nvCxnSpPr>
        <xdr:cNvPr id="1323" name="SCHEMA_T06_COND_0170">
          <a:extLst>
            <a:ext uri="{FF2B5EF4-FFF2-40B4-BE49-F238E27FC236}">
              <a16:creationId xmlns:a16="http://schemas.microsoft.com/office/drawing/2014/main" id="{9876E376-2DA5-F63F-388E-1CF8FE10603F}"/>
            </a:ext>
          </a:extLst>
        </xdr:cNvPr>
        <xdr:cNvCxnSpPr/>
      </xdr:nvCxnSpPr>
      <xdr:spPr>
        <a:xfrm flipV="1">
          <a:off x="9229725" y="4449354"/>
          <a:ext cx="222250" cy="1448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99332</xdr:colOff>
      <xdr:row>14</xdr:row>
      <xdr:rowOff>50341</xdr:rowOff>
    </xdr:from>
    <xdr:to>
      <xdr:col>24</xdr:col>
      <xdr:colOff>321582</xdr:colOff>
      <xdr:row>14</xdr:row>
      <xdr:rowOff>149497</xdr:rowOff>
    </xdr:to>
    <xdr:cxnSp macro="">
      <xdr:nvCxnSpPr>
        <xdr:cNvPr id="1324" name="SCHEMA_T06_COND_0171">
          <a:extLst>
            <a:ext uri="{FF2B5EF4-FFF2-40B4-BE49-F238E27FC236}">
              <a16:creationId xmlns:a16="http://schemas.microsoft.com/office/drawing/2014/main" id="{C57D58E2-76FD-586B-BB5C-024E6804669A}"/>
            </a:ext>
          </a:extLst>
        </xdr:cNvPr>
        <xdr:cNvCxnSpPr/>
      </xdr:nvCxnSpPr>
      <xdr:spPr>
        <a:xfrm flipV="1">
          <a:off x="9451975" y="4350198"/>
          <a:ext cx="222250" cy="9915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326118</xdr:colOff>
      <xdr:row>14</xdr:row>
      <xdr:rowOff>195409</xdr:rowOff>
    </xdr:from>
    <xdr:to>
      <xdr:col>23</xdr:col>
      <xdr:colOff>212725</xdr:colOff>
      <xdr:row>15</xdr:row>
      <xdr:rowOff>20657</xdr:rowOff>
    </xdr:to>
    <xdr:cxnSp macro="">
      <xdr:nvCxnSpPr>
        <xdr:cNvPr id="1325" name="SCHEMA_T06_COND_0172">
          <a:extLst>
            <a:ext uri="{FF2B5EF4-FFF2-40B4-BE49-F238E27FC236}">
              <a16:creationId xmlns:a16="http://schemas.microsoft.com/office/drawing/2014/main" id="{C5513E1C-1037-1C84-3A00-AB50F7D6985F}"/>
            </a:ext>
          </a:extLst>
        </xdr:cNvPr>
        <xdr:cNvCxnSpPr/>
      </xdr:nvCxnSpPr>
      <xdr:spPr>
        <a:xfrm>
          <a:off x="9007475" y="4495266"/>
          <a:ext cx="222250" cy="70177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212725</xdr:colOff>
      <xdr:row>15</xdr:row>
      <xdr:rowOff>6168</xdr:rowOff>
    </xdr:from>
    <xdr:to>
      <xdr:col>24</xdr:col>
      <xdr:colOff>99332</xdr:colOff>
      <xdr:row>15</xdr:row>
      <xdr:rowOff>20657</xdr:rowOff>
    </xdr:to>
    <xdr:cxnSp macro="">
      <xdr:nvCxnSpPr>
        <xdr:cNvPr id="1326" name="SCHEMA_T06_COND_0173">
          <a:extLst>
            <a:ext uri="{FF2B5EF4-FFF2-40B4-BE49-F238E27FC236}">
              <a16:creationId xmlns:a16="http://schemas.microsoft.com/office/drawing/2014/main" id="{9B6943DE-0750-F5F0-CB4B-AA0D3BE67AC5}"/>
            </a:ext>
          </a:extLst>
        </xdr:cNvPr>
        <xdr:cNvCxnSpPr/>
      </xdr:nvCxnSpPr>
      <xdr:spPr>
        <a:xfrm flipV="1">
          <a:off x="9229725" y="4550954"/>
          <a:ext cx="222250" cy="1448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99332</xdr:colOff>
      <xdr:row>14</xdr:row>
      <xdr:rowOff>151941</xdr:rowOff>
    </xdr:from>
    <xdr:to>
      <xdr:col>24</xdr:col>
      <xdr:colOff>321582</xdr:colOff>
      <xdr:row>15</xdr:row>
      <xdr:rowOff>6168</xdr:rowOff>
    </xdr:to>
    <xdr:cxnSp macro="">
      <xdr:nvCxnSpPr>
        <xdr:cNvPr id="1327" name="SCHEMA_T06_COND_0174">
          <a:extLst>
            <a:ext uri="{FF2B5EF4-FFF2-40B4-BE49-F238E27FC236}">
              <a16:creationId xmlns:a16="http://schemas.microsoft.com/office/drawing/2014/main" id="{E30E3452-5648-14CD-17EC-FE6B7CB23759}"/>
            </a:ext>
          </a:extLst>
        </xdr:cNvPr>
        <xdr:cNvCxnSpPr/>
      </xdr:nvCxnSpPr>
      <xdr:spPr>
        <a:xfrm flipV="1">
          <a:off x="9451975" y="4451798"/>
          <a:ext cx="222250" cy="9915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326118</xdr:colOff>
      <xdr:row>15</xdr:row>
      <xdr:rowOff>102880</xdr:rowOff>
    </xdr:from>
    <xdr:to>
      <xdr:col>23</xdr:col>
      <xdr:colOff>212725</xdr:colOff>
      <xdr:row>15</xdr:row>
      <xdr:rowOff>173057</xdr:rowOff>
    </xdr:to>
    <xdr:cxnSp macro="">
      <xdr:nvCxnSpPr>
        <xdr:cNvPr id="1328" name="SCHEMA_T06_COND_0175">
          <a:extLst>
            <a:ext uri="{FF2B5EF4-FFF2-40B4-BE49-F238E27FC236}">
              <a16:creationId xmlns:a16="http://schemas.microsoft.com/office/drawing/2014/main" id="{CB7C8C15-1204-D1F0-040D-7C19D9C7F41E}"/>
            </a:ext>
          </a:extLst>
        </xdr:cNvPr>
        <xdr:cNvCxnSpPr/>
      </xdr:nvCxnSpPr>
      <xdr:spPr>
        <a:xfrm>
          <a:off x="9007475" y="4647666"/>
          <a:ext cx="222250" cy="7017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212725</xdr:colOff>
      <xdr:row>15</xdr:row>
      <xdr:rowOff>158568</xdr:rowOff>
    </xdr:from>
    <xdr:to>
      <xdr:col>24</xdr:col>
      <xdr:colOff>99332</xdr:colOff>
      <xdr:row>15</xdr:row>
      <xdr:rowOff>173057</xdr:rowOff>
    </xdr:to>
    <xdr:cxnSp macro="">
      <xdr:nvCxnSpPr>
        <xdr:cNvPr id="1329" name="SCHEMA_T06_COND_0176">
          <a:extLst>
            <a:ext uri="{FF2B5EF4-FFF2-40B4-BE49-F238E27FC236}">
              <a16:creationId xmlns:a16="http://schemas.microsoft.com/office/drawing/2014/main" id="{20A83260-B699-BA4B-9A87-66C7C65F9EA8}"/>
            </a:ext>
          </a:extLst>
        </xdr:cNvPr>
        <xdr:cNvCxnSpPr/>
      </xdr:nvCxnSpPr>
      <xdr:spPr>
        <a:xfrm flipV="1">
          <a:off x="9229725" y="4703354"/>
          <a:ext cx="222250" cy="1448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99332</xdr:colOff>
      <xdr:row>15</xdr:row>
      <xdr:rowOff>59412</xdr:rowOff>
    </xdr:from>
    <xdr:to>
      <xdr:col>24</xdr:col>
      <xdr:colOff>321582</xdr:colOff>
      <xdr:row>15</xdr:row>
      <xdr:rowOff>158568</xdr:rowOff>
    </xdr:to>
    <xdr:cxnSp macro="">
      <xdr:nvCxnSpPr>
        <xdr:cNvPr id="1330" name="SCHEMA_T06_COND_0177">
          <a:extLst>
            <a:ext uri="{FF2B5EF4-FFF2-40B4-BE49-F238E27FC236}">
              <a16:creationId xmlns:a16="http://schemas.microsoft.com/office/drawing/2014/main" id="{FE3FCCDA-679E-B4E8-DEB4-2FCB58FF2688}"/>
            </a:ext>
          </a:extLst>
        </xdr:cNvPr>
        <xdr:cNvCxnSpPr/>
      </xdr:nvCxnSpPr>
      <xdr:spPr>
        <a:xfrm flipV="1">
          <a:off x="9451975" y="4604198"/>
          <a:ext cx="222250" cy="9915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326118</xdr:colOff>
      <xdr:row>15</xdr:row>
      <xdr:rowOff>204480</xdr:rowOff>
    </xdr:from>
    <xdr:to>
      <xdr:col>23</xdr:col>
      <xdr:colOff>212725</xdr:colOff>
      <xdr:row>16</xdr:row>
      <xdr:rowOff>29729</xdr:rowOff>
    </xdr:to>
    <xdr:cxnSp macro="">
      <xdr:nvCxnSpPr>
        <xdr:cNvPr id="1331" name="SCHEMA_T06_COND_0178">
          <a:extLst>
            <a:ext uri="{FF2B5EF4-FFF2-40B4-BE49-F238E27FC236}">
              <a16:creationId xmlns:a16="http://schemas.microsoft.com/office/drawing/2014/main" id="{52985ED3-9D9C-5883-4287-69E21E150D13}"/>
            </a:ext>
          </a:extLst>
        </xdr:cNvPr>
        <xdr:cNvCxnSpPr/>
      </xdr:nvCxnSpPr>
      <xdr:spPr>
        <a:xfrm>
          <a:off x="9007475" y="4749266"/>
          <a:ext cx="222250" cy="70177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212725</xdr:colOff>
      <xdr:row>16</xdr:row>
      <xdr:rowOff>15240</xdr:rowOff>
    </xdr:from>
    <xdr:to>
      <xdr:col>24</xdr:col>
      <xdr:colOff>99332</xdr:colOff>
      <xdr:row>16</xdr:row>
      <xdr:rowOff>29729</xdr:rowOff>
    </xdr:to>
    <xdr:cxnSp macro="">
      <xdr:nvCxnSpPr>
        <xdr:cNvPr id="1332" name="SCHEMA_T06_COND_0179">
          <a:extLst>
            <a:ext uri="{FF2B5EF4-FFF2-40B4-BE49-F238E27FC236}">
              <a16:creationId xmlns:a16="http://schemas.microsoft.com/office/drawing/2014/main" id="{74A0624B-E66F-3043-0777-BA8D193406B7}"/>
            </a:ext>
          </a:extLst>
        </xdr:cNvPr>
        <xdr:cNvCxnSpPr/>
      </xdr:nvCxnSpPr>
      <xdr:spPr>
        <a:xfrm flipV="1">
          <a:off x="9229725" y="4804954"/>
          <a:ext cx="222250" cy="1448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99332</xdr:colOff>
      <xdr:row>15</xdr:row>
      <xdr:rowOff>161012</xdr:rowOff>
    </xdr:from>
    <xdr:to>
      <xdr:col>24</xdr:col>
      <xdr:colOff>321582</xdr:colOff>
      <xdr:row>16</xdr:row>
      <xdr:rowOff>15240</xdr:rowOff>
    </xdr:to>
    <xdr:cxnSp macro="">
      <xdr:nvCxnSpPr>
        <xdr:cNvPr id="1333" name="SCHEMA_T06_COND_0180">
          <a:extLst>
            <a:ext uri="{FF2B5EF4-FFF2-40B4-BE49-F238E27FC236}">
              <a16:creationId xmlns:a16="http://schemas.microsoft.com/office/drawing/2014/main" id="{9E3BAC17-5E44-3519-1433-94FA9312E721}"/>
            </a:ext>
          </a:extLst>
        </xdr:cNvPr>
        <xdr:cNvCxnSpPr/>
      </xdr:nvCxnSpPr>
      <xdr:spPr>
        <a:xfrm flipV="1">
          <a:off x="9451975" y="4705798"/>
          <a:ext cx="222250" cy="9915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321582</xdr:colOff>
      <xdr:row>13</xdr:row>
      <xdr:rowOff>130169</xdr:rowOff>
    </xdr:from>
    <xdr:to>
      <xdr:col>25</xdr:col>
      <xdr:colOff>208189</xdr:colOff>
      <xdr:row>14</xdr:row>
      <xdr:rowOff>27102</xdr:rowOff>
    </xdr:to>
    <xdr:cxnSp macro="">
      <xdr:nvCxnSpPr>
        <xdr:cNvPr id="1334" name="SCHEMA_T06_COND_0181">
          <a:extLst>
            <a:ext uri="{FF2B5EF4-FFF2-40B4-BE49-F238E27FC236}">
              <a16:creationId xmlns:a16="http://schemas.microsoft.com/office/drawing/2014/main" id="{3A14E801-1801-39F8-9CFE-303CF592E399}"/>
            </a:ext>
          </a:extLst>
        </xdr:cNvPr>
        <xdr:cNvCxnSpPr/>
      </xdr:nvCxnSpPr>
      <xdr:spPr>
        <a:xfrm>
          <a:off x="9674225" y="4185098"/>
          <a:ext cx="222250" cy="141861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208189</xdr:colOff>
      <xdr:row>14</xdr:row>
      <xdr:rowOff>27102</xdr:rowOff>
    </xdr:from>
    <xdr:to>
      <xdr:col>26</xdr:col>
      <xdr:colOff>94796</xdr:colOff>
      <xdr:row>14</xdr:row>
      <xdr:rowOff>84296</xdr:rowOff>
    </xdr:to>
    <xdr:cxnSp macro="">
      <xdr:nvCxnSpPr>
        <xdr:cNvPr id="1335" name="SCHEMA_T06_COND_0182">
          <a:extLst>
            <a:ext uri="{FF2B5EF4-FFF2-40B4-BE49-F238E27FC236}">
              <a16:creationId xmlns:a16="http://schemas.microsoft.com/office/drawing/2014/main" id="{81C16A8C-8BCC-CCA4-550D-C212BB9671BC}"/>
            </a:ext>
          </a:extLst>
        </xdr:cNvPr>
        <xdr:cNvCxnSpPr/>
      </xdr:nvCxnSpPr>
      <xdr:spPr>
        <a:xfrm>
          <a:off x="9896475" y="4326959"/>
          <a:ext cx="222250" cy="57194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94796</xdr:colOff>
      <xdr:row>14</xdr:row>
      <xdr:rowOff>56823</xdr:rowOff>
    </xdr:from>
    <xdr:to>
      <xdr:col>26</xdr:col>
      <xdr:colOff>317046</xdr:colOff>
      <xdr:row>14</xdr:row>
      <xdr:rowOff>84296</xdr:rowOff>
    </xdr:to>
    <xdr:cxnSp macro="">
      <xdr:nvCxnSpPr>
        <xdr:cNvPr id="1336" name="SCHEMA_T06_COND_0183">
          <a:extLst>
            <a:ext uri="{FF2B5EF4-FFF2-40B4-BE49-F238E27FC236}">
              <a16:creationId xmlns:a16="http://schemas.microsoft.com/office/drawing/2014/main" id="{0F203EB3-5055-B210-958F-F84858F15575}"/>
            </a:ext>
          </a:extLst>
        </xdr:cNvPr>
        <xdr:cNvCxnSpPr/>
      </xdr:nvCxnSpPr>
      <xdr:spPr>
        <a:xfrm flipV="1">
          <a:off x="10118725" y="4356680"/>
          <a:ext cx="222250" cy="27473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321582</xdr:colOff>
      <xdr:row>14</xdr:row>
      <xdr:rowOff>50341</xdr:rowOff>
    </xdr:from>
    <xdr:to>
      <xdr:col>25</xdr:col>
      <xdr:colOff>208189</xdr:colOff>
      <xdr:row>14</xdr:row>
      <xdr:rowOff>192202</xdr:rowOff>
    </xdr:to>
    <xdr:cxnSp macro="">
      <xdr:nvCxnSpPr>
        <xdr:cNvPr id="1337" name="SCHEMA_T06_COND_0184">
          <a:extLst>
            <a:ext uri="{FF2B5EF4-FFF2-40B4-BE49-F238E27FC236}">
              <a16:creationId xmlns:a16="http://schemas.microsoft.com/office/drawing/2014/main" id="{5C7E54FA-8445-C4C9-7C44-56E4D6E5C790}"/>
            </a:ext>
          </a:extLst>
        </xdr:cNvPr>
        <xdr:cNvCxnSpPr/>
      </xdr:nvCxnSpPr>
      <xdr:spPr>
        <a:xfrm>
          <a:off x="9674225" y="4350198"/>
          <a:ext cx="222250" cy="14186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208189</xdr:colOff>
      <xdr:row>14</xdr:row>
      <xdr:rowOff>192202</xdr:rowOff>
    </xdr:from>
    <xdr:to>
      <xdr:col>26</xdr:col>
      <xdr:colOff>94796</xdr:colOff>
      <xdr:row>15</xdr:row>
      <xdr:rowOff>4467</xdr:rowOff>
    </xdr:to>
    <xdr:cxnSp macro="">
      <xdr:nvCxnSpPr>
        <xdr:cNvPr id="1338" name="SCHEMA_T06_COND_0185">
          <a:extLst>
            <a:ext uri="{FF2B5EF4-FFF2-40B4-BE49-F238E27FC236}">
              <a16:creationId xmlns:a16="http://schemas.microsoft.com/office/drawing/2014/main" id="{95E8E4C8-90D2-4C22-C511-6C770F134BFA}"/>
            </a:ext>
          </a:extLst>
        </xdr:cNvPr>
        <xdr:cNvCxnSpPr/>
      </xdr:nvCxnSpPr>
      <xdr:spPr>
        <a:xfrm>
          <a:off x="9896475" y="4492059"/>
          <a:ext cx="222250" cy="57194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94796</xdr:colOff>
      <xdr:row>14</xdr:row>
      <xdr:rowOff>221923</xdr:rowOff>
    </xdr:from>
    <xdr:to>
      <xdr:col>26</xdr:col>
      <xdr:colOff>317046</xdr:colOff>
      <xdr:row>15</xdr:row>
      <xdr:rowOff>4467</xdr:rowOff>
    </xdr:to>
    <xdr:cxnSp macro="">
      <xdr:nvCxnSpPr>
        <xdr:cNvPr id="1339" name="SCHEMA_T06_COND_0186">
          <a:extLst>
            <a:ext uri="{FF2B5EF4-FFF2-40B4-BE49-F238E27FC236}">
              <a16:creationId xmlns:a16="http://schemas.microsoft.com/office/drawing/2014/main" id="{127F90B1-115E-99E6-1A95-A3E02C20FF79}"/>
            </a:ext>
          </a:extLst>
        </xdr:cNvPr>
        <xdr:cNvCxnSpPr/>
      </xdr:nvCxnSpPr>
      <xdr:spPr>
        <a:xfrm flipV="1">
          <a:off x="10118725" y="4521780"/>
          <a:ext cx="222250" cy="2747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321582</xdr:colOff>
      <xdr:row>14</xdr:row>
      <xdr:rowOff>151941</xdr:rowOff>
    </xdr:from>
    <xdr:to>
      <xdr:col>25</xdr:col>
      <xdr:colOff>208189</xdr:colOff>
      <xdr:row>15</xdr:row>
      <xdr:rowOff>48873</xdr:rowOff>
    </xdr:to>
    <xdr:cxnSp macro="">
      <xdr:nvCxnSpPr>
        <xdr:cNvPr id="1340" name="SCHEMA_T06_COND_0187">
          <a:extLst>
            <a:ext uri="{FF2B5EF4-FFF2-40B4-BE49-F238E27FC236}">
              <a16:creationId xmlns:a16="http://schemas.microsoft.com/office/drawing/2014/main" id="{E374DB9C-42D8-A37E-D45C-6EEB2B00E581}"/>
            </a:ext>
          </a:extLst>
        </xdr:cNvPr>
        <xdr:cNvCxnSpPr/>
      </xdr:nvCxnSpPr>
      <xdr:spPr>
        <a:xfrm>
          <a:off x="9674225" y="4451798"/>
          <a:ext cx="222250" cy="141861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208189</xdr:colOff>
      <xdr:row>15</xdr:row>
      <xdr:rowOff>48873</xdr:rowOff>
    </xdr:from>
    <xdr:to>
      <xdr:col>26</xdr:col>
      <xdr:colOff>94796</xdr:colOff>
      <xdr:row>15</xdr:row>
      <xdr:rowOff>106067</xdr:rowOff>
    </xdr:to>
    <xdr:cxnSp macro="">
      <xdr:nvCxnSpPr>
        <xdr:cNvPr id="1341" name="SCHEMA_T06_COND_0188">
          <a:extLst>
            <a:ext uri="{FF2B5EF4-FFF2-40B4-BE49-F238E27FC236}">
              <a16:creationId xmlns:a16="http://schemas.microsoft.com/office/drawing/2014/main" id="{2513B303-B067-C849-9B14-B0BFB6799F09}"/>
            </a:ext>
          </a:extLst>
        </xdr:cNvPr>
        <xdr:cNvCxnSpPr/>
      </xdr:nvCxnSpPr>
      <xdr:spPr>
        <a:xfrm>
          <a:off x="9896475" y="4593659"/>
          <a:ext cx="222250" cy="57194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94796</xdr:colOff>
      <xdr:row>15</xdr:row>
      <xdr:rowOff>78594</xdr:rowOff>
    </xdr:from>
    <xdr:to>
      <xdr:col>26</xdr:col>
      <xdr:colOff>317046</xdr:colOff>
      <xdr:row>15</xdr:row>
      <xdr:rowOff>106067</xdr:rowOff>
    </xdr:to>
    <xdr:cxnSp macro="">
      <xdr:nvCxnSpPr>
        <xdr:cNvPr id="1342" name="SCHEMA_T06_COND_0189">
          <a:extLst>
            <a:ext uri="{FF2B5EF4-FFF2-40B4-BE49-F238E27FC236}">
              <a16:creationId xmlns:a16="http://schemas.microsoft.com/office/drawing/2014/main" id="{E6EFDCE2-9A61-00D4-23C1-C17E5A6E9C66}"/>
            </a:ext>
          </a:extLst>
        </xdr:cNvPr>
        <xdr:cNvCxnSpPr/>
      </xdr:nvCxnSpPr>
      <xdr:spPr>
        <a:xfrm flipV="1">
          <a:off x="10118725" y="4623380"/>
          <a:ext cx="222250" cy="27473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321582</xdr:colOff>
      <xdr:row>15</xdr:row>
      <xdr:rowOff>59412</xdr:rowOff>
    </xdr:from>
    <xdr:to>
      <xdr:col>25</xdr:col>
      <xdr:colOff>208189</xdr:colOff>
      <xdr:row>15</xdr:row>
      <xdr:rowOff>201273</xdr:rowOff>
    </xdr:to>
    <xdr:cxnSp macro="">
      <xdr:nvCxnSpPr>
        <xdr:cNvPr id="1343" name="SCHEMA_T06_COND_0190">
          <a:extLst>
            <a:ext uri="{FF2B5EF4-FFF2-40B4-BE49-F238E27FC236}">
              <a16:creationId xmlns:a16="http://schemas.microsoft.com/office/drawing/2014/main" id="{FF7228D8-E457-3B08-54E0-DE2CF7301EC0}"/>
            </a:ext>
          </a:extLst>
        </xdr:cNvPr>
        <xdr:cNvCxnSpPr/>
      </xdr:nvCxnSpPr>
      <xdr:spPr>
        <a:xfrm>
          <a:off x="9674225" y="4604198"/>
          <a:ext cx="222250" cy="14186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208189</xdr:colOff>
      <xdr:row>15</xdr:row>
      <xdr:rowOff>201273</xdr:rowOff>
    </xdr:from>
    <xdr:to>
      <xdr:col>26</xdr:col>
      <xdr:colOff>94796</xdr:colOff>
      <xdr:row>16</xdr:row>
      <xdr:rowOff>13539</xdr:rowOff>
    </xdr:to>
    <xdr:cxnSp macro="">
      <xdr:nvCxnSpPr>
        <xdr:cNvPr id="1344" name="SCHEMA_T06_COND_0191">
          <a:extLst>
            <a:ext uri="{FF2B5EF4-FFF2-40B4-BE49-F238E27FC236}">
              <a16:creationId xmlns:a16="http://schemas.microsoft.com/office/drawing/2014/main" id="{E3C63BBB-CBC3-3D86-308D-5B297F2B6054}"/>
            </a:ext>
          </a:extLst>
        </xdr:cNvPr>
        <xdr:cNvCxnSpPr/>
      </xdr:nvCxnSpPr>
      <xdr:spPr>
        <a:xfrm>
          <a:off x="9896475" y="4746059"/>
          <a:ext cx="222250" cy="57194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94796</xdr:colOff>
      <xdr:row>15</xdr:row>
      <xdr:rowOff>230994</xdr:rowOff>
    </xdr:from>
    <xdr:to>
      <xdr:col>26</xdr:col>
      <xdr:colOff>317046</xdr:colOff>
      <xdr:row>16</xdr:row>
      <xdr:rowOff>13539</xdr:rowOff>
    </xdr:to>
    <xdr:cxnSp macro="">
      <xdr:nvCxnSpPr>
        <xdr:cNvPr id="1345" name="SCHEMA_T06_COND_0192">
          <a:extLst>
            <a:ext uri="{FF2B5EF4-FFF2-40B4-BE49-F238E27FC236}">
              <a16:creationId xmlns:a16="http://schemas.microsoft.com/office/drawing/2014/main" id="{EAB9573B-A8A9-89B1-C900-EB1F29B93EF7}"/>
            </a:ext>
          </a:extLst>
        </xdr:cNvPr>
        <xdr:cNvCxnSpPr/>
      </xdr:nvCxnSpPr>
      <xdr:spPr>
        <a:xfrm flipV="1">
          <a:off x="10118725" y="4775780"/>
          <a:ext cx="222250" cy="2747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321582</xdr:colOff>
      <xdr:row>15</xdr:row>
      <xdr:rowOff>161012</xdr:rowOff>
    </xdr:from>
    <xdr:to>
      <xdr:col>25</xdr:col>
      <xdr:colOff>208189</xdr:colOff>
      <xdr:row>16</xdr:row>
      <xdr:rowOff>57945</xdr:rowOff>
    </xdr:to>
    <xdr:cxnSp macro="">
      <xdr:nvCxnSpPr>
        <xdr:cNvPr id="1346" name="SCHEMA_T06_COND_0193">
          <a:extLst>
            <a:ext uri="{FF2B5EF4-FFF2-40B4-BE49-F238E27FC236}">
              <a16:creationId xmlns:a16="http://schemas.microsoft.com/office/drawing/2014/main" id="{73D3DB17-FCB5-33BD-E953-EAE422FB7C92}"/>
            </a:ext>
          </a:extLst>
        </xdr:cNvPr>
        <xdr:cNvCxnSpPr/>
      </xdr:nvCxnSpPr>
      <xdr:spPr>
        <a:xfrm>
          <a:off x="9674225" y="4705798"/>
          <a:ext cx="222250" cy="141861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208189</xdr:colOff>
      <xdr:row>16</xdr:row>
      <xdr:rowOff>57945</xdr:rowOff>
    </xdr:from>
    <xdr:to>
      <xdr:col>26</xdr:col>
      <xdr:colOff>94796</xdr:colOff>
      <xdr:row>16</xdr:row>
      <xdr:rowOff>115139</xdr:rowOff>
    </xdr:to>
    <xdr:cxnSp macro="">
      <xdr:nvCxnSpPr>
        <xdr:cNvPr id="1347" name="SCHEMA_T06_COND_0194">
          <a:extLst>
            <a:ext uri="{FF2B5EF4-FFF2-40B4-BE49-F238E27FC236}">
              <a16:creationId xmlns:a16="http://schemas.microsoft.com/office/drawing/2014/main" id="{585C20F5-142E-3208-1613-7DF14382077E}"/>
            </a:ext>
          </a:extLst>
        </xdr:cNvPr>
        <xdr:cNvCxnSpPr/>
      </xdr:nvCxnSpPr>
      <xdr:spPr>
        <a:xfrm>
          <a:off x="9896475" y="4847659"/>
          <a:ext cx="222250" cy="57194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94796</xdr:colOff>
      <xdr:row>16</xdr:row>
      <xdr:rowOff>87666</xdr:rowOff>
    </xdr:from>
    <xdr:to>
      <xdr:col>26</xdr:col>
      <xdr:colOff>317046</xdr:colOff>
      <xdr:row>16</xdr:row>
      <xdr:rowOff>115139</xdr:rowOff>
    </xdr:to>
    <xdr:cxnSp macro="">
      <xdr:nvCxnSpPr>
        <xdr:cNvPr id="1348" name="SCHEMA_T06_COND_0195">
          <a:extLst>
            <a:ext uri="{FF2B5EF4-FFF2-40B4-BE49-F238E27FC236}">
              <a16:creationId xmlns:a16="http://schemas.microsoft.com/office/drawing/2014/main" id="{013F9F12-359F-E528-FD26-E5EC883315AE}"/>
            </a:ext>
          </a:extLst>
        </xdr:cNvPr>
        <xdr:cNvCxnSpPr/>
      </xdr:nvCxnSpPr>
      <xdr:spPr>
        <a:xfrm flipV="1">
          <a:off x="10118725" y="4877380"/>
          <a:ext cx="222250" cy="27473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281214</xdr:colOff>
      <xdr:row>25</xdr:row>
      <xdr:rowOff>41729</xdr:rowOff>
    </xdr:from>
    <xdr:to>
      <xdr:col>26</xdr:col>
      <xdr:colOff>21771</xdr:colOff>
      <xdr:row>25</xdr:row>
      <xdr:rowOff>117929</xdr:rowOff>
    </xdr:to>
    <xdr:sp macro="" textlink="">
      <xdr:nvSpPr>
        <xdr:cNvPr id="1349" name="SCHEMA_T06_ATTRAV_13">
          <a:extLst>
            <a:ext uri="{FF2B5EF4-FFF2-40B4-BE49-F238E27FC236}">
              <a16:creationId xmlns:a16="http://schemas.microsoft.com/office/drawing/2014/main" id="{7E86A276-DBFF-96AF-5ADC-7B2BEDDD2891}"/>
            </a:ext>
          </a:extLst>
        </xdr:cNvPr>
        <xdr:cNvSpPr/>
      </xdr:nvSpPr>
      <xdr:spPr>
        <a:xfrm>
          <a:off x="9969500" y="7035800"/>
          <a:ext cx="76200" cy="76200"/>
        </a:xfrm>
        <a:prstGeom prst="rect">
          <a:avLst/>
        </a:prstGeom>
        <a:solidFill>
          <a:srgbClr val="F47C00"/>
        </a:solidFill>
        <a:ln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26</xdr:col>
      <xdr:colOff>317046</xdr:colOff>
      <xdr:row>14</xdr:row>
      <xdr:rowOff>56823</xdr:rowOff>
    </xdr:from>
    <xdr:to>
      <xdr:col>27</xdr:col>
      <xdr:colOff>203654</xdr:colOff>
      <xdr:row>14</xdr:row>
      <xdr:rowOff>170467</xdr:rowOff>
    </xdr:to>
    <xdr:cxnSp macro="">
      <xdr:nvCxnSpPr>
        <xdr:cNvPr id="1350" name="SCHEMA_T06_COND_0196">
          <a:extLst>
            <a:ext uri="{FF2B5EF4-FFF2-40B4-BE49-F238E27FC236}">
              <a16:creationId xmlns:a16="http://schemas.microsoft.com/office/drawing/2014/main" id="{93042593-6322-3594-EF6B-6062255D5197}"/>
            </a:ext>
          </a:extLst>
        </xdr:cNvPr>
        <xdr:cNvCxnSpPr/>
      </xdr:nvCxnSpPr>
      <xdr:spPr>
        <a:xfrm>
          <a:off x="10340975" y="4356680"/>
          <a:ext cx="222250" cy="113644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203654</xdr:colOff>
      <xdr:row>14</xdr:row>
      <xdr:rowOff>170467</xdr:rowOff>
    </xdr:from>
    <xdr:to>
      <xdr:col>28</xdr:col>
      <xdr:colOff>90261</xdr:colOff>
      <xdr:row>14</xdr:row>
      <xdr:rowOff>199445</xdr:rowOff>
    </xdr:to>
    <xdr:cxnSp macro="">
      <xdr:nvCxnSpPr>
        <xdr:cNvPr id="1351" name="SCHEMA_T06_COND_0197">
          <a:extLst>
            <a:ext uri="{FF2B5EF4-FFF2-40B4-BE49-F238E27FC236}">
              <a16:creationId xmlns:a16="http://schemas.microsoft.com/office/drawing/2014/main" id="{17CB9D9D-BCD3-90BF-3A78-36E37BB58A4B}"/>
            </a:ext>
          </a:extLst>
        </xdr:cNvPr>
        <xdr:cNvCxnSpPr/>
      </xdr:nvCxnSpPr>
      <xdr:spPr>
        <a:xfrm>
          <a:off x="10563225" y="4470324"/>
          <a:ext cx="222250" cy="28978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90261</xdr:colOff>
      <xdr:row>14</xdr:row>
      <xdr:rowOff>143757</xdr:rowOff>
    </xdr:from>
    <xdr:to>
      <xdr:col>28</xdr:col>
      <xdr:colOff>312511</xdr:colOff>
      <xdr:row>14</xdr:row>
      <xdr:rowOff>199445</xdr:rowOff>
    </xdr:to>
    <xdr:cxnSp macro="">
      <xdr:nvCxnSpPr>
        <xdr:cNvPr id="1352" name="SCHEMA_T06_COND_0198">
          <a:extLst>
            <a:ext uri="{FF2B5EF4-FFF2-40B4-BE49-F238E27FC236}">
              <a16:creationId xmlns:a16="http://schemas.microsoft.com/office/drawing/2014/main" id="{AEC172DB-9628-393B-254F-72E976A1AD5E}"/>
            </a:ext>
          </a:extLst>
        </xdr:cNvPr>
        <xdr:cNvCxnSpPr/>
      </xdr:nvCxnSpPr>
      <xdr:spPr>
        <a:xfrm flipV="1">
          <a:off x="10785475" y="4443614"/>
          <a:ext cx="222250" cy="55688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317046</xdr:colOff>
      <xdr:row>14</xdr:row>
      <xdr:rowOff>221923</xdr:rowOff>
    </xdr:from>
    <xdr:to>
      <xdr:col>27</xdr:col>
      <xdr:colOff>203654</xdr:colOff>
      <xdr:row>15</xdr:row>
      <xdr:rowOff>90638</xdr:rowOff>
    </xdr:to>
    <xdr:cxnSp macro="">
      <xdr:nvCxnSpPr>
        <xdr:cNvPr id="1353" name="SCHEMA_T06_COND_0199">
          <a:extLst>
            <a:ext uri="{FF2B5EF4-FFF2-40B4-BE49-F238E27FC236}">
              <a16:creationId xmlns:a16="http://schemas.microsoft.com/office/drawing/2014/main" id="{8F75CA0B-1653-58AC-C8A9-7F7FA24C8187}"/>
            </a:ext>
          </a:extLst>
        </xdr:cNvPr>
        <xdr:cNvCxnSpPr/>
      </xdr:nvCxnSpPr>
      <xdr:spPr>
        <a:xfrm>
          <a:off x="10340975" y="4521780"/>
          <a:ext cx="222250" cy="113644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203654</xdr:colOff>
      <xdr:row>15</xdr:row>
      <xdr:rowOff>90638</xdr:rowOff>
    </xdr:from>
    <xdr:to>
      <xdr:col>28</xdr:col>
      <xdr:colOff>90261</xdr:colOff>
      <xdr:row>15</xdr:row>
      <xdr:rowOff>119616</xdr:rowOff>
    </xdr:to>
    <xdr:cxnSp macro="">
      <xdr:nvCxnSpPr>
        <xdr:cNvPr id="1354" name="SCHEMA_T06_COND_0200">
          <a:extLst>
            <a:ext uri="{FF2B5EF4-FFF2-40B4-BE49-F238E27FC236}">
              <a16:creationId xmlns:a16="http://schemas.microsoft.com/office/drawing/2014/main" id="{4FA775B9-28AD-4DDE-3203-14E8DF43A7E6}"/>
            </a:ext>
          </a:extLst>
        </xdr:cNvPr>
        <xdr:cNvCxnSpPr/>
      </xdr:nvCxnSpPr>
      <xdr:spPr>
        <a:xfrm>
          <a:off x="10563225" y="4635424"/>
          <a:ext cx="222250" cy="2897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90261</xdr:colOff>
      <xdr:row>15</xdr:row>
      <xdr:rowOff>63928</xdr:rowOff>
    </xdr:from>
    <xdr:to>
      <xdr:col>28</xdr:col>
      <xdr:colOff>312511</xdr:colOff>
      <xdr:row>15</xdr:row>
      <xdr:rowOff>119616</xdr:rowOff>
    </xdr:to>
    <xdr:cxnSp macro="">
      <xdr:nvCxnSpPr>
        <xdr:cNvPr id="1355" name="SCHEMA_T06_COND_0201">
          <a:extLst>
            <a:ext uri="{FF2B5EF4-FFF2-40B4-BE49-F238E27FC236}">
              <a16:creationId xmlns:a16="http://schemas.microsoft.com/office/drawing/2014/main" id="{26CBC814-3E82-B3C7-0FB8-69D940A6540B}"/>
            </a:ext>
          </a:extLst>
        </xdr:cNvPr>
        <xdr:cNvCxnSpPr/>
      </xdr:nvCxnSpPr>
      <xdr:spPr>
        <a:xfrm flipV="1">
          <a:off x="10785475" y="4608714"/>
          <a:ext cx="222250" cy="5568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317046</xdr:colOff>
      <xdr:row>15</xdr:row>
      <xdr:rowOff>78594</xdr:rowOff>
    </xdr:from>
    <xdr:to>
      <xdr:col>27</xdr:col>
      <xdr:colOff>203654</xdr:colOff>
      <xdr:row>15</xdr:row>
      <xdr:rowOff>192238</xdr:rowOff>
    </xdr:to>
    <xdr:cxnSp macro="">
      <xdr:nvCxnSpPr>
        <xdr:cNvPr id="1356" name="SCHEMA_T06_COND_0202">
          <a:extLst>
            <a:ext uri="{FF2B5EF4-FFF2-40B4-BE49-F238E27FC236}">
              <a16:creationId xmlns:a16="http://schemas.microsoft.com/office/drawing/2014/main" id="{4252F225-D6AB-61A0-57D3-68C917D8D5A2}"/>
            </a:ext>
          </a:extLst>
        </xdr:cNvPr>
        <xdr:cNvCxnSpPr/>
      </xdr:nvCxnSpPr>
      <xdr:spPr>
        <a:xfrm>
          <a:off x="10340975" y="4623380"/>
          <a:ext cx="222250" cy="113644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203654</xdr:colOff>
      <xdr:row>15</xdr:row>
      <xdr:rowOff>192238</xdr:rowOff>
    </xdr:from>
    <xdr:to>
      <xdr:col>28</xdr:col>
      <xdr:colOff>90261</xdr:colOff>
      <xdr:row>15</xdr:row>
      <xdr:rowOff>221216</xdr:rowOff>
    </xdr:to>
    <xdr:cxnSp macro="">
      <xdr:nvCxnSpPr>
        <xdr:cNvPr id="1357" name="SCHEMA_T06_COND_0203">
          <a:extLst>
            <a:ext uri="{FF2B5EF4-FFF2-40B4-BE49-F238E27FC236}">
              <a16:creationId xmlns:a16="http://schemas.microsoft.com/office/drawing/2014/main" id="{F263BF52-80EA-DC68-1C70-CC7B8EFAF268}"/>
            </a:ext>
          </a:extLst>
        </xdr:cNvPr>
        <xdr:cNvCxnSpPr/>
      </xdr:nvCxnSpPr>
      <xdr:spPr>
        <a:xfrm>
          <a:off x="10563225" y="4737024"/>
          <a:ext cx="222250" cy="2897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90261</xdr:colOff>
      <xdr:row>15</xdr:row>
      <xdr:rowOff>165528</xdr:rowOff>
    </xdr:from>
    <xdr:to>
      <xdr:col>28</xdr:col>
      <xdr:colOff>312511</xdr:colOff>
      <xdr:row>15</xdr:row>
      <xdr:rowOff>221216</xdr:rowOff>
    </xdr:to>
    <xdr:cxnSp macro="">
      <xdr:nvCxnSpPr>
        <xdr:cNvPr id="1358" name="SCHEMA_T06_COND_0204">
          <a:extLst>
            <a:ext uri="{FF2B5EF4-FFF2-40B4-BE49-F238E27FC236}">
              <a16:creationId xmlns:a16="http://schemas.microsoft.com/office/drawing/2014/main" id="{8EE16179-183C-3652-E59B-7A29A100971E}"/>
            </a:ext>
          </a:extLst>
        </xdr:cNvPr>
        <xdr:cNvCxnSpPr/>
      </xdr:nvCxnSpPr>
      <xdr:spPr>
        <a:xfrm flipV="1">
          <a:off x="10785475" y="4710314"/>
          <a:ext cx="222250" cy="55688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317046</xdr:colOff>
      <xdr:row>15</xdr:row>
      <xdr:rowOff>230994</xdr:rowOff>
    </xdr:from>
    <xdr:to>
      <xdr:col>27</xdr:col>
      <xdr:colOff>203654</xdr:colOff>
      <xdr:row>16</xdr:row>
      <xdr:rowOff>99710</xdr:rowOff>
    </xdr:to>
    <xdr:cxnSp macro="">
      <xdr:nvCxnSpPr>
        <xdr:cNvPr id="1359" name="SCHEMA_T06_COND_0205">
          <a:extLst>
            <a:ext uri="{FF2B5EF4-FFF2-40B4-BE49-F238E27FC236}">
              <a16:creationId xmlns:a16="http://schemas.microsoft.com/office/drawing/2014/main" id="{D1560B3A-196B-18E7-3A74-C8ED9F4DA1AB}"/>
            </a:ext>
          </a:extLst>
        </xdr:cNvPr>
        <xdr:cNvCxnSpPr/>
      </xdr:nvCxnSpPr>
      <xdr:spPr>
        <a:xfrm>
          <a:off x="10340975" y="4775780"/>
          <a:ext cx="222250" cy="113644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203654</xdr:colOff>
      <xdr:row>16</xdr:row>
      <xdr:rowOff>99710</xdr:rowOff>
    </xdr:from>
    <xdr:to>
      <xdr:col>28</xdr:col>
      <xdr:colOff>90261</xdr:colOff>
      <xdr:row>16</xdr:row>
      <xdr:rowOff>128688</xdr:rowOff>
    </xdr:to>
    <xdr:cxnSp macro="">
      <xdr:nvCxnSpPr>
        <xdr:cNvPr id="1360" name="SCHEMA_T06_COND_0206">
          <a:extLst>
            <a:ext uri="{FF2B5EF4-FFF2-40B4-BE49-F238E27FC236}">
              <a16:creationId xmlns:a16="http://schemas.microsoft.com/office/drawing/2014/main" id="{B0ADCA21-429D-6D2A-42DE-F9AAB97B0363}"/>
            </a:ext>
          </a:extLst>
        </xdr:cNvPr>
        <xdr:cNvCxnSpPr/>
      </xdr:nvCxnSpPr>
      <xdr:spPr>
        <a:xfrm>
          <a:off x="10563225" y="4889424"/>
          <a:ext cx="222250" cy="2897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90261</xdr:colOff>
      <xdr:row>16</xdr:row>
      <xdr:rowOff>73000</xdr:rowOff>
    </xdr:from>
    <xdr:to>
      <xdr:col>28</xdr:col>
      <xdr:colOff>312511</xdr:colOff>
      <xdr:row>16</xdr:row>
      <xdr:rowOff>128688</xdr:rowOff>
    </xdr:to>
    <xdr:cxnSp macro="">
      <xdr:nvCxnSpPr>
        <xdr:cNvPr id="1361" name="SCHEMA_T06_COND_0207">
          <a:extLst>
            <a:ext uri="{FF2B5EF4-FFF2-40B4-BE49-F238E27FC236}">
              <a16:creationId xmlns:a16="http://schemas.microsoft.com/office/drawing/2014/main" id="{4B1293AB-8EEE-B2BF-E315-FB8B057F47E8}"/>
            </a:ext>
          </a:extLst>
        </xdr:cNvPr>
        <xdr:cNvCxnSpPr/>
      </xdr:nvCxnSpPr>
      <xdr:spPr>
        <a:xfrm flipV="1">
          <a:off x="10785475" y="4862714"/>
          <a:ext cx="222250" cy="5568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317046</xdr:colOff>
      <xdr:row>16</xdr:row>
      <xdr:rowOff>87666</xdr:rowOff>
    </xdr:from>
    <xdr:to>
      <xdr:col>27</xdr:col>
      <xdr:colOff>203654</xdr:colOff>
      <xdr:row>16</xdr:row>
      <xdr:rowOff>201310</xdr:rowOff>
    </xdr:to>
    <xdr:cxnSp macro="">
      <xdr:nvCxnSpPr>
        <xdr:cNvPr id="1362" name="SCHEMA_T06_COND_0208">
          <a:extLst>
            <a:ext uri="{FF2B5EF4-FFF2-40B4-BE49-F238E27FC236}">
              <a16:creationId xmlns:a16="http://schemas.microsoft.com/office/drawing/2014/main" id="{95AD9AE3-AE38-96D6-687B-8B6BD490D610}"/>
            </a:ext>
          </a:extLst>
        </xdr:cNvPr>
        <xdr:cNvCxnSpPr/>
      </xdr:nvCxnSpPr>
      <xdr:spPr>
        <a:xfrm>
          <a:off x="10340975" y="4877380"/>
          <a:ext cx="222250" cy="113644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203654</xdr:colOff>
      <xdr:row>16</xdr:row>
      <xdr:rowOff>201310</xdr:rowOff>
    </xdr:from>
    <xdr:to>
      <xdr:col>28</xdr:col>
      <xdr:colOff>90261</xdr:colOff>
      <xdr:row>16</xdr:row>
      <xdr:rowOff>230288</xdr:rowOff>
    </xdr:to>
    <xdr:cxnSp macro="">
      <xdr:nvCxnSpPr>
        <xdr:cNvPr id="1363" name="SCHEMA_T06_COND_0209">
          <a:extLst>
            <a:ext uri="{FF2B5EF4-FFF2-40B4-BE49-F238E27FC236}">
              <a16:creationId xmlns:a16="http://schemas.microsoft.com/office/drawing/2014/main" id="{848FA593-4DAA-6393-0617-B4DF6D61C50D}"/>
            </a:ext>
          </a:extLst>
        </xdr:cNvPr>
        <xdr:cNvCxnSpPr/>
      </xdr:nvCxnSpPr>
      <xdr:spPr>
        <a:xfrm>
          <a:off x="10563225" y="4991024"/>
          <a:ext cx="222250" cy="2897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90261</xdr:colOff>
      <xdr:row>16</xdr:row>
      <xdr:rowOff>174600</xdr:rowOff>
    </xdr:from>
    <xdr:to>
      <xdr:col>28</xdr:col>
      <xdr:colOff>312511</xdr:colOff>
      <xdr:row>16</xdr:row>
      <xdr:rowOff>230288</xdr:rowOff>
    </xdr:to>
    <xdr:cxnSp macro="">
      <xdr:nvCxnSpPr>
        <xdr:cNvPr id="1364" name="SCHEMA_T06_COND_0210">
          <a:extLst>
            <a:ext uri="{FF2B5EF4-FFF2-40B4-BE49-F238E27FC236}">
              <a16:creationId xmlns:a16="http://schemas.microsoft.com/office/drawing/2014/main" id="{6DEC3C66-F2F2-7310-CC1D-75EDF0CF96C3}"/>
            </a:ext>
          </a:extLst>
        </xdr:cNvPr>
        <xdr:cNvCxnSpPr/>
      </xdr:nvCxnSpPr>
      <xdr:spPr>
        <a:xfrm flipV="1">
          <a:off x="10785475" y="4964314"/>
          <a:ext cx="222250" cy="55688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312511</xdr:colOff>
      <xdr:row>14</xdr:row>
      <xdr:rowOff>143757</xdr:rowOff>
    </xdr:from>
    <xdr:to>
      <xdr:col>29</xdr:col>
      <xdr:colOff>199118</xdr:colOff>
      <xdr:row>15</xdr:row>
      <xdr:rowOff>89494</xdr:rowOff>
    </xdr:to>
    <xdr:cxnSp macro="">
      <xdr:nvCxnSpPr>
        <xdr:cNvPr id="1365" name="SCHEMA_T06_COND_0211">
          <a:extLst>
            <a:ext uri="{FF2B5EF4-FFF2-40B4-BE49-F238E27FC236}">
              <a16:creationId xmlns:a16="http://schemas.microsoft.com/office/drawing/2014/main" id="{587C2567-984A-E57A-6348-74A136D07B23}"/>
            </a:ext>
          </a:extLst>
        </xdr:cNvPr>
        <xdr:cNvCxnSpPr/>
      </xdr:nvCxnSpPr>
      <xdr:spPr>
        <a:xfrm>
          <a:off x="11007725" y="4443614"/>
          <a:ext cx="222250" cy="190666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199118</xdr:colOff>
      <xdr:row>15</xdr:row>
      <xdr:rowOff>89494</xdr:rowOff>
    </xdr:from>
    <xdr:to>
      <xdr:col>30</xdr:col>
      <xdr:colOff>85725</xdr:colOff>
      <xdr:row>15</xdr:row>
      <xdr:rowOff>195493</xdr:rowOff>
    </xdr:to>
    <xdr:cxnSp macro="">
      <xdr:nvCxnSpPr>
        <xdr:cNvPr id="1366" name="SCHEMA_T06_COND_0212">
          <a:extLst>
            <a:ext uri="{FF2B5EF4-FFF2-40B4-BE49-F238E27FC236}">
              <a16:creationId xmlns:a16="http://schemas.microsoft.com/office/drawing/2014/main" id="{13EE8F83-8BE3-38D0-944F-9586882163B2}"/>
            </a:ext>
          </a:extLst>
        </xdr:cNvPr>
        <xdr:cNvCxnSpPr/>
      </xdr:nvCxnSpPr>
      <xdr:spPr>
        <a:xfrm>
          <a:off x="11229975" y="4634280"/>
          <a:ext cx="222250" cy="105999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85725</xdr:colOff>
      <xdr:row>15</xdr:row>
      <xdr:rowOff>195493</xdr:rowOff>
    </xdr:from>
    <xdr:to>
      <xdr:col>30</xdr:col>
      <xdr:colOff>307975</xdr:colOff>
      <xdr:row>15</xdr:row>
      <xdr:rowOff>216825</xdr:rowOff>
    </xdr:to>
    <xdr:cxnSp macro="">
      <xdr:nvCxnSpPr>
        <xdr:cNvPr id="1367" name="SCHEMA_T06_COND_0213">
          <a:extLst>
            <a:ext uri="{FF2B5EF4-FFF2-40B4-BE49-F238E27FC236}">
              <a16:creationId xmlns:a16="http://schemas.microsoft.com/office/drawing/2014/main" id="{F10AD3F6-6819-1041-C2F9-382CE5AC21AB}"/>
            </a:ext>
          </a:extLst>
        </xdr:cNvPr>
        <xdr:cNvCxnSpPr/>
      </xdr:nvCxnSpPr>
      <xdr:spPr>
        <a:xfrm>
          <a:off x="11452225" y="4740279"/>
          <a:ext cx="222250" cy="21332"/>
        </a:xfrm>
        <a:prstGeom prst="line">
          <a:avLst/>
        </a:prstGeom>
        <a:ln w="19050">
          <a:solidFill>
            <a:srgbClr val="00A65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312511</xdr:colOff>
      <xdr:row>15</xdr:row>
      <xdr:rowOff>63928</xdr:rowOff>
    </xdr:from>
    <xdr:to>
      <xdr:col>29</xdr:col>
      <xdr:colOff>199118</xdr:colOff>
      <xdr:row>16</xdr:row>
      <xdr:rowOff>9666</xdr:rowOff>
    </xdr:to>
    <xdr:cxnSp macro="">
      <xdr:nvCxnSpPr>
        <xdr:cNvPr id="1368" name="SCHEMA_T06_COND_0214">
          <a:extLst>
            <a:ext uri="{FF2B5EF4-FFF2-40B4-BE49-F238E27FC236}">
              <a16:creationId xmlns:a16="http://schemas.microsoft.com/office/drawing/2014/main" id="{C175DCA4-32BD-3DAD-1EEE-0F13988D4282}"/>
            </a:ext>
          </a:extLst>
        </xdr:cNvPr>
        <xdr:cNvCxnSpPr/>
      </xdr:nvCxnSpPr>
      <xdr:spPr>
        <a:xfrm>
          <a:off x="11007725" y="4608714"/>
          <a:ext cx="222250" cy="19066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199118</xdr:colOff>
      <xdr:row>16</xdr:row>
      <xdr:rowOff>9666</xdr:rowOff>
    </xdr:from>
    <xdr:to>
      <xdr:col>30</xdr:col>
      <xdr:colOff>85725</xdr:colOff>
      <xdr:row>16</xdr:row>
      <xdr:rowOff>115665</xdr:rowOff>
    </xdr:to>
    <xdr:cxnSp macro="">
      <xdr:nvCxnSpPr>
        <xdr:cNvPr id="1369" name="SCHEMA_T06_COND_0215">
          <a:extLst>
            <a:ext uri="{FF2B5EF4-FFF2-40B4-BE49-F238E27FC236}">
              <a16:creationId xmlns:a16="http://schemas.microsoft.com/office/drawing/2014/main" id="{21487515-767A-F3F8-FBBB-DD2C9B36B1E3}"/>
            </a:ext>
          </a:extLst>
        </xdr:cNvPr>
        <xdr:cNvCxnSpPr/>
      </xdr:nvCxnSpPr>
      <xdr:spPr>
        <a:xfrm>
          <a:off x="11229975" y="4799380"/>
          <a:ext cx="222250" cy="10599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85725</xdr:colOff>
      <xdr:row>16</xdr:row>
      <xdr:rowOff>115665</xdr:rowOff>
    </xdr:from>
    <xdr:to>
      <xdr:col>30</xdr:col>
      <xdr:colOff>307975</xdr:colOff>
      <xdr:row>16</xdr:row>
      <xdr:rowOff>136997</xdr:rowOff>
    </xdr:to>
    <xdr:cxnSp macro="">
      <xdr:nvCxnSpPr>
        <xdr:cNvPr id="1370" name="SCHEMA_T06_COND_0216">
          <a:extLst>
            <a:ext uri="{FF2B5EF4-FFF2-40B4-BE49-F238E27FC236}">
              <a16:creationId xmlns:a16="http://schemas.microsoft.com/office/drawing/2014/main" id="{4B050F88-262D-F0C2-8295-A7B41FC92B86}"/>
            </a:ext>
          </a:extLst>
        </xdr:cNvPr>
        <xdr:cNvCxnSpPr/>
      </xdr:nvCxnSpPr>
      <xdr:spPr>
        <a:xfrm>
          <a:off x="11452225" y="4905379"/>
          <a:ext cx="222250" cy="2133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312511</xdr:colOff>
      <xdr:row>15</xdr:row>
      <xdr:rowOff>165528</xdr:rowOff>
    </xdr:from>
    <xdr:to>
      <xdr:col>29</xdr:col>
      <xdr:colOff>199118</xdr:colOff>
      <xdr:row>16</xdr:row>
      <xdr:rowOff>111266</xdr:rowOff>
    </xdr:to>
    <xdr:cxnSp macro="">
      <xdr:nvCxnSpPr>
        <xdr:cNvPr id="1371" name="SCHEMA_T06_COND_0217">
          <a:extLst>
            <a:ext uri="{FF2B5EF4-FFF2-40B4-BE49-F238E27FC236}">
              <a16:creationId xmlns:a16="http://schemas.microsoft.com/office/drawing/2014/main" id="{7FC5C321-56A7-8818-A2C8-511102E19277}"/>
            </a:ext>
          </a:extLst>
        </xdr:cNvPr>
        <xdr:cNvCxnSpPr/>
      </xdr:nvCxnSpPr>
      <xdr:spPr>
        <a:xfrm>
          <a:off x="11007725" y="4710314"/>
          <a:ext cx="222250" cy="190666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199118</xdr:colOff>
      <xdr:row>16</xdr:row>
      <xdr:rowOff>111266</xdr:rowOff>
    </xdr:from>
    <xdr:to>
      <xdr:col>30</xdr:col>
      <xdr:colOff>85725</xdr:colOff>
      <xdr:row>16</xdr:row>
      <xdr:rowOff>217265</xdr:rowOff>
    </xdr:to>
    <xdr:cxnSp macro="">
      <xdr:nvCxnSpPr>
        <xdr:cNvPr id="1372" name="SCHEMA_T06_COND_0218">
          <a:extLst>
            <a:ext uri="{FF2B5EF4-FFF2-40B4-BE49-F238E27FC236}">
              <a16:creationId xmlns:a16="http://schemas.microsoft.com/office/drawing/2014/main" id="{FA00ACFE-B17B-5EA8-481E-8BDA24E9E7B0}"/>
            </a:ext>
          </a:extLst>
        </xdr:cNvPr>
        <xdr:cNvCxnSpPr/>
      </xdr:nvCxnSpPr>
      <xdr:spPr>
        <a:xfrm>
          <a:off x="11229975" y="4900980"/>
          <a:ext cx="222250" cy="105999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85725</xdr:colOff>
      <xdr:row>16</xdr:row>
      <xdr:rowOff>217265</xdr:rowOff>
    </xdr:from>
    <xdr:to>
      <xdr:col>30</xdr:col>
      <xdr:colOff>307975</xdr:colOff>
      <xdr:row>16</xdr:row>
      <xdr:rowOff>238597</xdr:rowOff>
    </xdr:to>
    <xdr:cxnSp macro="">
      <xdr:nvCxnSpPr>
        <xdr:cNvPr id="1373" name="SCHEMA_T06_COND_0219">
          <a:extLst>
            <a:ext uri="{FF2B5EF4-FFF2-40B4-BE49-F238E27FC236}">
              <a16:creationId xmlns:a16="http://schemas.microsoft.com/office/drawing/2014/main" id="{25E13939-6691-84C8-791A-5C85B0FAEF23}"/>
            </a:ext>
          </a:extLst>
        </xdr:cNvPr>
        <xdr:cNvCxnSpPr/>
      </xdr:nvCxnSpPr>
      <xdr:spPr>
        <a:xfrm>
          <a:off x="11452225" y="5006979"/>
          <a:ext cx="222250" cy="21332"/>
        </a:xfrm>
        <a:prstGeom prst="line">
          <a:avLst/>
        </a:prstGeom>
        <a:ln w="11430">
          <a:solidFill>
            <a:srgbClr val="ED1C2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312511</xdr:colOff>
      <xdr:row>16</xdr:row>
      <xdr:rowOff>73000</xdr:rowOff>
    </xdr:from>
    <xdr:to>
      <xdr:col>29</xdr:col>
      <xdr:colOff>199118</xdr:colOff>
      <xdr:row>17</xdr:row>
      <xdr:rowOff>18737</xdr:rowOff>
    </xdr:to>
    <xdr:cxnSp macro="">
      <xdr:nvCxnSpPr>
        <xdr:cNvPr id="1374" name="SCHEMA_T06_COND_0220">
          <a:extLst>
            <a:ext uri="{FF2B5EF4-FFF2-40B4-BE49-F238E27FC236}">
              <a16:creationId xmlns:a16="http://schemas.microsoft.com/office/drawing/2014/main" id="{993A2EA4-68F6-6A5B-1193-909842AB87CC}"/>
            </a:ext>
          </a:extLst>
        </xdr:cNvPr>
        <xdr:cNvCxnSpPr/>
      </xdr:nvCxnSpPr>
      <xdr:spPr>
        <a:xfrm>
          <a:off x="11007725" y="4862714"/>
          <a:ext cx="222250" cy="19066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199118</xdr:colOff>
      <xdr:row>17</xdr:row>
      <xdr:rowOff>18737</xdr:rowOff>
    </xdr:from>
    <xdr:to>
      <xdr:col>30</xdr:col>
      <xdr:colOff>85725</xdr:colOff>
      <xdr:row>17</xdr:row>
      <xdr:rowOff>124736</xdr:rowOff>
    </xdr:to>
    <xdr:cxnSp macro="">
      <xdr:nvCxnSpPr>
        <xdr:cNvPr id="1375" name="SCHEMA_T06_COND_0221">
          <a:extLst>
            <a:ext uri="{FF2B5EF4-FFF2-40B4-BE49-F238E27FC236}">
              <a16:creationId xmlns:a16="http://schemas.microsoft.com/office/drawing/2014/main" id="{29D44F30-3D1E-9D5A-C2EF-8B69B3CC8AF8}"/>
            </a:ext>
          </a:extLst>
        </xdr:cNvPr>
        <xdr:cNvCxnSpPr/>
      </xdr:nvCxnSpPr>
      <xdr:spPr>
        <a:xfrm>
          <a:off x="11229975" y="5053380"/>
          <a:ext cx="222250" cy="10599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85725</xdr:colOff>
      <xdr:row>17</xdr:row>
      <xdr:rowOff>124736</xdr:rowOff>
    </xdr:from>
    <xdr:to>
      <xdr:col>30</xdr:col>
      <xdr:colOff>307975</xdr:colOff>
      <xdr:row>17</xdr:row>
      <xdr:rowOff>146068</xdr:rowOff>
    </xdr:to>
    <xdr:cxnSp macro="">
      <xdr:nvCxnSpPr>
        <xdr:cNvPr id="1376" name="SCHEMA_T06_COND_0222">
          <a:extLst>
            <a:ext uri="{FF2B5EF4-FFF2-40B4-BE49-F238E27FC236}">
              <a16:creationId xmlns:a16="http://schemas.microsoft.com/office/drawing/2014/main" id="{83F469CB-C9C4-55FF-CAC9-2C14CACDE64A}"/>
            </a:ext>
          </a:extLst>
        </xdr:cNvPr>
        <xdr:cNvCxnSpPr/>
      </xdr:nvCxnSpPr>
      <xdr:spPr>
        <a:xfrm>
          <a:off x="11452225" y="5159379"/>
          <a:ext cx="222250" cy="2133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312511</xdr:colOff>
      <xdr:row>16</xdr:row>
      <xdr:rowOff>174600</xdr:rowOff>
    </xdr:from>
    <xdr:to>
      <xdr:col>29</xdr:col>
      <xdr:colOff>199118</xdr:colOff>
      <xdr:row>17</xdr:row>
      <xdr:rowOff>120337</xdr:rowOff>
    </xdr:to>
    <xdr:cxnSp macro="">
      <xdr:nvCxnSpPr>
        <xdr:cNvPr id="1377" name="SCHEMA_T06_COND_0223">
          <a:extLst>
            <a:ext uri="{FF2B5EF4-FFF2-40B4-BE49-F238E27FC236}">
              <a16:creationId xmlns:a16="http://schemas.microsoft.com/office/drawing/2014/main" id="{A3AE6675-E4C8-CE5D-59B7-814F8C28DDBE}"/>
            </a:ext>
          </a:extLst>
        </xdr:cNvPr>
        <xdr:cNvCxnSpPr/>
      </xdr:nvCxnSpPr>
      <xdr:spPr>
        <a:xfrm>
          <a:off x="11007725" y="4964314"/>
          <a:ext cx="222250" cy="190666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199118</xdr:colOff>
      <xdr:row>17</xdr:row>
      <xdr:rowOff>120337</xdr:rowOff>
    </xdr:from>
    <xdr:to>
      <xdr:col>30</xdr:col>
      <xdr:colOff>85725</xdr:colOff>
      <xdr:row>17</xdr:row>
      <xdr:rowOff>226336</xdr:rowOff>
    </xdr:to>
    <xdr:cxnSp macro="">
      <xdr:nvCxnSpPr>
        <xdr:cNvPr id="1378" name="SCHEMA_T06_COND_0224">
          <a:extLst>
            <a:ext uri="{FF2B5EF4-FFF2-40B4-BE49-F238E27FC236}">
              <a16:creationId xmlns:a16="http://schemas.microsoft.com/office/drawing/2014/main" id="{4D51CF9E-937D-BBE5-D834-26626AC1E5B6}"/>
            </a:ext>
          </a:extLst>
        </xdr:cNvPr>
        <xdr:cNvCxnSpPr/>
      </xdr:nvCxnSpPr>
      <xdr:spPr>
        <a:xfrm>
          <a:off x="11229975" y="5154980"/>
          <a:ext cx="222250" cy="105999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85725</xdr:colOff>
      <xdr:row>17</xdr:row>
      <xdr:rowOff>226336</xdr:rowOff>
    </xdr:from>
    <xdr:to>
      <xdr:col>30</xdr:col>
      <xdr:colOff>307975</xdr:colOff>
      <xdr:row>18</xdr:row>
      <xdr:rowOff>2740</xdr:rowOff>
    </xdr:to>
    <xdr:cxnSp macro="">
      <xdr:nvCxnSpPr>
        <xdr:cNvPr id="1379" name="SCHEMA_T06_COND_0225">
          <a:extLst>
            <a:ext uri="{FF2B5EF4-FFF2-40B4-BE49-F238E27FC236}">
              <a16:creationId xmlns:a16="http://schemas.microsoft.com/office/drawing/2014/main" id="{94D3F6FA-F0A2-D39E-C3D0-9DFF419D0E11}"/>
            </a:ext>
          </a:extLst>
        </xdr:cNvPr>
        <xdr:cNvCxnSpPr/>
      </xdr:nvCxnSpPr>
      <xdr:spPr>
        <a:xfrm>
          <a:off x="11452225" y="5260979"/>
          <a:ext cx="222250" cy="21332"/>
        </a:xfrm>
        <a:prstGeom prst="line">
          <a:avLst/>
        </a:prstGeom>
        <a:ln w="11430">
          <a:solidFill>
            <a:srgbClr val="315A9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124732</xdr:colOff>
      <xdr:row>24</xdr:row>
      <xdr:rowOff>146957</xdr:rowOff>
    </xdr:from>
    <xdr:to>
      <xdr:col>32</xdr:col>
      <xdr:colOff>43089</xdr:colOff>
      <xdr:row>25</xdr:row>
      <xdr:rowOff>29029</xdr:rowOff>
    </xdr:to>
    <xdr:sp macro="" textlink="">
      <xdr:nvSpPr>
        <xdr:cNvPr id="1380" name="SCHEMA_T06_FRENO_CORPO">
          <a:extLst>
            <a:ext uri="{FF2B5EF4-FFF2-40B4-BE49-F238E27FC236}">
              <a16:creationId xmlns:a16="http://schemas.microsoft.com/office/drawing/2014/main" id="{85717A98-10B9-1714-B5E4-B2E41EC2533C}"/>
            </a:ext>
          </a:extLst>
        </xdr:cNvPr>
        <xdr:cNvSpPr/>
      </xdr:nvSpPr>
      <xdr:spPr>
        <a:xfrm>
          <a:off x="11826875" y="6896100"/>
          <a:ext cx="254000" cy="127000"/>
        </a:xfrm>
        <a:prstGeom prst="rect">
          <a:avLst/>
        </a:prstGeom>
        <a:solidFill>
          <a:srgbClr val="003F87">
            <a:alpha val="90000"/>
          </a:srgbClr>
        </a:solidFill>
        <a:ln w="17780">
          <a:solidFill>
            <a:srgbClr val="003F8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31</xdr:col>
      <xdr:colOff>137432</xdr:colOff>
      <xdr:row>25</xdr:row>
      <xdr:rowOff>3629</xdr:rowOff>
    </xdr:from>
    <xdr:to>
      <xdr:col>31</xdr:col>
      <xdr:colOff>213632</xdr:colOff>
      <xdr:row>25</xdr:row>
      <xdr:rowOff>79829</xdr:rowOff>
    </xdr:to>
    <xdr:sp macro="" textlink="">
      <xdr:nvSpPr>
        <xdr:cNvPr id="1381" name="SCHEMA_T06_FRENO_RUOTA_1">
          <a:extLst>
            <a:ext uri="{FF2B5EF4-FFF2-40B4-BE49-F238E27FC236}">
              <a16:creationId xmlns:a16="http://schemas.microsoft.com/office/drawing/2014/main" id="{B961F9F2-6EC3-D03E-6D27-9463A1300C4A}"/>
            </a:ext>
          </a:extLst>
        </xdr:cNvPr>
        <xdr:cNvSpPr/>
      </xdr:nvSpPr>
      <xdr:spPr>
        <a:xfrm>
          <a:off x="11839575" y="6997700"/>
          <a:ext cx="76200" cy="76200"/>
        </a:xfrm>
        <a:prstGeom prst="ellipse">
          <a:avLst/>
        </a:prstGeom>
        <a:solidFill>
          <a:srgbClr val="FFFFFF"/>
        </a:solidFill>
        <a:ln w="15240">
          <a:solidFill>
            <a:srgbClr val="003F8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31</xdr:col>
      <xdr:colOff>289832</xdr:colOff>
      <xdr:row>25</xdr:row>
      <xdr:rowOff>3629</xdr:rowOff>
    </xdr:from>
    <xdr:to>
      <xdr:col>32</xdr:col>
      <xdr:colOff>30389</xdr:colOff>
      <xdr:row>25</xdr:row>
      <xdr:rowOff>79829</xdr:rowOff>
    </xdr:to>
    <xdr:sp macro="" textlink="">
      <xdr:nvSpPr>
        <xdr:cNvPr id="1382" name="SCHEMA_T06_FRENO_RUOTA_2">
          <a:extLst>
            <a:ext uri="{FF2B5EF4-FFF2-40B4-BE49-F238E27FC236}">
              <a16:creationId xmlns:a16="http://schemas.microsoft.com/office/drawing/2014/main" id="{18ACD7C2-815A-CFE8-ACA0-F78076AAEFF4}"/>
            </a:ext>
          </a:extLst>
        </xdr:cNvPr>
        <xdr:cNvSpPr/>
      </xdr:nvSpPr>
      <xdr:spPr>
        <a:xfrm>
          <a:off x="11991975" y="6997700"/>
          <a:ext cx="76200" cy="76200"/>
        </a:xfrm>
        <a:prstGeom prst="ellipse">
          <a:avLst/>
        </a:prstGeom>
        <a:solidFill>
          <a:srgbClr val="FFFFFF"/>
        </a:solidFill>
        <a:ln w="15240">
          <a:solidFill>
            <a:srgbClr val="003F8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30</xdr:col>
      <xdr:colOff>307975</xdr:colOff>
      <xdr:row>24</xdr:row>
      <xdr:rowOff>210457</xdr:rowOff>
    </xdr:from>
    <xdr:to>
      <xdr:col>31</xdr:col>
      <xdr:colOff>124732</xdr:colOff>
      <xdr:row>25</xdr:row>
      <xdr:rowOff>67129</xdr:rowOff>
    </xdr:to>
    <xdr:cxnSp macro="">
      <xdr:nvCxnSpPr>
        <xdr:cNvPr id="1383" name="SCHEMA_T06_FRENO_COLLEGAMENTO">
          <a:extLst>
            <a:ext uri="{FF2B5EF4-FFF2-40B4-BE49-F238E27FC236}">
              <a16:creationId xmlns:a16="http://schemas.microsoft.com/office/drawing/2014/main" id="{E1204C94-BD42-4DC3-1241-140BEB88B194}"/>
            </a:ext>
          </a:extLst>
        </xdr:cNvPr>
        <xdr:cNvCxnSpPr/>
      </xdr:nvCxnSpPr>
      <xdr:spPr>
        <a:xfrm flipV="1">
          <a:off x="11674475" y="6959600"/>
          <a:ext cx="152400" cy="101600"/>
        </a:xfrm>
        <a:prstGeom prst="line">
          <a:avLst/>
        </a:prstGeom>
        <a:ln w="15240">
          <a:solidFill>
            <a:srgbClr val="003F87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269875</xdr:colOff>
      <xdr:row>23</xdr:row>
      <xdr:rowOff>226786</xdr:rowOff>
    </xdr:from>
    <xdr:to>
      <xdr:col>32</xdr:col>
      <xdr:colOff>233589</xdr:colOff>
      <xdr:row>24</xdr:row>
      <xdr:rowOff>121557</xdr:rowOff>
    </xdr:to>
    <xdr:sp macro="" textlink="">
      <xdr:nvSpPr>
        <xdr:cNvPr id="1384" name="SCHEMA_T06_FRENO_LBL">
          <a:extLst>
            <a:ext uri="{FF2B5EF4-FFF2-40B4-BE49-F238E27FC236}">
              <a16:creationId xmlns:a16="http://schemas.microsoft.com/office/drawing/2014/main" id="{51338003-5B1A-A36D-5CEC-6CA71656BC98}"/>
            </a:ext>
          </a:extLst>
        </xdr:cNvPr>
        <xdr:cNvSpPr txBox="1"/>
      </xdr:nvSpPr>
      <xdr:spPr>
        <a:xfrm>
          <a:off x="11636375" y="6731000"/>
          <a:ext cx="635000" cy="139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s-ES" sz="650" b="1">
              <a:solidFill>
                <a:srgbClr val="003F87"/>
              </a:solidFill>
            </a:rPr>
            <a:t>FRENO</a:t>
          </a:r>
        </a:p>
      </xdr:txBody>
    </xdr:sp>
    <xdr:clientData/>
  </xdr:twoCellAnchor>
  <xdr:twoCellAnchor>
    <xdr:from>
      <xdr:col>0</xdr:col>
      <xdr:colOff>1266825</xdr:colOff>
      <xdr:row>24</xdr:row>
      <xdr:rowOff>146957</xdr:rowOff>
    </xdr:from>
    <xdr:to>
      <xdr:col>0</xdr:col>
      <xdr:colOff>1520825</xdr:colOff>
      <xdr:row>25</xdr:row>
      <xdr:rowOff>29029</xdr:rowOff>
    </xdr:to>
    <xdr:sp macro="" textlink="">
      <xdr:nvSpPr>
        <xdr:cNvPr id="1385" name="SCHEMA_T06_ARGANO_CORPO">
          <a:extLst>
            <a:ext uri="{FF2B5EF4-FFF2-40B4-BE49-F238E27FC236}">
              <a16:creationId xmlns:a16="http://schemas.microsoft.com/office/drawing/2014/main" id="{3438C831-4D24-BDBF-BCAB-41AD35F7CC78}"/>
            </a:ext>
          </a:extLst>
        </xdr:cNvPr>
        <xdr:cNvSpPr/>
      </xdr:nvSpPr>
      <xdr:spPr>
        <a:xfrm>
          <a:off x="1266825" y="6896100"/>
          <a:ext cx="254000" cy="127000"/>
        </a:xfrm>
        <a:prstGeom prst="rect">
          <a:avLst/>
        </a:prstGeom>
        <a:solidFill>
          <a:srgbClr val="F47C00">
            <a:alpha val="90000"/>
          </a:srgbClr>
        </a:solidFill>
        <a:ln w="17780"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1279525</xdr:colOff>
      <xdr:row>25</xdr:row>
      <xdr:rowOff>3629</xdr:rowOff>
    </xdr:from>
    <xdr:to>
      <xdr:col>0</xdr:col>
      <xdr:colOff>1355725</xdr:colOff>
      <xdr:row>25</xdr:row>
      <xdr:rowOff>79829</xdr:rowOff>
    </xdr:to>
    <xdr:sp macro="" textlink="">
      <xdr:nvSpPr>
        <xdr:cNvPr id="1386" name="SCHEMA_T06_ARGANO_RUOTA_1">
          <a:extLst>
            <a:ext uri="{FF2B5EF4-FFF2-40B4-BE49-F238E27FC236}">
              <a16:creationId xmlns:a16="http://schemas.microsoft.com/office/drawing/2014/main" id="{30A65B53-128F-874A-B7CB-D49DE7212F21}"/>
            </a:ext>
          </a:extLst>
        </xdr:cNvPr>
        <xdr:cNvSpPr/>
      </xdr:nvSpPr>
      <xdr:spPr>
        <a:xfrm>
          <a:off x="1279525" y="6997700"/>
          <a:ext cx="76200" cy="76200"/>
        </a:xfrm>
        <a:prstGeom prst="ellipse">
          <a:avLst/>
        </a:prstGeom>
        <a:solidFill>
          <a:srgbClr val="FFFFFF"/>
        </a:solidFill>
        <a:ln w="15240"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1431925</xdr:colOff>
      <xdr:row>25</xdr:row>
      <xdr:rowOff>3629</xdr:rowOff>
    </xdr:from>
    <xdr:to>
      <xdr:col>0</xdr:col>
      <xdr:colOff>1508125</xdr:colOff>
      <xdr:row>25</xdr:row>
      <xdr:rowOff>79829</xdr:rowOff>
    </xdr:to>
    <xdr:sp macro="" textlink="">
      <xdr:nvSpPr>
        <xdr:cNvPr id="1387" name="SCHEMA_T06_ARGANO_RUOTA_2">
          <a:extLst>
            <a:ext uri="{FF2B5EF4-FFF2-40B4-BE49-F238E27FC236}">
              <a16:creationId xmlns:a16="http://schemas.microsoft.com/office/drawing/2014/main" id="{7EC95533-3493-B033-A903-A6FA4AA505B7}"/>
            </a:ext>
          </a:extLst>
        </xdr:cNvPr>
        <xdr:cNvSpPr/>
      </xdr:nvSpPr>
      <xdr:spPr>
        <a:xfrm>
          <a:off x="1431925" y="6997700"/>
          <a:ext cx="76200" cy="76200"/>
        </a:xfrm>
        <a:prstGeom prst="ellipse">
          <a:avLst/>
        </a:prstGeom>
        <a:solidFill>
          <a:srgbClr val="FFFFFF"/>
        </a:solidFill>
        <a:ln w="15240">
          <a:solidFill>
            <a:srgbClr val="F47C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1520825</xdr:colOff>
      <xdr:row>24</xdr:row>
      <xdr:rowOff>210457</xdr:rowOff>
    </xdr:from>
    <xdr:to>
      <xdr:col>1</xdr:col>
      <xdr:colOff>40368</xdr:colOff>
      <xdr:row>25</xdr:row>
      <xdr:rowOff>67129</xdr:rowOff>
    </xdr:to>
    <xdr:cxnSp macro="">
      <xdr:nvCxnSpPr>
        <xdr:cNvPr id="1388" name="SCHEMA_T06_ARGANO_COLLEGAMENTO">
          <a:extLst>
            <a:ext uri="{FF2B5EF4-FFF2-40B4-BE49-F238E27FC236}">
              <a16:creationId xmlns:a16="http://schemas.microsoft.com/office/drawing/2014/main" id="{D5C789E9-0573-1561-DC78-8D247F15F11B}"/>
            </a:ext>
          </a:extLst>
        </xdr:cNvPr>
        <xdr:cNvCxnSpPr/>
      </xdr:nvCxnSpPr>
      <xdr:spPr>
        <a:xfrm flipH="1" flipV="1">
          <a:off x="1520825" y="6959600"/>
          <a:ext cx="152400" cy="101600"/>
        </a:xfrm>
        <a:prstGeom prst="line">
          <a:avLst/>
        </a:prstGeom>
        <a:ln w="15240">
          <a:solidFill>
            <a:srgbClr val="F47C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1076325</xdr:colOff>
      <xdr:row>23</xdr:row>
      <xdr:rowOff>226786</xdr:rowOff>
    </xdr:from>
    <xdr:to>
      <xdr:col>1</xdr:col>
      <xdr:colOff>78468</xdr:colOff>
      <xdr:row>24</xdr:row>
      <xdr:rowOff>121557</xdr:rowOff>
    </xdr:to>
    <xdr:sp macro="" textlink="">
      <xdr:nvSpPr>
        <xdr:cNvPr id="1389" name="SCHEMA_T06_ARGANO_LBL">
          <a:extLst>
            <a:ext uri="{FF2B5EF4-FFF2-40B4-BE49-F238E27FC236}">
              <a16:creationId xmlns:a16="http://schemas.microsoft.com/office/drawing/2014/main" id="{817054A8-0051-DCFB-70E8-2328CCA8DC51}"/>
            </a:ext>
          </a:extLst>
        </xdr:cNvPr>
        <xdr:cNvSpPr txBox="1"/>
      </xdr:nvSpPr>
      <xdr:spPr>
        <a:xfrm>
          <a:off x="1076325" y="6731000"/>
          <a:ext cx="635000" cy="139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s-ES" sz="650" b="1">
              <a:solidFill>
                <a:srgbClr val="F47C00"/>
              </a:solidFill>
            </a:rPr>
            <a:t>ARGANO</a:t>
          </a:r>
        </a:p>
      </xdr:txBody>
    </xdr:sp>
    <xdr:clientData/>
  </xdr:twoCellAnchor>
  <xdr:twoCellAnchor>
    <xdr:from>
      <xdr:col>1</xdr:col>
      <xdr:colOff>40368</xdr:colOff>
      <xdr:row>25</xdr:row>
      <xdr:rowOff>117929</xdr:rowOff>
    </xdr:from>
    <xdr:to>
      <xdr:col>1</xdr:col>
      <xdr:colOff>40368</xdr:colOff>
      <xdr:row>25</xdr:row>
      <xdr:rowOff>194129</xdr:rowOff>
    </xdr:to>
    <xdr:cxnSp macro="">
      <xdr:nvCxnSpPr>
        <xdr:cNvPr id="1390" name="SCHEMA_T06_TERRA_01_V">
          <a:extLst>
            <a:ext uri="{FF2B5EF4-FFF2-40B4-BE49-F238E27FC236}">
              <a16:creationId xmlns:a16="http://schemas.microsoft.com/office/drawing/2014/main" id="{948FC1BC-E822-6962-D61E-1E3A7E5BD0EE}"/>
            </a:ext>
          </a:extLst>
        </xdr:cNvPr>
        <xdr:cNvCxnSpPr/>
      </xdr:nvCxnSpPr>
      <xdr:spPr>
        <a:xfrm>
          <a:off x="1673225" y="7112000"/>
          <a:ext cx="0" cy="7620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1609725</xdr:colOff>
      <xdr:row>25</xdr:row>
      <xdr:rowOff>194129</xdr:rowOff>
    </xdr:from>
    <xdr:to>
      <xdr:col>1</xdr:col>
      <xdr:colOff>103868</xdr:colOff>
      <xdr:row>25</xdr:row>
      <xdr:rowOff>194129</xdr:rowOff>
    </xdr:to>
    <xdr:cxnSp macro="">
      <xdr:nvCxnSpPr>
        <xdr:cNvPr id="1391" name="SCHEMA_T06_TERRA_01_1">
          <a:extLst>
            <a:ext uri="{FF2B5EF4-FFF2-40B4-BE49-F238E27FC236}">
              <a16:creationId xmlns:a16="http://schemas.microsoft.com/office/drawing/2014/main" id="{B9A13178-297F-291C-2B8D-779C350E7356}"/>
            </a:ext>
          </a:extLst>
        </xdr:cNvPr>
        <xdr:cNvCxnSpPr/>
      </xdr:nvCxnSpPr>
      <xdr:spPr>
        <a:xfrm>
          <a:off x="1609725" y="7188200"/>
          <a:ext cx="1270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1628775</xdr:colOff>
      <xdr:row>25</xdr:row>
      <xdr:rowOff>222069</xdr:rowOff>
    </xdr:from>
    <xdr:to>
      <xdr:col>1</xdr:col>
      <xdr:colOff>84818</xdr:colOff>
      <xdr:row>25</xdr:row>
      <xdr:rowOff>222069</xdr:rowOff>
    </xdr:to>
    <xdr:cxnSp macro="">
      <xdr:nvCxnSpPr>
        <xdr:cNvPr id="1392" name="SCHEMA_T06_TERRA_01_2">
          <a:extLst>
            <a:ext uri="{FF2B5EF4-FFF2-40B4-BE49-F238E27FC236}">
              <a16:creationId xmlns:a16="http://schemas.microsoft.com/office/drawing/2014/main" id="{88947E2C-B1CC-4512-3F92-34DE7568FBE6}"/>
            </a:ext>
          </a:extLst>
        </xdr:cNvPr>
        <xdr:cNvCxnSpPr/>
      </xdr:nvCxnSpPr>
      <xdr:spPr>
        <a:xfrm>
          <a:off x="1628775" y="7216140"/>
          <a:ext cx="889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14968</xdr:colOff>
      <xdr:row>26</xdr:row>
      <xdr:rowOff>5080</xdr:rowOff>
    </xdr:from>
    <xdr:to>
      <xdr:col>1</xdr:col>
      <xdr:colOff>65768</xdr:colOff>
      <xdr:row>26</xdr:row>
      <xdr:rowOff>5080</xdr:rowOff>
    </xdr:to>
    <xdr:cxnSp macro="">
      <xdr:nvCxnSpPr>
        <xdr:cNvPr id="1393" name="SCHEMA_T06_TERRA_01_3">
          <a:extLst>
            <a:ext uri="{FF2B5EF4-FFF2-40B4-BE49-F238E27FC236}">
              <a16:creationId xmlns:a16="http://schemas.microsoft.com/office/drawing/2014/main" id="{14459E73-40E3-92DD-E99F-EF7CC4BF73ED}"/>
            </a:ext>
          </a:extLst>
        </xdr:cNvPr>
        <xdr:cNvCxnSpPr/>
      </xdr:nvCxnSpPr>
      <xdr:spPr>
        <a:xfrm>
          <a:off x="1647825" y="7244080"/>
          <a:ext cx="508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22225</xdr:colOff>
      <xdr:row>25</xdr:row>
      <xdr:rowOff>117929</xdr:rowOff>
    </xdr:from>
    <xdr:to>
      <xdr:col>9</xdr:col>
      <xdr:colOff>22225</xdr:colOff>
      <xdr:row>25</xdr:row>
      <xdr:rowOff>194129</xdr:rowOff>
    </xdr:to>
    <xdr:cxnSp macro="">
      <xdr:nvCxnSpPr>
        <xdr:cNvPr id="1394" name="SCHEMA_T06_TERRA_05_V">
          <a:extLst>
            <a:ext uri="{FF2B5EF4-FFF2-40B4-BE49-F238E27FC236}">
              <a16:creationId xmlns:a16="http://schemas.microsoft.com/office/drawing/2014/main" id="{CF3285DA-9523-53F1-470D-E520CA60CB9E}"/>
            </a:ext>
          </a:extLst>
        </xdr:cNvPr>
        <xdr:cNvCxnSpPr/>
      </xdr:nvCxnSpPr>
      <xdr:spPr>
        <a:xfrm>
          <a:off x="4340225" y="7112000"/>
          <a:ext cx="0" cy="7620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294368</xdr:colOff>
      <xdr:row>25</xdr:row>
      <xdr:rowOff>194129</xdr:rowOff>
    </xdr:from>
    <xdr:to>
      <xdr:col>9</xdr:col>
      <xdr:colOff>85725</xdr:colOff>
      <xdr:row>25</xdr:row>
      <xdr:rowOff>194129</xdr:rowOff>
    </xdr:to>
    <xdr:cxnSp macro="">
      <xdr:nvCxnSpPr>
        <xdr:cNvPr id="1395" name="SCHEMA_T06_TERRA_05_1">
          <a:extLst>
            <a:ext uri="{FF2B5EF4-FFF2-40B4-BE49-F238E27FC236}">
              <a16:creationId xmlns:a16="http://schemas.microsoft.com/office/drawing/2014/main" id="{374CC131-9FCF-64CD-2E19-B429D7D4F149}"/>
            </a:ext>
          </a:extLst>
        </xdr:cNvPr>
        <xdr:cNvCxnSpPr/>
      </xdr:nvCxnSpPr>
      <xdr:spPr>
        <a:xfrm>
          <a:off x="4276725" y="7188200"/>
          <a:ext cx="1270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313418</xdr:colOff>
      <xdr:row>25</xdr:row>
      <xdr:rowOff>222069</xdr:rowOff>
    </xdr:from>
    <xdr:to>
      <xdr:col>9</xdr:col>
      <xdr:colOff>66675</xdr:colOff>
      <xdr:row>25</xdr:row>
      <xdr:rowOff>222069</xdr:rowOff>
    </xdr:to>
    <xdr:cxnSp macro="">
      <xdr:nvCxnSpPr>
        <xdr:cNvPr id="1396" name="SCHEMA_T06_TERRA_05_2">
          <a:extLst>
            <a:ext uri="{FF2B5EF4-FFF2-40B4-BE49-F238E27FC236}">
              <a16:creationId xmlns:a16="http://schemas.microsoft.com/office/drawing/2014/main" id="{9FCEAEDC-A5BE-7155-2DBF-7592C398DB35}"/>
            </a:ext>
          </a:extLst>
        </xdr:cNvPr>
        <xdr:cNvCxnSpPr/>
      </xdr:nvCxnSpPr>
      <xdr:spPr>
        <a:xfrm>
          <a:off x="4295775" y="7216140"/>
          <a:ext cx="889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332468</xdr:colOff>
      <xdr:row>26</xdr:row>
      <xdr:rowOff>5080</xdr:rowOff>
    </xdr:from>
    <xdr:to>
      <xdr:col>9</xdr:col>
      <xdr:colOff>47625</xdr:colOff>
      <xdr:row>26</xdr:row>
      <xdr:rowOff>5080</xdr:rowOff>
    </xdr:to>
    <xdr:cxnSp macro="">
      <xdr:nvCxnSpPr>
        <xdr:cNvPr id="1397" name="SCHEMA_T06_TERRA_05_3">
          <a:extLst>
            <a:ext uri="{FF2B5EF4-FFF2-40B4-BE49-F238E27FC236}">
              <a16:creationId xmlns:a16="http://schemas.microsoft.com/office/drawing/2014/main" id="{822FA66A-EB97-31A4-EEA5-B9927C0B2F98}"/>
            </a:ext>
          </a:extLst>
        </xdr:cNvPr>
        <xdr:cNvCxnSpPr/>
      </xdr:nvCxnSpPr>
      <xdr:spPr>
        <a:xfrm>
          <a:off x="4314825" y="7244080"/>
          <a:ext cx="508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4082</xdr:colOff>
      <xdr:row>25</xdr:row>
      <xdr:rowOff>117929</xdr:rowOff>
    </xdr:from>
    <xdr:to>
      <xdr:col>17</xdr:col>
      <xdr:colOff>4082</xdr:colOff>
      <xdr:row>25</xdr:row>
      <xdr:rowOff>194129</xdr:rowOff>
    </xdr:to>
    <xdr:cxnSp macro="">
      <xdr:nvCxnSpPr>
        <xdr:cNvPr id="1398" name="SCHEMA_T06_TERRA_09_V">
          <a:extLst>
            <a:ext uri="{FF2B5EF4-FFF2-40B4-BE49-F238E27FC236}">
              <a16:creationId xmlns:a16="http://schemas.microsoft.com/office/drawing/2014/main" id="{CDAE41A3-67D9-53AF-2F4B-6768A1A26FDF}"/>
            </a:ext>
          </a:extLst>
        </xdr:cNvPr>
        <xdr:cNvCxnSpPr/>
      </xdr:nvCxnSpPr>
      <xdr:spPr>
        <a:xfrm>
          <a:off x="7007225" y="7112000"/>
          <a:ext cx="0" cy="7620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276225</xdr:colOff>
      <xdr:row>25</xdr:row>
      <xdr:rowOff>194129</xdr:rowOff>
    </xdr:from>
    <xdr:to>
      <xdr:col>17</xdr:col>
      <xdr:colOff>67582</xdr:colOff>
      <xdr:row>25</xdr:row>
      <xdr:rowOff>194129</xdr:rowOff>
    </xdr:to>
    <xdr:cxnSp macro="">
      <xdr:nvCxnSpPr>
        <xdr:cNvPr id="1399" name="SCHEMA_T06_TERRA_09_1">
          <a:extLst>
            <a:ext uri="{FF2B5EF4-FFF2-40B4-BE49-F238E27FC236}">
              <a16:creationId xmlns:a16="http://schemas.microsoft.com/office/drawing/2014/main" id="{1AA7E103-7EA0-778F-9958-CB43BA97A192}"/>
            </a:ext>
          </a:extLst>
        </xdr:cNvPr>
        <xdr:cNvCxnSpPr/>
      </xdr:nvCxnSpPr>
      <xdr:spPr>
        <a:xfrm>
          <a:off x="6943725" y="7188200"/>
          <a:ext cx="1270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295275</xdr:colOff>
      <xdr:row>25</xdr:row>
      <xdr:rowOff>222069</xdr:rowOff>
    </xdr:from>
    <xdr:to>
      <xdr:col>17</xdr:col>
      <xdr:colOff>48532</xdr:colOff>
      <xdr:row>25</xdr:row>
      <xdr:rowOff>222069</xdr:rowOff>
    </xdr:to>
    <xdr:cxnSp macro="">
      <xdr:nvCxnSpPr>
        <xdr:cNvPr id="1400" name="SCHEMA_T06_TERRA_09_2">
          <a:extLst>
            <a:ext uri="{FF2B5EF4-FFF2-40B4-BE49-F238E27FC236}">
              <a16:creationId xmlns:a16="http://schemas.microsoft.com/office/drawing/2014/main" id="{7E37522C-3BB9-64DA-9E4A-01AF3410C5DC}"/>
            </a:ext>
          </a:extLst>
        </xdr:cNvPr>
        <xdr:cNvCxnSpPr/>
      </xdr:nvCxnSpPr>
      <xdr:spPr>
        <a:xfrm>
          <a:off x="6962775" y="7216140"/>
          <a:ext cx="889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314325</xdr:colOff>
      <xdr:row>26</xdr:row>
      <xdr:rowOff>5080</xdr:rowOff>
    </xdr:from>
    <xdr:to>
      <xdr:col>17</xdr:col>
      <xdr:colOff>29482</xdr:colOff>
      <xdr:row>26</xdr:row>
      <xdr:rowOff>5080</xdr:rowOff>
    </xdr:to>
    <xdr:cxnSp macro="">
      <xdr:nvCxnSpPr>
        <xdr:cNvPr id="1401" name="SCHEMA_T06_TERRA_09_3">
          <a:extLst>
            <a:ext uri="{FF2B5EF4-FFF2-40B4-BE49-F238E27FC236}">
              <a16:creationId xmlns:a16="http://schemas.microsoft.com/office/drawing/2014/main" id="{8A6F243A-0CDB-32F0-78C9-24F9514F6A41}"/>
            </a:ext>
          </a:extLst>
        </xdr:cNvPr>
        <xdr:cNvCxnSpPr/>
      </xdr:nvCxnSpPr>
      <xdr:spPr>
        <a:xfrm>
          <a:off x="6981825" y="7244080"/>
          <a:ext cx="508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321582</xdr:colOff>
      <xdr:row>25</xdr:row>
      <xdr:rowOff>117929</xdr:rowOff>
    </xdr:from>
    <xdr:to>
      <xdr:col>24</xdr:col>
      <xdr:colOff>321582</xdr:colOff>
      <xdr:row>25</xdr:row>
      <xdr:rowOff>194129</xdr:rowOff>
    </xdr:to>
    <xdr:cxnSp macro="">
      <xdr:nvCxnSpPr>
        <xdr:cNvPr id="1402" name="SCHEMA_T06_TERRA_13_V">
          <a:extLst>
            <a:ext uri="{FF2B5EF4-FFF2-40B4-BE49-F238E27FC236}">
              <a16:creationId xmlns:a16="http://schemas.microsoft.com/office/drawing/2014/main" id="{8D6CABCF-0717-D4C3-32DF-72A8FBB6C44A}"/>
            </a:ext>
          </a:extLst>
        </xdr:cNvPr>
        <xdr:cNvCxnSpPr/>
      </xdr:nvCxnSpPr>
      <xdr:spPr>
        <a:xfrm>
          <a:off x="9674225" y="7112000"/>
          <a:ext cx="0" cy="7620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258082</xdr:colOff>
      <xdr:row>25</xdr:row>
      <xdr:rowOff>194129</xdr:rowOff>
    </xdr:from>
    <xdr:to>
      <xdr:col>25</xdr:col>
      <xdr:colOff>49439</xdr:colOff>
      <xdr:row>25</xdr:row>
      <xdr:rowOff>194129</xdr:rowOff>
    </xdr:to>
    <xdr:cxnSp macro="">
      <xdr:nvCxnSpPr>
        <xdr:cNvPr id="1403" name="SCHEMA_T06_TERRA_13_1">
          <a:extLst>
            <a:ext uri="{FF2B5EF4-FFF2-40B4-BE49-F238E27FC236}">
              <a16:creationId xmlns:a16="http://schemas.microsoft.com/office/drawing/2014/main" id="{7C95E4CD-DA5F-11D4-4D1E-C6D71E5BEFAA}"/>
            </a:ext>
          </a:extLst>
        </xdr:cNvPr>
        <xdr:cNvCxnSpPr/>
      </xdr:nvCxnSpPr>
      <xdr:spPr>
        <a:xfrm>
          <a:off x="9610725" y="7188200"/>
          <a:ext cx="1270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277132</xdr:colOff>
      <xdr:row>25</xdr:row>
      <xdr:rowOff>222069</xdr:rowOff>
    </xdr:from>
    <xdr:to>
      <xdr:col>25</xdr:col>
      <xdr:colOff>30389</xdr:colOff>
      <xdr:row>25</xdr:row>
      <xdr:rowOff>222069</xdr:rowOff>
    </xdr:to>
    <xdr:cxnSp macro="">
      <xdr:nvCxnSpPr>
        <xdr:cNvPr id="1404" name="SCHEMA_T06_TERRA_13_2">
          <a:extLst>
            <a:ext uri="{FF2B5EF4-FFF2-40B4-BE49-F238E27FC236}">
              <a16:creationId xmlns:a16="http://schemas.microsoft.com/office/drawing/2014/main" id="{E66D252E-0B51-E1AC-423E-CBC107EA34E6}"/>
            </a:ext>
          </a:extLst>
        </xdr:cNvPr>
        <xdr:cNvCxnSpPr/>
      </xdr:nvCxnSpPr>
      <xdr:spPr>
        <a:xfrm>
          <a:off x="9629775" y="7216140"/>
          <a:ext cx="889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296182</xdr:colOff>
      <xdr:row>26</xdr:row>
      <xdr:rowOff>5080</xdr:rowOff>
    </xdr:from>
    <xdr:to>
      <xdr:col>25</xdr:col>
      <xdr:colOff>11339</xdr:colOff>
      <xdr:row>26</xdr:row>
      <xdr:rowOff>5080</xdr:rowOff>
    </xdr:to>
    <xdr:cxnSp macro="">
      <xdr:nvCxnSpPr>
        <xdr:cNvPr id="1405" name="SCHEMA_T06_TERRA_13_3">
          <a:extLst>
            <a:ext uri="{FF2B5EF4-FFF2-40B4-BE49-F238E27FC236}">
              <a16:creationId xmlns:a16="http://schemas.microsoft.com/office/drawing/2014/main" id="{DD4CDACA-6C1A-FB59-CF44-4FFF8EBCBBDD}"/>
            </a:ext>
          </a:extLst>
        </xdr:cNvPr>
        <xdr:cNvCxnSpPr/>
      </xdr:nvCxnSpPr>
      <xdr:spPr>
        <a:xfrm>
          <a:off x="9648825" y="7244080"/>
          <a:ext cx="508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307975</xdr:colOff>
      <xdr:row>25</xdr:row>
      <xdr:rowOff>117929</xdr:rowOff>
    </xdr:from>
    <xdr:to>
      <xdr:col>30</xdr:col>
      <xdr:colOff>307975</xdr:colOff>
      <xdr:row>25</xdr:row>
      <xdr:rowOff>194129</xdr:rowOff>
    </xdr:to>
    <xdr:cxnSp macro="">
      <xdr:nvCxnSpPr>
        <xdr:cNvPr id="1406" name="SCHEMA_T06_TERRA_16_V">
          <a:extLst>
            <a:ext uri="{FF2B5EF4-FFF2-40B4-BE49-F238E27FC236}">
              <a16:creationId xmlns:a16="http://schemas.microsoft.com/office/drawing/2014/main" id="{67ED9153-D2C8-67D8-15A9-DAACEDCB4717}"/>
            </a:ext>
          </a:extLst>
        </xdr:cNvPr>
        <xdr:cNvCxnSpPr/>
      </xdr:nvCxnSpPr>
      <xdr:spPr>
        <a:xfrm>
          <a:off x="11674475" y="7112000"/>
          <a:ext cx="0" cy="7620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244475</xdr:colOff>
      <xdr:row>25</xdr:row>
      <xdr:rowOff>194129</xdr:rowOff>
    </xdr:from>
    <xdr:to>
      <xdr:col>31</xdr:col>
      <xdr:colOff>35832</xdr:colOff>
      <xdr:row>25</xdr:row>
      <xdr:rowOff>194129</xdr:rowOff>
    </xdr:to>
    <xdr:cxnSp macro="">
      <xdr:nvCxnSpPr>
        <xdr:cNvPr id="1407" name="SCHEMA_T06_TERRA_16_1">
          <a:extLst>
            <a:ext uri="{FF2B5EF4-FFF2-40B4-BE49-F238E27FC236}">
              <a16:creationId xmlns:a16="http://schemas.microsoft.com/office/drawing/2014/main" id="{2A1521FD-A0E8-5EB3-37AD-3F38CC1C4A9D}"/>
            </a:ext>
          </a:extLst>
        </xdr:cNvPr>
        <xdr:cNvCxnSpPr/>
      </xdr:nvCxnSpPr>
      <xdr:spPr>
        <a:xfrm>
          <a:off x="11610975" y="7188200"/>
          <a:ext cx="1270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263525</xdr:colOff>
      <xdr:row>25</xdr:row>
      <xdr:rowOff>222069</xdr:rowOff>
    </xdr:from>
    <xdr:to>
      <xdr:col>31</xdr:col>
      <xdr:colOff>16782</xdr:colOff>
      <xdr:row>25</xdr:row>
      <xdr:rowOff>222069</xdr:rowOff>
    </xdr:to>
    <xdr:cxnSp macro="">
      <xdr:nvCxnSpPr>
        <xdr:cNvPr id="1408" name="SCHEMA_T06_TERRA_16_2">
          <a:extLst>
            <a:ext uri="{FF2B5EF4-FFF2-40B4-BE49-F238E27FC236}">
              <a16:creationId xmlns:a16="http://schemas.microsoft.com/office/drawing/2014/main" id="{ECAAEECE-73BE-4B58-1270-0654AFA7D760}"/>
            </a:ext>
          </a:extLst>
        </xdr:cNvPr>
        <xdr:cNvCxnSpPr/>
      </xdr:nvCxnSpPr>
      <xdr:spPr>
        <a:xfrm>
          <a:off x="11630025" y="7216140"/>
          <a:ext cx="889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282575</xdr:colOff>
      <xdr:row>26</xdr:row>
      <xdr:rowOff>5080</xdr:rowOff>
    </xdr:from>
    <xdr:to>
      <xdr:col>30</xdr:col>
      <xdr:colOff>333375</xdr:colOff>
      <xdr:row>26</xdr:row>
      <xdr:rowOff>5080</xdr:rowOff>
    </xdr:to>
    <xdr:cxnSp macro="">
      <xdr:nvCxnSpPr>
        <xdr:cNvPr id="1409" name="SCHEMA_T06_TERRA_16_3">
          <a:extLst>
            <a:ext uri="{FF2B5EF4-FFF2-40B4-BE49-F238E27FC236}">
              <a16:creationId xmlns:a16="http://schemas.microsoft.com/office/drawing/2014/main" id="{562E076F-2F84-4E05-9982-4DBC69790A13}"/>
            </a:ext>
          </a:extLst>
        </xdr:cNvPr>
        <xdr:cNvCxnSpPr/>
      </xdr:nvCxnSpPr>
      <xdr:spPr>
        <a:xfrm>
          <a:off x="11649075" y="7244080"/>
          <a:ext cx="50800" cy="0"/>
        </a:xfrm>
        <a:prstGeom prst="line">
          <a:avLst/>
        </a:prstGeom>
        <a:ln w="11430">
          <a:solidFill>
            <a:srgbClr val="008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97518</xdr:colOff>
      <xdr:row>10</xdr:row>
      <xdr:rowOff>86632</xdr:rowOff>
    </xdr:from>
    <xdr:to>
      <xdr:col>3</xdr:col>
      <xdr:colOff>124732</xdr:colOff>
      <xdr:row>10</xdr:row>
      <xdr:rowOff>239032</xdr:rowOff>
    </xdr:to>
    <xdr:sp macro="" textlink="">
      <xdr:nvSpPr>
        <xdr:cNvPr id="1410" name="SCHEMA_T06_LEG_OPGW">
          <a:extLst>
            <a:ext uri="{FF2B5EF4-FFF2-40B4-BE49-F238E27FC236}">
              <a16:creationId xmlns:a16="http://schemas.microsoft.com/office/drawing/2014/main" id="{CC2E0BDE-C4D4-FE43-0AEE-8339E3A51759}"/>
            </a:ext>
          </a:extLst>
        </xdr:cNvPr>
        <xdr:cNvSpPr txBox="1"/>
      </xdr:nvSpPr>
      <xdr:spPr>
        <a:xfrm>
          <a:off x="1730375" y="3406775"/>
          <a:ext cx="6985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s-ES" sz="650" b="1">
              <a:solidFill>
                <a:srgbClr val="00A651"/>
              </a:solidFill>
            </a:rPr>
            <a:t>OPGW</a:t>
          </a:r>
        </a:p>
      </xdr:txBody>
    </xdr:sp>
    <xdr:clientData/>
  </xdr:twoCellAnchor>
  <xdr:twoCellAnchor>
    <xdr:from>
      <xdr:col>1</xdr:col>
      <xdr:colOff>97518</xdr:colOff>
      <xdr:row>10</xdr:row>
      <xdr:rowOff>239032</xdr:rowOff>
    </xdr:from>
    <xdr:to>
      <xdr:col>3</xdr:col>
      <xdr:colOff>124732</xdr:colOff>
      <xdr:row>11</xdr:row>
      <xdr:rowOff>146504</xdr:rowOff>
    </xdr:to>
    <xdr:sp macro="" textlink="">
      <xdr:nvSpPr>
        <xdr:cNvPr id="1411" name="SCHEMA_T06_LEG_C1">
          <a:extLst>
            <a:ext uri="{FF2B5EF4-FFF2-40B4-BE49-F238E27FC236}">
              <a16:creationId xmlns:a16="http://schemas.microsoft.com/office/drawing/2014/main" id="{20FDBC06-2581-F79A-E185-7888E203EF9B}"/>
            </a:ext>
          </a:extLst>
        </xdr:cNvPr>
        <xdr:cNvSpPr txBox="1"/>
      </xdr:nvSpPr>
      <xdr:spPr>
        <a:xfrm>
          <a:off x="1730375" y="3559175"/>
          <a:ext cx="6985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s-ES" sz="650" b="0">
              <a:solidFill>
                <a:srgbClr val="ED1C24"/>
              </a:solidFill>
            </a:rPr>
            <a:t>CIRCUITO 1</a:t>
          </a:r>
        </a:p>
      </xdr:txBody>
    </xdr:sp>
    <xdr:clientData/>
  </xdr:twoCellAnchor>
  <xdr:twoCellAnchor>
    <xdr:from>
      <xdr:col>1</xdr:col>
      <xdr:colOff>97518</xdr:colOff>
      <xdr:row>11</xdr:row>
      <xdr:rowOff>146504</xdr:rowOff>
    </xdr:from>
    <xdr:to>
      <xdr:col>3</xdr:col>
      <xdr:colOff>124732</xdr:colOff>
      <xdr:row>12</xdr:row>
      <xdr:rowOff>53975</xdr:rowOff>
    </xdr:to>
    <xdr:sp macro="" textlink="">
      <xdr:nvSpPr>
        <xdr:cNvPr id="1412" name="SCHEMA_T06_LEG_C2">
          <a:extLst>
            <a:ext uri="{FF2B5EF4-FFF2-40B4-BE49-F238E27FC236}">
              <a16:creationId xmlns:a16="http://schemas.microsoft.com/office/drawing/2014/main" id="{91DA3108-AACB-0E33-EEFD-6D37A6798F63}"/>
            </a:ext>
          </a:extLst>
        </xdr:cNvPr>
        <xdr:cNvSpPr txBox="1"/>
      </xdr:nvSpPr>
      <xdr:spPr>
        <a:xfrm>
          <a:off x="1730375" y="3711575"/>
          <a:ext cx="6985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s-ES" sz="650" b="0">
              <a:solidFill>
                <a:srgbClr val="315A9B"/>
              </a:solidFill>
            </a:rPr>
            <a:t>CIRCUITO 2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0</xdr:row>
      <xdr:rowOff>219075</xdr:rowOff>
    </xdr:from>
    <xdr:to>
      <xdr:col>3</xdr:col>
      <xdr:colOff>0</xdr:colOff>
      <xdr:row>1</xdr:row>
      <xdr:rowOff>238125</xdr:rowOff>
    </xdr:to>
    <xdr:pic>
      <xdr:nvPicPr>
        <xdr:cNvPr id="2" name="Picture 103" descr="Terna_Rete_Italia_RGB_120112 (2)">
          <a:extLst>
            <a:ext uri="{FF2B5EF4-FFF2-40B4-BE49-F238E27FC236}">
              <a16:creationId xmlns:a16="http://schemas.microsoft.com/office/drawing/2014/main" id="{7ED31CC5-EB25-4819-B58D-5F726297F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19075"/>
          <a:ext cx="9525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FB3B15-7774-436E-94D1-022F0B1CB1C1}" name="tblTesatura10C" displayName="tblTesatura10C" ref="A1:H64" totalsRowShown="0" headerRowDxfId="130" dataDxfId="128" headerRowBorderDxfId="129">
  <autoFilter ref="A1:H64" xr:uid="{0090B721-F976-43AF-A21B-B6B73CF8111F}"/>
  <tableColumns count="8">
    <tableColumn id="1" xr3:uid="{07582989-A13E-438B-B7B7-315C5EB241A6}" name="ID tramo" dataDxfId="127"/>
    <tableColumn id="2" xr3:uid="{24B3D901-0C0A-4EDB-A5D7-33B1DF2FFFEF}" name="Sostegno inicial" dataDxfId="126"/>
    <tableColumn id="3" xr3:uid="{FFACD62E-2665-49B1-865B-307F190E9485}" name="Sostegno final" dataDxfId="125"/>
    <tableColumn id="4" xr3:uid="{75C5A7A9-0F47-4D34-8566-B809A01F3231}" name="Temperatura (°C)" dataDxfId="124"/>
    <tableColumn id="5" xr3:uid="{0CFDD7F4-7EED-4FA0-943F-EA988EF07EC0}" name="Tiro inicial (daN)" dataDxfId="123"/>
    <tableColumn id="6" xr3:uid="{54D2D6B7-2A7B-4C8C-AE59-2DD672EC1A0D}" name="Tiro final (daN)" dataDxfId="122"/>
    <tableColumn id="7" xr3:uid="{5E5A69AE-6FAA-46AE-97A5-FAD318615234}" name="Tiro mínimo (daN)" dataDxfId="121"/>
    <tableColumn id="8" xr3:uid="{10F70C32-FF0F-46D0-B2F6-2F5E161ED843}" name="Fuente TESATURA" dataDxfId="1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62" row="4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4859270-47EC-4D54-BCDA-8EE679CE901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026afd9-62c0-45f1-ac68-f57d66f5a30d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A9B97F15-9964-4681-8A40-DA08957CA6C2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0edb5c58-d784-4dcc-87ea-c5f6eee9011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autoPageBreaks="0" fitToPage="1"/>
  </sheetPr>
  <dimension ref="A1:AQ58"/>
  <sheetViews>
    <sheetView showGridLines="0" view="pageBreakPreview" topLeftCell="A8" zoomScale="70" zoomScaleNormal="70" zoomScaleSheetLayoutView="70" workbookViewId="0">
      <selection activeCell="AO36" sqref="AO36:AP36"/>
    </sheetView>
  </sheetViews>
  <sheetFormatPr baseColWidth="10" defaultColWidth="9.140625" defaultRowHeight="15" x14ac:dyDescent="0.25"/>
  <cols>
    <col min="1" max="1" width="25.140625" bestFit="1" customWidth="1"/>
    <col min="2" max="43" width="5.7109375" customWidth="1"/>
  </cols>
  <sheetData>
    <row r="1" spans="1:43" ht="30" customHeight="1" x14ac:dyDescent="0.25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4"/>
      <c r="AC1" s="324"/>
      <c r="AD1" s="324"/>
      <c r="AE1" s="324"/>
      <c r="AF1" s="324"/>
      <c r="AG1" s="324"/>
      <c r="AH1" s="324"/>
      <c r="AI1" s="324"/>
      <c r="AJ1" s="324"/>
      <c r="AK1" s="324"/>
      <c r="AL1" s="324"/>
      <c r="AM1" s="324"/>
      <c r="AN1" s="324"/>
      <c r="AO1" s="324"/>
      <c r="AP1" s="324"/>
      <c r="AQ1" s="324"/>
    </row>
    <row r="2" spans="1:43" ht="33.75" customHeight="1" x14ac:dyDescent="0.25">
      <c r="A2" s="1"/>
      <c r="B2" s="1"/>
      <c r="C2" s="1"/>
      <c r="D2" s="352" t="s">
        <v>1</v>
      </c>
      <c r="E2" s="353"/>
      <c r="F2" s="353"/>
      <c r="G2" s="353"/>
      <c r="H2" s="353"/>
      <c r="I2" s="353"/>
      <c r="J2" s="353"/>
      <c r="K2" s="353"/>
      <c r="L2" s="353"/>
      <c r="M2" s="353"/>
      <c r="N2" s="353"/>
      <c r="O2" s="353"/>
      <c r="P2" s="353"/>
      <c r="Q2" s="353"/>
      <c r="R2" s="353"/>
      <c r="S2" s="353"/>
      <c r="T2" s="353"/>
      <c r="U2" s="354"/>
      <c r="V2" s="355" t="s">
        <v>2</v>
      </c>
      <c r="W2" s="356"/>
      <c r="X2" s="356"/>
      <c r="Y2" s="356"/>
      <c r="Z2" s="356"/>
      <c r="AA2" s="356"/>
      <c r="AB2" s="356"/>
      <c r="AC2" s="356"/>
      <c r="AD2" s="356"/>
      <c r="AE2" s="356"/>
      <c r="AF2" s="356"/>
      <c r="AG2" s="356"/>
      <c r="AH2" s="356"/>
      <c r="AI2" s="356"/>
      <c r="AJ2" s="356"/>
      <c r="AK2" s="356"/>
      <c r="AL2" s="356"/>
      <c r="AM2" s="356"/>
      <c r="AN2" s="356"/>
      <c r="AO2" s="356"/>
      <c r="AP2" s="356"/>
      <c r="AQ2" s="356"/>
    </row>
    <row r="3" spans="1:4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299"/>
      <c r="AM3" s="299"/>
      <c r="AN3" s="299"/>
      <c r="AO3" s="299"/>
      <c r="AP3" s="13"/>
      <c r="AQ3" s="300"/>
    </row>
    <row r="4" spans="1:43" x14ac:dyDescent="0.25">
      <c r="A4" s="2" t="s">
        <v>3</v>
      </c>
      <c r="B4" s="339" t="s">
        <v>4</v>
      </c>
      <c r="C4" s="340"/>
      <c r="D4" s="340"/>
      <c r="E4" s="340"/>
      <c r="F4" s="340"/>
      <c r="G4" s="340"/>
      <c r="H4" s="340"/>
      <c r="I4" s="340"/>
      <c r="J4" s="340"/>
      <c r="K4" s="340"/>
      <c r="L4" s="340"/>
      <c r="M4" s="341"/>
      <c r="N4" s="339" t="s">
        <v>5</v>
      </c>
      <c r="O4" s="340"/>
      <c r="P4" s="340"/>
      <c r="Q4" s="340"/>
      <c r="R4" s="340"/>
      <c r="S4" s="340"/>
      <c r="T4" s="340"/>
      <c r="U4" s="340"/>
      <c r="V4" s="340"/>
      <c r="W4" s="340"/>
      <c r="X4" s="340"/>
      <c r="Y4" s="341"/>
      <c r="Z4" s="339" t="s">
        <v>6</v>
      </c>
      <c r="AA4" s="340"/>
      <c r="AB4" s="340"/>
      <c r="AC4" s="340"/>
      <c r="AD4" s="340"/>
      <c r="AE4" s="340"/>
      <c r="AF4" s="340"/>
      <c r="AG4" s="340"/>
      <c r="AH4" s="340"/>
      <c r="AI4" s="340"/>
      <c r="AJ4" s="340"/>
      <c r="AK4" s="340"/>
      <c r="AL4" s="342" t="s">
        <v>7</v>
      </c>
      <c r="AM4" s="342"/>
      <c r="AN4" s="342"/>
      <c r="AO4" s="342"/>
      <c r="AP4" s="342"/>
      <c r="AQ4" s="342"/>
    </row>
    <row r="5" spans="1:43" ht="33.950000000000003" customHeight="1" x14ac:dyDescent="0.25">
      <c r="A5" s="11"/>
      <c r="B5" s="334" t="s">
        <v>8</v>
      </c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5"/>
      <c r="O5" s="335"/>
      <c r="P5" s="335"/>
      <c r="Q5" s="335"/>
      <c r="R5" s="335"/>
      <c r="S5" s="335"/>
      <c r="T5" s="335"/>
      <c r="U5" s="335"/>
      <c r="V5" s="335"/>
      <c r="W5" s="336"/>
      <c r="X5" s="337" t="s">
        <v>9</v>
      </c>
      <c r="Y5" s="338"/>
      <c r="Z5" s="338"/>
      <c r="AA5" s="338"/>
      <c r="AB5" s="338"/>
      <c r="AC5" s="338"/>
      <c r="AD5" s="338"/>
      <c r="AE5" s="338"/>
      <c r="AF5" s="338"/>
      <c r="AG5" s="338"/>
      <c r="AH5" s="338"/>
      <c r="AI5" s="338"/>
      <c r="AJ5" s="338"/>
      <c r="AK5" s="338"/>
      <c r="AL5" s="338"/>
      <c r="AM5" s="338"/>
      <c r="AN5" s="338"/>
      <c r="AO5" s="338"/>
      <c r="AP5" s="338"/>
      <c r="AQ5" s="338"/>
    </row>
    <row r="6" spans="1:43" x14ac:dyDescent="0.25">
      <c r="A6" s="1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7"/>
    </row>
    <row r="7" spans="1:43" ht="15.75" customHeight="1" thickBot="1" x14ac:dyDescent="0.3">
      <c r="A7" s="2" t="s">
        <v>10</v>
      </c>
      <c r="B7" s="383" t="s">
        <v>11</v>
      </c>
      <c r="C7" s="384"/>
      <c r="D7" s="383" t="s">
        <v>12</v>
      </c>
      <c r="E7" s="384"/>
      <c r="F7" s="383" t="s">
        <v>13</v>
      </c>
      <c r="G7" s="384"/>
      <c r="H7" s="383" t="s">
        <v>14</v>
      </c>
      <c r="I7" s="384"/>
      <c r="J7" s="383" t="s">
        <v>15</v>
      </c>
      <c r="K7" s="384"/>
      <c r="L7" s="383" t="s">
        <v>16</v>
      </c>
      <c r="M7" s="384"/>
      <c r="N7" s="383" t="s">
        <v>17</v>
      </c>
      <c r="O7" s="384"/>
      <c r="P7" s="383" t="s">
        <v>18</v>
      </c>
      <c r="Q7" s="384"/>
      <c r="R7" s="383" t="s">
        <v>19</v>
      </c>
      <c r="S7" s="384"/>
      <c r="T7" s="383" t="s">
        <v>20</v>
      </c>
      <c r="U7" s="384"/>
      <c r="V7" s="383" t="s">
        <v>21</v>
      </c>
      <c r="W7" s="384"/>
      <c r="X7" s="383" t="s">
        <v>22</v>
      </c>
      <c r="Y7" s="384"/>
      <c r="Z7" s="383" t="s">
        <v>23</v>
      </c>
      <c r="AA7" s="384"/>
      <c r="AB7" s="383" t="s">
        <v>24</v>
      </c>
      <c r="AC7" s="384"/>
      <c r="AD7" s="383" t="s">
        <v>25</v>
      </c>
      <c r="AE7" s="384"/>
      <c r="AF7" s="383" t="s">
        <v>26</v>
      </c>
      <c r="AG7" s="384"/>
      <c r="AH7" s="383" t="s">
        <v>27</v>
      </c>
      <c r="AI7" s="384"/>
      <c r="AJ7" s="383" t="s">
        <v>28</v>
      </c>
      <c r="AK7" s="384"/>
      <c r="AL7" s="383" t="s">
        <v>29</v>
      </c>
      <c r="AM7" s="384"/>
      <c r="AN7" s="383" t="s">
        <v>30</v>
      </c>
      <c r="AO7" s="384"/>
      <c r="AP7" s="386" t="s">
        <v>31</v>
      </c>
      <c r="AQ7" s="387"/>
    </row>
    <row r="8" spans="1:43" ht="72" customHeight="1" x14ac:dyDescent="0.25">
      <c r="A8" s="10" t="s">
        <v>32</v>
      </c>
      <c r="B8" s="378" t="str">
        <f>IFERROR(INDEX('04 Interferencias'!$D:$D,MATCH(SUBSTITUTE(B7,"–","-"),'04 Interferencias'!$A:$A,0)),"—")</f>
        <v>Torrente Lav</v>
      </c>
      <c r="C8" s="379"/>
      <c r="D8" s="378" t="str">
        <f>IFERROR(INDEX('04 Interferencias'!$D:$D,MATCH(SUBSTITUTE(D7,"–","-"),'04 Interferencias'!$A:$A,0)),"—")</f>
        <v>SC. BT. IP. Teleferica</v>
      </c>
      <c r="E8" s="379"/>
      <c r="F8" s="378" t="str">
        <f>IFERROR(INDEX('04 Interferencias'!$D:$D,MATCH(SUBSTITUTE(F7,"–","-"),'04 Interferencias'!$A:$A,0)),"—")</f>
        <v>BT in cavo casa a 5 mt.</v>
      </c>
      <c r="G8" s="379"/>
      <c r="H8" s="378" t="str">
        <f>IFERROR(INDEX('04 Interferencias'!$D:$D,MATCH(SUBSTITUTE(H7,"–","-"),'04 Interferencias'!$A:$A,0)),"—")</f>
        <v>casa BT in cavo A10 SC. Teleferica - capannone</v>
      </c>
      <c r="I8" s="379"/>
      <c r="J8" s="378" t="str">
        <f>IFERROR(INDEX('04 Interferencias'!$D:$D,MATCH(SUBSTITUTE(J7,"–","-"),'04 Interferencias'!$A:$A,0)),"—")</f>
        <v>—</v>
      </c>
      <c r="K8" s="379"/>
      <c r="L8" s="378" t="str">
        <f>IFERROR(INDEX('04 Interferencias'!$D:$D,MATCH(SUBSTITUTE(L7,"–","-"),'04 Interferencias'!$A:$A,0)),"—")</f>
        <v>Teleferica</v>
      </c>
      <c r="M8" s="379"/>
      <c r="N8" s="378" t="str">
        <f>IFERROR(INDEX('04 Interferencias'!$D:$D,MATCH(SUBSTITUTE(N7,"–","-"),'04 Interferencias'!$A:$A,0)),"—")</f>
        <v>Teleferica</v>
      </c>
      <c r="O8" s="379"/>
      <c r="P8" s="378" t="str">
        <f>IFERROR(INDEX('04 Interferencias'!$D:$D,MATCH(SUBSTITUTE(P7,"–","-"),'04 Interferencias'!$A:$A,0)),"—")</f>
        <v>Teleferica BT SC Str,privata</v>
      </c>
      <c r="Q8" s="379"/>
      <c r="R8" s="378" t="str">
        <f>IFERROR(INDEX('04 Interferencias'!$D:$D,MATCH(SUBSTITUTE(R7,"–","-"),'04 Interferencias'!$A:$A,0)),"—")</f>
        <v>Vasca acqua tubo acqua</v>
      </c>
      <c r="S8" s="379"/>
      <c r="T8" s="378" t="str">
        <f>IFERROR(INDEX('04 Interferencias'!$D:$D,MATCH(SUBSTITUTE(T7,"–","-"),'04 Interferencias'!$A:$A,0)),"—")</f>
        <v>—</v>
      </c>
      <c r="U8" s="379"/>
      <c r="V8" s="378" t="str">
        <f>IFERROR(INDEX('04 Interferencias'!$D:$D,MATCH(SUBSTITUTE(V7,"–","-"),'04 Interferencias'!$A:$A,0)),"—")</f>
        <v>Vasca acquedotto BT in cavo SV. - Teleferica</v>
      </c>
      <c r="W8" s="379"/>
      <c r="X8" s="378" t="str">
        <f>IFERROR(INDEX('04 Interferencias'!$D:$D,MATCH(SUBSTITUTE(X7,"–","-"),'04 Interferencias'!$A:$A,0)),"—")</f>
        <v>—</v>
      </c>
      <c r="Y8" s="379"/>
      <c r="Z8" s="378" t="str">
        <f>IFERROR(INDEX('04 Interferencias'!$D:$D,MATCH(SUBSTITUTE(Z7,"–","-"),'04 Interferencias'!$A:$A,0)),"—")</f>
        <v>Baracca</v>
      </c>
      <c r="AA8" s="379"/>
      <c r="AB8" s="378" t="str">
        <f>IFERROR(INDEX('04 Interferencias'!$D:$D,MATCH(SUBSTITUTE(AB7,"–","-"),'04 Interferencias'!$A:$A,0)),"—")</f>
        <v>—</v>
      </c>
      <c r="AC8" s="379"/>
      <c r="AD8" s="378" t="str">
        <f>IFERROR(INDEX('04 Interferencias'!$D:$D,MATCH(SUBSTITUTE(AD7,"–","-"),'04 Interferencias'!$A:$A,0)),"—")</f>
        <v>—</v>
      </c>
      <c r="AE8" s="379"/>
      <c r="AF8" s="378" t="str">
        <f>IFERROR(INDEX('04 Interferencias'!$D:$D,MATCH(SUBSTITUTE(AF7,"–","-"),'04 Interferencias'!$A:$A,0)),"—")</f>
        <v>—</v>
      </c>
      <c r="AG8" s="379"/>
      <c r="AH8" s="378" t="str">
        <f>IFERROR(INDEX('04 Interferencias'!$D:$D,MATCH(SUBSTITUTE(AH7,"–","-"),'04 Interferencias'!$A:$A,0)),"—")</f>
        <v>SP. Per Moconesi Str. Privata</v>
      </c>
      <c r="AI8" s="379"/>
      <c r="AJ8" s="378" t="str">
        <f>IFERROR(INDEX('04 Interferencias'!$D:$D,MATCH(SUBSTITUTE(AJ7,"–","-"),'04 Interferencias'!$A:$A,0)),"—")</f>
        <v>—</v>
      </c>
      <c r="AK8" s="379"/>
      <c r="AL8" s="378" t="str">
        <f>IFERROR(INDEX('04 Interferencias'!$D:$D,MATCH(SUBSTITUTE(AL7,"–","-"),'04 Interferencias'!$A:$A,0)),"—")</f>
        <v>SV. Baracca 2Serre torrente Neirone - BT IP SP  2BT. 2 15kV.</v>
      </c>
      <c r="AM8" s="379"/>
      <c r="AN8" s="378" t="str">
        <f>IFERROR(INDEX('04 Interferencias'!$D:$D,MATCH(SUBSTITUTE(AN7,"–","-"),'04 Interferencias'!$A:$A,0)),"—")</f>
        <v>SV: BT in cavo</v>
      </c>
      <c r="AO8" s="380"/>
      <c r="AP8" s="381" t="str">
        <f>IFERROR(INDEX('04 Interferencias'!$D:$D,MATCH(SUBSTITUTE(AP7,"–","-"),'04 Interferencias'!$A:$A,0)),"—")</f>
        <v>—</v>
      </c>
      <c r="AQ8" s="381"/>
    </row>
    <row r="9" spans="1:43" x14ac:dyDescent="0.25">
      <c r="A9" s="1"/>
      <c r="B9" s="375"/>
      <c r="C9" s="376"/>
      <c r="D9" s="375"/>
      <c r="E9" s="376"/>
      <c r="F9" s="375"/>
      <c r="G9" s="376"/>
      <c r="H9" s="375"/>
      <c r="I9" s="376"/>
      <c r="J9" s="375"/>
      <c r="K9" s="376"/>
      <c r="L9" s="375"/>
      <c r="M9" s="376"/>
      <c r="N9" s="375"/>
      <c r="O9" s="376"/>
      <c r="P9" s="375"/>
      <c r="Q9" s="376"/>
      <c r="R9" s="375"/>
      <c r="S9" s="376"/>
      <c r="T9" s="375"/>
      <c r="U9" s="376"/>
      <c r="V9" s="375"/>
      <c r="W9" s="376"/>
      <c r="X9" s="375"/>
      <c r="Y9" s="376"/>
      <c r="Z9" s="375"/>
      <c r="AA9" s="376"/>
      <c r="AB9" s="375"/>
      <c r="AC9" s="376"/>
      <c r="AD9" s="375"/>
      <c r="AE9" s="376"/>
      <c r="AF9" s="375"/>
      <c r="AG9" s="376"/>
      <c r="AH9" s="375"/>
      <c r="AI9" s="376"/>
      <c r="AJ9" s="375"/>
      <c r="AK9" s="376"/>
      <c r="AL9" s="375"/>
      <c r="AM9" s="376"/>
      <c r="AN9" s="375"/>
      <c r="AO9" s="382"/>
      <c r="AP9" s="373"/>
      <c r="AQ9" s="373"/>
    </row>
    <row r="10" spans="1:43" ht="15.75" thickBot="1" x14ac:dyDescent="0.3">
      <c r="A10" s="325" t="s">
        <v>34</v>
      </c>
      <c r="B10" s="326"/>
      <c r="C10" s="326"/>
      <c r="D10" s="326"/>
      <c r="E10" s="326"/>
      <c r="F10" s="326"/>
      <c r="G10" s="326"/>
      <c r="H10" s="326"/>
      <c r="I10" s="326"/>
      <c r="J10" s="326"/>
      <c r="K10" s="326"/>
      <c r="L10" s="326"/>
      <c r="M10" s="326"/>
      <c r="N10" s="326"/>
      <c r="O10" s="326"/>
      <c r="P10" s="326"/>
      <c r="Q10" s="326"/>
      <c r="R10" s="326"/>
      <c r="S10" s="326"/>
      <c r="T10" s="326"/>
      <c r="U10" s="326"/>
      <c r="V10" s="326"/>
      <c r="W10" s="326"/>
      <c r="X10" s="326"/>
      <c r="Y10" s="326"/>
      <c r="Z10" s="326"/>
      <c r="AA10" s="326"/>
      <c r="AB10" s="326"/>
      <c r="AC10" s="326"/>
      <c r="AD10" s="326"/>
      <c r="AE10" s="326"/>
      <c r="AF10" s="326"/>
      <c r="AG10" s="326"/>
      <c r="AH10" s="326"/>
      <c r="AI10" s="326"/>
      <c r="AJ10" s="326"/>
      <c r="AK10" s="326"/>
      <c r="AL10" s="326"/>
      <c r="AM10" s="326"/>
      <c r="AN10" s="326"/>
      <c r="AO10" s="326"/>
      <c r="AP10" s="326"/>
      <c r="AQ10" s="326"/>
    </row>
    <row r="11" spans="1:43" ht="20.100000000000001" customHeight="1" x14ac:dyDescent="0.25">
      <c r="A11" s="12"/>
      <c r="B11" s="305"/>
      <c r="C11" s="306"/>
      <c r="D11" s="306"/>
      <c r="E11" s="306"/>
      <c r="F11" s="306"/>
      <c r="G11" s="306"/>
      <c r="H11" s="306"/>
      <c r="I11" s="306"/>
      <c r="J11" s="306"/>
      <c r="K11" s="306"/>
      <c r="L11" s="306"/>
      <c r="M11" s="306"/>
      <c r="N11" s="306"/>
      <c r="O11" s="306"/>
      <c r="P11" s="306"/>
      <c r="Q11" s="306"/>
      <c r="R11" s="306"/>
      <c r="S11" s="306"/>
      <c r="T11" s="306"/>
      <c r="U11" s="306"/>
      <c r="V11" s="306"/>
      <c r="W11" s="306"/>
      <c r="X11" s="306"/>
      <c r="Y11" s="306"/>
      <c r="Z11" s="306"/>
      <c r="AA11" s="306"/>
      <c r="AB11" s="306"/>
      <c r="AC11" s="306"/>
      <c r="AD11" s="306"/>
      <c r="AE11" s="306"/>
      <c r="AF11" s="306"/>
      <c r="AG11" s="306"/>
      <c r="AH11" s="306"/>
      <c r="AI11" s="306"/>
      <c r="AJ11" s="306"/>
      <c r="AK11" s="306"/>
      <c r="AL11" s="306"/>
      <c r="AM11" s="306"/>
      <c r="AN11" s="306"/>
      <c r="AO11" s="306"/>
      <c r="AP11" s="306"/>
      <c r="AQ11" s="307"/>
    </row>
    <row r="12" spans="1:43" ht="20.100000000000001" customHeight="1" x14ac:dyDescent="0.25">
      <c r="A12" s="12"/>
      <c r="B12" s="308"/>
      <c r="C12" s="309"/>
      <c r="D12" s="309"/>
      <c r="E12" s="309"/>
      <c r="F12" s="309"/>
      <c r="G12" s="309"/>
      <c r="H12" s="309"/>
      <c r="I12" s="309"/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  <c r="Z12" s="309"/>
      <c r="AA12" s="309"/>
      <c r="AB12" s="309"/>
      <c r="AC12" s="309"/>
      <c r="AD12" s="309"/>
      <c r="AE12" s="309"/>
      <c r="AF12" s="309"/>
      <c r="AG12" s="309"/>
      <c r="AH12" s="309"/>
      <c r="AI12" s="309"/>
      <c r="AJ12" s="309"/>
      <c r="AK12" s="309"/>
      <c r="AL12" s="309"/>
      <c r="AM12" s="309"/>
      <c r="AN12" s="309"/>
      <c r="AO12" s="309"/>
      <c r="AP12" s="309"/>
      <c r="AQ12" s="310"/>
    </row>
    <row r="13" spans="1:43" ht="20.100000000000001" customHeight="1" x14ac:dyDescent="0.25">
      <c r="A13" s="12"/>
      <c r="B13" s="308"/>
      <c r="C13" s="309"/>
      <c r="D13" s="309"/>
      <c r="E13" s="309"/>
      <c r="F13" s="309"/>
      <c r="G13" s="309"/>
      <c r="H13" s="309"/>
      <c r="I13" s="309"/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  <c r="Z13" s="309"/>
      <c r="AA13" s="309"/>
      <c r="AB13" s="309"/>
      <c r="AC13" s="309"/>
      <c r="AD13" s="309"/>
      <c r="AE13" s="309"/>
      <c r="AF13" s="309"/>
      <c r="AG13" s="309"/>
      <c r="AH13" s="309"/>
      <c r="AI13" s="309"/>
      <c r="AJ13" s="309"/>
      <c r="AK13" s="309"/>
      <c r="AL13" s="309"/>
      <c r="AM13" s="309"/>
      <c r="AN13" s="309"/>
      <c r="AO13" s="309"/>
      <c r="AP13" s="309"/>
      <c r="AQ13" s="310"/>
    </row>
    <row r="14" spans="1:43" ht="20.100000000000001" customHeight="1" x14ac:dyDescent="0.25">
      <c r="A14" s="12"/>
      <c r="B14" s="308"/>
      <c r="C14" s="309"/>
      <c r="D14" s="309"/>
      <c r="E14" s="309"/>
      <c r="F14" s="309"/>
      <c r="G14" s="309"/>
      <c r="H14" s="309"/>
      <c r="I14" s="309"/>
      <c r="J14" s="309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  <c r="Z14" s="309"/>
      <c r="AA14" s="309"/>
      <c r="AB14" s="309"/>
      <c r="AC14" s="309"/>
      <c r="AD14" s="309"/>
      <c r="AE14" s="309"/>
      <c r="AF14" s="309"/>
      <c r="AG14" s="309"/>
      <c r="AH14" s="309"/>
      <c r="AI14" s="309"/>
      <c r="AJ14" s="309"/>
      <c r="AK14" s="309"/>
      <c r="AL14" s="309"/>
      <c r="AM14" s="309"/>
      <c r="AN14" s="309"/>
      <c r="AO14" s="309"/>
      <c r="AP14" s="309"/>
      <c r="AQ14" s="310"/>
    </row>
    <row r="15" spans="1:43" ht="20.100000000000001" customHeight="1" x14ac:dyDescent="0.25">
      <c r="A15" s="12"/>
      <c r="B15" s="308"/>
      <c r="C15" s="309"/>
      <c r="D15" s="309"/>
      <c r="E15" s="309"/>
      <c r="F15" s="309"/>
      <c r="G15" s="309"/>
      <c r="H15" s="309"/>
      <c r="I15" s="309"/>
      <c r="J15" s="309"/>
      <c r="K15" s="309"/>
      <c r="L15" s="309"/>
      <c r="M15" s="309"/>
      <c r="N15" s="309"/>
      <c r="O15" s="309"/>
      <c r="P15" s="309"/>
      <c r="Q15" s="309"/>
      <c r="R15" s="309"/>
      <c r="S15" s="309"/>
      <c r="T15" s="309"/>
      <c r="U15" s="309"/>
      <c r="V15" s="309"/>
      <c r="W15" s="309"/>
      <c r="X15" s="309"/>
      <c r="Y15" s="309"/>
      <c r="Z15" s="309"/>
      <c r="AA15" s="309"/>
      <c r="AB15" s="309"/>
      <c r="AC15" s="309"/>
      <c r="AD15" s="309"/>
      <c r="AE15" s="309"/>
      <c r="AF15" s="309"/>
      <c r="AG15" s="309"/>
      <c r="AH15" s="309"/>
      <c r="AI15" s="309"/>
      <c r="AJ15" s="309"/>
      <c r="AK15" s="309"/>
      <c r="AL15" s="309"/>
      <c r="AM15" s="309"/>
      <c r="AN15" s="309"/>
      <c r="AO15" s="309"/>
      <c r="AP15" s="309"/>
      <c r="AQ15" s="310"/>
    </row>
    <row r="16" spans="1:43" ht="20.100000000000001" customHeight="1" x14ac:dyDescent="0.25">
      <c r="A16" s="12"/>
      <c r="B16" s="308"/>
      <c r="C16" s="309"/>
      <c r="D16" s="309"/>
      <c r="E16" s="309"/>
      <c r="F16" s="309"/>
      <c r="G16" s="309"/>
      <c r="H16" s="309"/>
      <c r="I16" s="309"/>
      <c r="J16" s="309"/>
      <c r="K16" s="309"/>
      <c r="L16" s="309"/>
      <c r="M16" s="309"/>
      <c r="N16" s="309"/>
      <c r="O16" s="309"/>
      <c r="P16" s="309"/>
      <c r="Q16" s="309"/>
      <c r="R16" s="309"/>
      <c r="S16" s="309"/>
      <c r="T16" s="309"/>
      <c r="U16" s="309"/>
      <c r="V16" s="309"/>
      <c r="W16" s="309"/>
      <c r="X16" s="309"/>
      <c r="Y16" s="309"/>
      <c r="Z16" s="309"/>
      <c r="AA16" s="309"/>
      <c r="AB16" s="309"/>
      <c r="AC16" s="309"/>
      <c r="AD16" s="309"/>
      <c r="AE16" s="309"/>
      <c r="AF16" s="309"/>
      <c r="AG16" s="309"/>
      <c r="AH16" s="309"/>
      <c r="AI16" s="309"/>
      <c r="AJ16" s="309"/>
      <c r="AK16" s="309"/>
      <c r="AL16" s="309"/>
      <c r="AM16" s="309"/>
      <c r="AN16" s="309"/>
      <c r="AO16" s="309"/>
      <c r="AP16" s="309"/>
      <c r="AQ16" s="310"/>
    </row>
    <row r="17" spans="1:43" ht="20.100000000000001" customHeight="1" x14ac:dyDescent="0.25">
      <c r="A17" s="12"/>
      <c r="B17" s="308"/>
      <c r="C17" s="309"/>
      <c r="D17" s="309"/>
      <c r="E17" s="309"/>
      <c r="F17" s="309"/>
      <c r="G17" s="309"/>
      <c r="H17" s="309"/>
      <c r="I17" s="309"/>
      <c r="J17" s="309"/>
      <c r="K17" s="309"/>
      <c r="L17" s="309"/>
      <c r="M17" s="309"/>
      <c r="N17" s="309"/>
      <c r="O17" s="309"/>
      <c r="P17" s="309"/>
      <c r="Q17" s="309"/>
      <c r="R17" s="309"/>
      <c r="S17" s="309"/>
      <c r="T17" s="309"/>
      <c r="U17" s="309"/>
      <c r="V17" s="309"/>
      <c r="W17" s="309"/>
      <c r="X17" s="309"/>
      <c r="Y17" s="309"/>
      <c r="Z17" s="309"/>
      <c r="AA17" s="309"/>
      <c r="AB17" s="309"/>
      <c r="AC17" s="309"/>
      <c r="AD17" s="309"/>
      <c r="AE17" s="309"/>
      <c r="AF17" s="309"/>
      <c r="AG17" s="309"/>
      <c r="AH17" s="309"/>
      <c r="AI17" s="309"/>
      <c r="AJ17" s="309"/>
      <c r="AK17" s="309"/>
      <c r="AL17" s="309"/>
      <c r="AM17" s="309"/>
      <c r="AN17" s="309"/>
      <c r="AO17" s="309"/>
      <c r="AP17" s="309"/>
      <c r="AQ17" s="310"/>
    </row>
    <row r="18" spans="1:43" ht="20.100000000000001" customHeight="1" x14ac:dyDescent="0.25">
      <c r="A18" s="12"/>
      <c r="B18" s="308"/>
      <c r="C18" s="309"/>
      <c r="D18" s="309"/>
      <c r="E18" s="309"/>
      <c r="F18" s="309"/>
      <c r="G18" s="309"/>
      <c r="H18" s="309"/>
      <c r="I18" s="309"/>
      <c r="J18" s="309"/>
      <c r="K18" s="309"/>
      <c r="L18" s="309"/>
      <c r="M18" s="309"/>
      <c r="N18" s="309"/>
      <c r="O18" s="309"/>
      <c r="P18" s="309"/>
      <c r="Q18" s="309"/>
      <c r="R18" s="309"/>
      <c r="S18" s="309"/>
      <c r="T18" s="309"/>
      <c r="U18" s="309"/>
      <c r="V18" s="309"/>
      <c r="W18" s="309"/>
      <c r="X18" s="309"/>
      <c r="Y18" s="309"/>
      <c r="Z18" s="309"/>
      <c r="AA18" s="309"/>
      <c r="AB18" s="309"/>
      <c r="AC18" s="309"/>
      <c r="AD18" s="309"/>
      <c r="AE18" s="309"/>
      <c r="AF18" s="309"/>
      <c r="AG18" s="309"/>
      <c r="AH18" s="309"/>
      <c r="AI18" s="309"/>
      <c r="AJ18" s="309"/>
      <c r="AK18" s="309"/>
      <c r="AL18" s="309"/>
      <c r="AM18" s="309"/>
      <c r="AN18" s="309"/>
      <c r="AO18" s="309"/>
      <c r="AP18" s="309"/>
      <c r="AQ18" s="310"/>
    </row>
    <row r="19" spans="1:43" ht="20.100000000000001" customHeight="1" x14ac:dyDescent="0.25">
      <c r="A19" s="12"/>
      <c r="B19" s="308"/>
      <c r="C19" s="309"/>
      <c r="D19" s="309"/>
      <c r="E19" s="309"/>
      <c r="F19" s="309"/>
      <c r="G19" s="309"/>
      <c r="H19" s="309"/>
      <c r="I19" s="309"/>
      <c r="J19" s="309"/>
      <c r="K19" s="309"/>
      <c r="L19" s="309"/>
      <c r="M19" s="309"/>
      <c r="N19" s="309"/>
      <c r="O19" s="309"/>
      <c r="P19" s="309"/>
      <c r="Q19" s="309"/>
      <c r="R19" s="309"/>
      <c r="S19" s="309"/>
      <c r="T19" s="309"/>
      <c r="U19" s="309"/>
      <c r="V19" s="309"/>
      <c r="W19" s="309"/>
      <c r="X19" s="309"/>
      <c r="Y19" s="309"/>
      <c r="Z19" s="309"/>
      <c r="AA19" s="309"/>
      <c r="AB19" s="309"/>
      <c r="AC19" s="309"/>
      <c r="AD19" s="309"/>
      <c r="AE19" s="309"/>
      <c r="AF19" s="309"/>
      <c r="AG19" s="309"/>
      <c r="AH19" s="309"/>
      <c r="AI19" s="309"/>
      <c r="AJ19" s="309"/>
      <c r="AK19" s="309"/>
      <c r="AL19" s="309"/>
      <c r="AM19" s="309"/>
      <c r="AN19" s="309"/>
      <c r="AO19" s="309"/>
      <c r="AP19" s="309"/>
      <c r="AQ19" s="310"/>
    </row>
    <row r="20" spans="1:43" ht="20.100000000000001" customHeight="1" x14ac:dyDescent="0.25">
      <c r="A20" s="12"/>
      <c r="B20" s="308"/>
      <c r="C20" s="309"/>
      <c r="D20" s="309"/>
      <c r="E20" s="309"/>
      <c r="F20" s="309"/>
      <c r="G20" s="309"/>
      <c r="H20" s="309"/>
      <c r="I20" s="309"/>
      <c r="J20" s="309"/>
      <c r="K20" s="309"/>
      <c r="L20" s="309"/>
      <c r="M20" s="309"/>
      <c r="N20" s="309"/>
      <c r="O20" s="309"/>
      <c r="P20" s="309"/>
      <c r="Q20" s="309"/>
      <c r="R20" s="309"/>
      <c r="S20" s="309"/>
      <c r="T20" s="309"/>
      <c r="U20" s="309"/>
      <c r="V20" s="309"/>
      <c r="W20" s="309"/>
      <c r="X20" s="309"/>
      <c r="Y20" s="309"/>
      <c r="Z20" s="309"/>
      <c r="AA20" s="309"/>
      <c r="AB20" s="309"/>
      <c r="AC20" s="309"/>
      <c r="AD20" s="309"/>
      <c r="AE20" s="309"/>
      <c r="AF20" s="309"/>
      <c r="AG20" s="309"/>
      <c r="AH20" s="309"/>
      <c r="AI20" s="309"/>
      <c r="AJ20" s="309"/>
      <c r="AK20" s="309"/>
      <c r="AL20" s="309"/>
      <c r="AM20" s="309"/>
      <c r="AN20" s="309"/>
      <c r="AO20" s="309"/>
      <c r="AP20" s="309"/>
      <c r="AQ20" s="310"/>
    </row>
    <row r="21" spans="1:43" ht="20.100000000000001" customHeight="1" x14ac:dyDescent="0.25">
      <c r="A21" s="12"/>
      <c r="B21" s="308"/>
      <c r="C21" s="309"/>
      <c r="D21" s="309"/>
      <c r="E21" s="309"/>
      <c r="F21" s="309"/>
      <c r="G21" s="309"/>
      <c r="H21" s="309"/>
      <c r="I21" s="309"/>
      <c r="J21" s="309"/>
      <c r="K21" s="309"/>
      <c r="L21" s="309"/>
      <c r="M21" s="309"/>
      <c r="N21" s="309"/>
      <c r="O21" s="309"/>
      <c r="P21" s="309"/>
      <c r="Q21" s="309"/>
      <c r="R21" s="309"/>
      <c r="S21" s="309"/>
      <c r="T21" s="309"/>
      <c r="U21" s="309"/>
      <c r="V21" s="309"/>
      <c r="W21" s="309"/>
      <c r="X21" s="309"/>
      <c r="Y21" s="309"/>
      <c r="Z21" s="309"/>
      <c r="AA21" s="309"/>
      <c r="AB21" s="309"/>
      <c r="AC21" s="309"/>
      <c r="AD21" s="309"/>
      <c r="AE21" s="309"/>
      <c r="AF21" s="309"/>
      <c r="AG21" s="309"/>
      <c r="AH21" s="309"/>
      <c r="AI21" s="309"/>
      <c r="AJ21" s="309"/>
      <c r="AK21" s="309"/>
      <c r="AL21" s="309"/>
      <c r="AM21" s="309"/>
      <c r="AN21" s="309"/>
      <c r="AO21" s="309"/>
      <c r="AP21" s="309"/>
      <c r="AQ21" s="310"/>
    </row>
    <row r="22" spans="1:43" ht="20.100000000000001" customHeight="1" x14ac:dyDescent="0.25">
      <c r="A22" s="12"/>
      <c r="B22" s="308"/>
      <c r="C22" s="309"/>
      <c r="D22" s="309"/>
      <c r="E22" s="309"/>
      <c r="F22" s="309"/>
      <c r="G22" s="309"/>
      <c r="H22" s="309"/>
      <c r="I22" s="309"/>
      <c r="J22" s="309"/>
      <c r="K22" s="309"/>
      <c r="L22" s="309"/>
      <c r="M22" s="309"/>
      <c r="N22" s="309"/>
      <c r="O22" s="309"/>
      <c r="P22" s="309"/>
      <c r="Q22" s="309"/>
      <c r="R22" s="309"/>
      <c r="S22" s="309"/>
      <c r="T22" s="309"/>
      <c r="U22" s="309"/>
      <c r="V22" s="309"/>
      <c r="W22" s="309"/>
      <c r="X22" s="309"/>
      <c r="Y22" s="309"/>
      <c r="Z22" s="309"/>
      <c r="AA22" s="309"/>
      <c r="AB22" s="309"/>
      <c r="AC22" s="309"/>
      <c r="AD22" s="309"/>
      <c r="AE22" s="309"/>
      <c r="AF22" s="309"/>
      <c r="AG22" s="309"/>
      <c r="AH22" s="309"/>
      <c r="AI22" s="309"/>
      <c r="AJ22" s="309"/>
      <c r="AK22" s="309"/>
      <c r="AL22" s="309"/>
      <c r="AM22" s="309"/>
      <c r="AN22" s="309"/>
      <c r="AO22" s="309"/>
      <c r="AP22" s="309"/>
      <c r="AQ22" s="310"/>
    </row>
    <row r="23" spans="1:43" ht="20.100000000000001" customHeight="1" x14ac:dyDescent="0.25">
      <c r="A23" s="12"/>
      <c r="B23" s="308"/>
      <c r="C23" s="309"/>
      <c r="D23" s="309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09"/>
      <c r="W23" s="309"/>
      <c r="X23" s="309"/>
      <c r="Y23" s="309"/>
      <c r="Z23" s="309"/>
      <c r="AA23" s="309"/>
      <c r="AB23" s="309"/>
      <c r="AC23" s="309"/>
      <c r="AD23" s="309"/>
      <c r="AE23" s="309"/>
      <c r="AF23" s="309"/>
      <c r="AG23" s="309"/>
      <c r="AH23" s="309"/>
      <c r="AI23" s="309"/>
      <c r="AJ23" s="309"/>
      <c r="AK23" s="309"/>
      <c r="AL23" s="309"/>
      <c r="AM23" s="309"/>
      <c r="AN23" s="309"/>
      <c r="AO23" s="309"/>
      <c r="AP23" s="309"/>
      <c r="AQ23" s="310"/>
    </row>
    <row r="24" spans="1:43" ht="20.100000000000001" customHeight="1" x14ac:dyDescent="0.25">
      <c r="A24" s="12"/>
      <c r="B24" s="308"/>
      <c r="C24" s="309"/>
      <c r="D24" s="309"/>
      <c r="E24" s="309"/>
      <c r="F24" s="309"/>
      <c r="G24" s="309"/>
      <c r="H24" s="309"/>
      <c r="I24" s="309"/>
      <c r="J24" s="309"/>
      <c r="K24" s="309"/>
      <c r="L24" s="309"/>
      <c r="M24" s="309"/>
      <c r="N24" s="309"/>
      <c r="O24" s="309"/>
      <c r="P24" s="309"/>
      <c r="Q24" s="309"/>
      <c r="R24" s="309"/>
      <c r="S24" s="309"/>
      <c r="T24" s="309"/>
      <c r="U24" s="309"/>
      <c r="V24" s="309"/>
      <c r="W24" s="309"/>
      <c r="X24" s="309"/>
      <c r="Y24" s="309"/>
      <c r="Z24" s="309"/>
      <c r="AA24" s="309"/>
      <c r="AB24" s="309"/>
      <c r="AC24" s="309"/>
      <c r="AD24" s="309"/>
      <c r="AE24" s="309"/>
      <c r="AF24" s="309"/>
      <c r="AG24" s="309"/>
      <c r="AH24" s="309"/>
      <c r="AI24" s="309"/>
      <c r="AJ24" s="309"/>
      <c r="AK24" s="309"/>
      <c r="AL24" s="309"/>
      <c r="AM24" s="309"/>
      <c r="AN24" s="309"/>
      <c r="AO24" s="309"/>
      <c r="AP24" s="309"/>
      <c r="AQ24" s="310"/>
    </row>
    <row r="25" spans="1:43" ht="20.100000000000001" customHeight="1" x14ac:dyDescent="0.25">
      <c r="A25" s="12"/>
      <c r="B25" s="308"/>
      <c r="C25" s="309"/>
      <c r="D25" s="309"/>
      <c r="E25" s="309"/>
      <c r="F25" s="309"/>
      <c r="G25" s="309"/>
      <c r="H25" s="309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Y25" s="309"/>
      <c r="Z25" s="309"/>
      <c r="AA25" s="309"/>
      <c r="AB25" s="309"/>
      <c r="AC25" s="309"/>
      <c r="AD25" s="309"/>
      <c r="AE25" s="309"/>
      <c r="AF25" s="309"/>
      <c r="AG25" s="309"/>
      <c r="AH25" s="309"/>
      <c r="AI25" s="309"/>
      <c r="AJ25" s="309"/>
      <c r="AK25" s="309"/>
      <c r="AL25" s="309"/>
      <c r="AM25" s="309"/>
      <c r="AN25" s="309"/>
      <c r="AO25" s="309"/>
      <c r="AP25" s="309"/>
      <c r="AQ25" s="310"/>
    </row>
    <row r="26" spans="1:43" ht="20.100000000000001" customHeight="1" x14ac:dyDescent="0.25">
      <c r="A26" s="12"/>
      <c r="B26" s="308"/>
      <c r="C26" s="309"/>
      <c r="D26" s="309"/>
      <c r="E26" s="309"/>
      <c r="F26" s="309"/>
      <c r="G26" s="309"/>
      <c r="H26" s="309"/>
      <c r="I26" s="309"/>
      <c r="J26" s="309"/>
      <c r="K26" s="309"/>
      <c r="L26" s="309"/>
      <c r="M26" s="309"/>
      <c r="N26" s="309"/>
      <c r="O26" s="309"/>
      <c r="P26" s="309"/>
      <c r="Q26" s="309"/>
      <c r="R26" s="309"/>
      <c r="S26" s="309"/>
      <c r="T26" s="309"/>
      <c r="U26" s="309"/>
      <c r="V26" s="309"/>
      <c r="W26" s="309"/>
      <c r="X26" s="309"/>
      <c r="Y26" s="309"/>
      <c r="Z26" s="309"/>
      <c r="AA26" s="309"/>
      <c r="AB26" s="309"/>
      <c r="AC26" s="309"/>
      <c r="AD26" s="309"/>
      <c r="AE26" s="309"/>
      <c r="AF26" s="309"/>
      <c r="AG26" s="309"/>
      <c r="AH26" s="309"/>
      <c r="AI26" s="309"/>
      <c r="AJ26" s="309"/>
      <c r="AK26" s="309"/>
      <c r="AL26" s="309"/>
      <c r="AM26" s="309"/>
      <c r="AN26" s="309"/>
      <c r="AO26" s="309"/>
      <c r="AP26" s="309"/>
      <c r="AQ26" s="310"/>
    </row>
    <row r="27" spans="1:43" ht="15.75" thickBot="1" x14ac:dyDescent="0.3">
      <c r="A27" s="13"/>
      <c r="B27" s="308"/>
      <c r="C27" s="309"/>
      <c r="D27" s="309"/>
      <c r="E27" s="309"/>
      <c r="F27" s="309"/>
      <c r="G27" s="309"/>
      <c r="H27" s="309"/>
      <c r="I27" s="309"/>
      <c r="J27" s="309"/>
      <c r="K27" s="309"/>
      <c r="L27" s="309"/>
      <c r="M27" s="309"/>
      <c r="N27" s="309"/>
      <c r="O27" s="309"/>
      <c r="P27" s="309"/>
      <c r="Q27" s="309"/>
      <c r="R27" s="309"/>
      <c r="S27" s="309"/>
      <c r="T27" s="309"/>
      <c r="U27" s="309"/>
      <c r="V27" s="309"/>
      <c r="W27" s="309"/>
      <c r="X27" s="309"/>
      <c r="Y27" s="309"/>
      <c r="Z27" s="309"/>
      <c r="AA27" s="309"/>
      <c r="AB27" s="309"/>
      <c r="AC27" s="309"/>
      <c r="AD27" s="309"/>
      <c r="AE27" s="309"/>
      <c r="AF27" s="309"/>
      <c r="AG27" s="309"/>
      <c r="AH27" s="309"/>
      <c r="AI27" s="309"/>
      <c r="AJ27" s="309"/>
      <c r="AK27" s="309"/>
      <c r="AL27" s="309"/>
      <c r="AM27" s="309"/>
      <c r="AN27" s="309"/>
      <c r="AO27" s="309"/>
      <c r="AP27" s="309"/>
      <c r="AQ27" s="310"/>
    </row>
    <row r="28" spans="1:43" ht="24" customHeight="1" thickBot="1" x14ac:dyDescent="0.3">
      <c r="A28" s="293" t="s">
        <v>35</v>
      </c>
      <c r="B28" s="374" t="s">
        <v>36</v>
      </c>
      <c r="C28" s="371"/>
      <c r="D28" s="370" t="s">
        <v>37</v>
      </c>
      <c r="E28" s="371"/>
      <c r="F28" s="370" t="s">
        <v>38</v>
      </c>
      <c r="G28" s="371"/>
      <c r="H28" s="370" t="s">
        <v>39</v>
      </c>
      <c r="I28" s="371"/>
      <c r="J28" s="370" t="s">
        <v>40</v>
      </c>
      <c r="K28" s="371"/>
      <c r="L28" s="370" t="s">
        <v>41</v>
      </c>
      <c r="M28" s="371"/>
      <c r="N28" s="370" t="s">
        <v>42</v>
      </c>
      <c r="O28" s="371"/>
      <c r="P28" s="370" t="s">
        <v>43</v>
      </c>
      <c r="Q28" s="371"/>
      <c r="R28" s="370" t="s">
        <v>44</v>
      </c>
      <c r="S28" s="371"/>
      <c r="T28" s="370" t="s">
        <v>45</v>
      </c>
      <c r="U28" s="371"/>
      <c r="V28" s="370" t="s">
        <v>46</v>
      </c>
      <c r="W28" s="371"/>
      <c r="X28" s="370" t="s">
        <v>47</v>
      </c>
      <c r="Y28" s="371"/>
      <c r="Z28" s="370" t="s">
        <v>48</v>
      </c>
      <c r="AA28" s="371"/>
      <c r="AB28" s="370" t="s">
        <v>49</v>
      </c>
      <c r="AC28" s="371"/>
      <c r="AD28" s="370" t="s">
        <v>50</v>
      </c>
      <c r="AE28" s="371"/>
      <c r="AF28" s="370" t="s">
        <v>51</v>
      </c>
      <c r="AG28" s="371"/>
      <c r="AH28" s="370" t="s">
        <v>52</v>
      </c>
      <c r="AI28" s="371"/>
      <c r="AJ28" s="370" t="s">
        <v>53</v>
      </c>
      <c r="AK28" s="371"/>
      <c r="AL28" s="370" t="s">
        <v>54</v>
      </c>
      <c r="AM28" s="371"/>
      <c r="AN28" s="370" t="s">
        <v>55</v>
      </c>
      <c r="AO28" s="371"/>
      <c r="AP28" s="370" t="s">
        <v>56</v>
      </c>
      <c r="AQ28" s="377"/>
    </row>
    <row r="29" spans="1:43" ht="24" customHeight="1" x14ac:dyDescent="0.25">
      <c r="A29" s="292" t="s">
        <v>57</v>
      </c>
      <c r="B29" s="372" t="s">
        <v>58</v>
      </c>
      <c r="C29" s="361"/>
      <c r="D29" s="360" t="s">
        <v>58</v>
      </c>
      <c r="E29" s="361"/>
      <c r="F29" s="360" t="s">
        <v>58</v>
      </c>
      <c r="G29" s="361"/>
      <c r="H29" s="365" t="s">
        <v>59</v>
      </c>
      <c r="I29" s="366"/>
      <c r="J29" s="360" t="s">
        <v>58</v>
      </c>
      <c r="K29" s="361"/>
      <c r="L29" s="360" t="s">
        <v>58</v>
      </c>
      <c r="M29" s="361"/>
      <c r="N29" s="365" t="s">
        <v>59</v>
      </c>
      <c r="O29" s="366"/>
      <c r="P29" s="360" t="s">
        <v>58</v>
      </c>
      <c r="Q29" s="361"/>
      <c r="R29" s="365" t="s">
        <v>59</v>
      </c>
      <c r="S29" s="366"/>
      <c r="T29" s="365" t="s">
        <v>59</v>
      </c>
      <c r="U29" s="366"/>
      <c r="V29" s="360" t="s">
        <v>58</v>
      </c>
      <c r="W29" s="361"/>
      <c r="X29" s="365" t="s">
        <v>59</v>
      </c>
      <c r="Y29" s="366"/>
      <c r="Z29" s="360" t="s">
        <v>58</v>
      </c>
      <c r="AA29" s="361"/>
      <c r="AB29" s="365" t="s">
        <v>59</v>
      </c>
      <c r="AC29" s="366"/>
      <c r="AD29" s="365" t="s">
        <v>59</v>
      </c>
      <c r="AE29" s="366"/>
      <c r="AF29" s="360" t="s">
        <v>58</v>
      </c>
      <c r="AG29" s="361"/>
      <c r="AH29" s="360" t="s">
        <v>58</v>
      </c>
      <c r="AI29" s="361"/>
      <c r="AJ29" s="360" t="s">
        <v>58</v>
      </c>
      <c r="AK29" s="361"/>
      <c r="AL29" s="360" t="s">
        <v>58</v>
      </c>
      <c r="AM29" s="361"/>
      <c r="AN29" s="360" t="s">
        <v>58</v>
      </c>
      <c r="AO29" s="362"/>
      <c r="AP29" s="363" t="s">
        <v>59</v>
      </c>
      <c r="AQ29" s="364"/>
    </row>
    <row r="30" spans="1:43" ht="24" customHeight="1" x14ac:dyDescent="0.25">
      <c r="A30" s="38" t="s">
        <v>60</v>
      </c>
      <c r="B30" s="320">
        <v>23.8</v>
      </c>
      <c r="C30" s="321"/>
      <c r="D30" s="322">
        <v>22.6</v>
      </c>
      <c r="E30" s="321"/>
      <c r="F30" s="322">
        <v>22.6</v>
      </c>
      <c r="G30" s="321"/>
      <c r="H30" s="322">
        <v>29.8</v>
      </c>
      <c r="I30" s="321"/>
      <c r="J30" s="322">
        <v>25.3</v>
      </c>
      <c r="K30" s="321"/>
      <c r="L30" s="322">
        <v>25.8</v>
      </c>
      <c r="M30" s="321"/>
      <c r="N30" s="322">
        <v>25.6</v>
      </c>
      <c r="O30" s="321"/>
      <c r="P30" s="322">
        <v>22.6</v>
      </c>
      <c r="Q30" s="321"/>
      <c r="R30" s="322">
        <v>22.5</v>
      </c>
      <c r="S30" s="321"/>
      <c r="T30" s="322">
        <v>25</v>
      </c>
      <c r="U30" s="321"/>
      <c r="V30" s="322">
        <v>25.7</v>
      </c>
      <c r="W30" s="321"/>
      <c r="X30" s="322">
        <v>22.6</v>
      </c>
      <c r="Y30" s="321"/>
      <c r="Z30" s="322">
        <v>22.1</v>
      </c>
      <c r="AA30" s="321"/>
      <c r="AB30" s="322">
        <v>22.4</v>
      </c>
      <c r="AC30" s="321"/>
      <c r="AD30" s="322">
        <v>20.3</v>
      </c>
      <c r="AE30" s="321"/>
      <c r="AF30" s="322">
        <v>20.9</v>
      </c>
      <c r="AG30" s="321"/>
      <c r="AH30" s="322">
        <v>22.1</v>
      </c>
      <c r="AI30" s="321"/>
      <c r="AJ30" s="322">
        <v>25.4</v>
      </c>
      <c r="AK30" s="321"/>
      <c r="AL30" s="322">
        <v>22.4</v>
      </c>
      <c r="AM30" s="321"/>
      <c r="AN30" s="322">
        <v>22.1</v>
      </c>
      <c r="AO30" s="367"/>
      <c r="AP30" s="368"/>
      <c r="AQ30" s="369"/>
    </row>
    <row r="31" spans="1:43" ht="24" customHeight="1" x14ac:dyDescent="0.25">
      <c r="A31" s="38" t="s">
        <v>61</v>
      </c>
      <c r="B31" s="359">
        <v>130.55000000000001</v>
      </c>
      <c r="C31" s="314"/>
      <c r="D31" s="314">
        <v>141.55000000000001</v>
      </c>
      <c r="E31" s="314"/>
      <c r="F31" s="314">
        <v>182.63</v>
      </c>
      <c r="G31" s="314"/>
      <c r="H31" s="314">
        <v>204.04</v>
      </c>
      <c r="I31" s="314"/>
      <c r="J31" s="314">
        <v>179.03</v>
      </c>
      <c r="K31" s="314"/>
      <c r="L31" s="314">
        <v>222.42</v>
      </c>
      <c r="M31" s="314"/>
      <c r="N31" s="314">
        <v>230.44</v>
      </c>
      <c r="O31" s="314"/>
      <c r="P31" s="314">
        <v>220.24</v>
      </c>
      <c r="Q31" s="314"/>
      <c r="R31" s="314">
        <v>201.37</v>
      </c>
      <c r="S31" s="314"/>
      <c r="T31" s="314">
        <v>213.04</v>
      </c>
      <c r="U31" s="314"/>
      <c r="V31" s="314">
        <v>227.45</v>
      </c>
      <c r="W31" s="314"/>
      <c r="X31" s="314">
        <v>260.79000000000002</v>
      </c>
      <c r="Y31" s="314"/>
      <c r="Z31" s="314">
        <v>237.85</v>
      </c>
      <c r="AA31" s="314"/>
      <c r="AB31" s="314">
        <v>264.61</v>
      </c>
      <c r="AC31" s="314"/>
      <c r="AD31" s="314">
        <v>249.92</v>
      </c>
      <c r="AE31" s="314"/>
      <c r="AF31" s="314">
        <v>233.38</v>
      </c>
      <c r="AG31" s="314"/>
      <c r="AH31" s="314">
        <v>220.72</v>
      </c>
      <c r="AI31" s="314"/>
      <c r="AJ31" s="314">
        <v>258.2</v>
      </c>
      <c r="AK31" s="314"/>
      <c r="AL31" s="314">
        <v>215.9</v>
      </c>
      <c r="AM31" s="314"/>
      <c r="AN31" s="314">
        <v>253.7</v>
      </c>
      <c r="AO31" s="314"/>
      <c r="AP31" s="314">
        <v>245.73</v>
      </c>
      <c r="AQ31" s="346"/>
    </row>
    <row r="32" spans="1:43" ht="24" customHeight="1" x14ac:dyDescent="0.25">
      <c r="A32" s="38" t="s">
        <v>62</v>
      </c>
      <c r="B32" s="350"/>
      <c r="C32" s="351"/>
      <c r="D32" s="312">
        <v>179.99</v>
      </c>
      <c r="E32" s="313"/>
      <c r="F32" s="312">
        <v>180</v>
      </c>
      <c r="G32" s="313"/>
      <c r="H32" s="312">
        <v>179.89</v>
      </c>
      <c r="I32" s="313"/>
      <c r="J32" s="312">
        <v>179.99</v>
      </c>
      <c r="K32" s="313"/>
      <c r="L32" s="312">
        <v>179.9</v>
      </c>
      <c r="M32" s="313"/>
      <c r="N32" s="312">
        <v>179.92</v>
      </c>
      <c r="O32" s="313"/>
      <c r="P32" s="312">
        <v>167.16</v>
      </c>
      <c r="Q32" s="313"/>
      <c r="R32" s="312">
        <v>179.91</v>
      </c>
      <c r="S32" s="313"/>
      <c r="T32" s="312">
        <v>179.8</v>
      </c>
      <c r="U32" s="313"/>
      <c r="V32" s="312">
        <v>179.79</v>
      </c>
      <c r="W32" s="313"/>
      <c r="X32" s="312">
        <v>179.87</v>
      </c>
      <c r="Y32" s="313"/>
      <c r="Z32" s="312">
        <v>179.77</v>
      </c>
      <c r="AA32" s="313"/>
      <c r="AB32" s="312">
        <v>179.92</v>
      </c>
      <c r="AC32" s="313"/>
      <c r="AD32" s="312">
        <v>179.87</v>
      </c>
      <c r="AE32" s="313"/>
      <c r="AF32" s="312">
        <v>179.78</v>
      </c>
      <c r="AG32" s="313"/>
      <c r="AH32" s="312">
        <v>179.84</v>
      </c>
      <c r="AI32" s="313"/>
      <c r="AJ32" s="312">
        <v>177.47</v>
      </c>
      <c r="AK32" s="313"/>
      <c r="AL32" s="312">
        <v>179.93</v>
      </c>
      <c r="AM32" s="313"/>
      <c r="AN32" s="312">
        <v>177.36</v>
      </c>
      <c r="AO32" s="347"/>
      <c r="AP32" s="348">
        <v>179.91</v>
      </c>
      <c r="AQ32" s="349"/>
    </row>
    <row r="33" spans="1:43" ht="24" customHeight="1" x14ac:dyDescent="0.25">
      <c r="A33" s="38" t="s">
        <v>86</v>
      </c>
      <c r="B33" s="357">
        <v>517441.26</v>
      </c>
      <c r="C33" s="344"/>
      <c r="D33" s="343">
        <v>517290.8</v>
      </c>
      <c r="E33" s="344"/>
      <c r="F33" s="343">
        <v>517148.14</v>
      </c>
      <c r="G33" s="344"/>
      <c r="H33" s="343">
        <v>517078.75</v>
      </c>
      <c r="I33" s="344"/>
      <c r="J33" s="343">
        <v>516957.49</v>
      </c>
      <c r="K33" s="344"/>
      <c r="L33" s="343">
        <v>516766.68</v>
      </c>
      <c r="M33" s="344"/>
      <c r="N33" s="343">
        <v>516609.26</v>
      </c>
      <c r="O33" s="344"/>
      <c r="P33" s="343">
        <v>516497.18</v>
      </c>
      <c r="Q33" s="344"/>
      <c r="R33" s="343">
        <v>516360.48</v>
      </c>
      <c r="S33" s="344"/>
      <c r="T33" s="343">
        <v>516116.8</v>
      </c>
      <c r="U33" s="344"/>
      <c r="V33" s="343">
        <v>516032.64</v>
      </c>
      <c r="W33" s="344"/>
      <c r="X33" s="343">
        <v>515783.9</v>
      </c>
      <c r="Y33" s="344"/>
      <c r="Z33" s="343">
        <v>515557.44</v>
      </c>
      <c r="AA33" s="344"/>
      <c r="AB33" s="343">
        <v>515418.73</v>
      </c>
      <c r="AC33" s="344"/>
      <c r="AD33" s="343">
        <v>515290.95</v>
      </c>
      <c r="AE33" s="344"/>
      <c r="AF33" s="343">
        <v>515166.91</v>
      </c>
      <c r="AG33" s="344"/>
      <c r="AH33" s="343">
        <v>515063</v>
      </c>
      <c r="AI33" s="344"/>
      <c r="AJ33" s="343">
        <v>514851.42</v>
      </c>
      <c r="AK33" s="344"/>
      <c r="AL33" s="343">
        <v>514758.46</v>
      </c>
      <c r="AM33" s="344"/>
      <c r="AN33" s="343">
        <v>514422.99</v>
      </c>
      <c r="AO33" s="345"/>
      <c r="AP33" s="314">
        <v>514370.71</v>
      </c>
      <c r="AQ33" s="346"/>
    </row>
    <row r="34" spans="1:43" ht="24" customHeight="1" x14ac:dyDescent="0.25">
      <c r="A34" s="38" t="s">
        <v>87</v>
      </c>
      <c r="B34" s="357">
        <v>4918351.83</v>
      </c>
      <c r="C34" s="344"/>
      <c r="D34" s="343">
        <v>4918465.51</v>
      </c>
      <c r="E34" s="344"/>
      <c r="F34" s="343">
        <v>4918573.2699999996</v>
      </c>
      <c r="G34" s="344"/>
      <c r="H34" s="343">
        <v>4918625.68</v>
      </c>
      <c r="I34" s="344"/>
      <c r="J34" s="343">
        <v>4918717.6500000004</v>
      </c>
      <c r="K34" s="344"/>
      <c r="L34" s="343">
        <v>4918862.3</v>
      </c>
      <c r="M34" s="344"/>
      <c r="N34" s="343">
        <v>4918981.1900000004</v>
      </c>
      <c r="O34" s="344"/>
      <c r="P34" s="343">
        <v>4919066.07</v>
      </c>
      <c r="Q34" s="344"/>
      <c r="R34" s="343">
        <v>4919127.78</v>
      </c>
      <c r="S34" s="344"/>
      <c r="T34" s="343">
        <v>4919238.2300000004</v>
      </c>
      <c r="U34" s="344"/>
      <c r="V34" s="343">
        <v>4919276.0199999996</v>
      </c>
      <c r="W34" s="344"/>
      <c r="X34" s="343">
        <v>4919388.79</v>
      </c>
      <c r="Y34" s="344"/>
      <c r="Z34" s="343">
        <v>4919490.8600000003</v>
      </c>
      <c r="AA34" s="344"/>
      <c r="AB34" s="343">
        <v>4919554.0599999996</v>
      </c>
      <c r="AC34" s="344"/>
      <c r="AD34" s="343">
        <v>4919612.07</v>
      </c>
      <c r="AE34" s="344"/>
      <c r="AF34" s="343">
        <v>4919668.04</v>
      </c>
      <c r="AG34" s="344"/>
      <c r="AH34" s="343">
        <v>4919715.4000000004</v>
      </c>
      <c r="AI34" s="344"/>
      <c r="AJ34" s="343">
        <v>4919811.13</v>
      </c>
      <c r="AK34" s="344"/>
      <c r="AL34" s="343">
        <v>4919848.34</v>
      </c>
      <c r="AM34" s="344"/>
      <c r="AN34" s="343">
        <v>4919983.0999999996</v>
      </c>
      <c r="AO34" s="345"/>
      <c r="AP34" s="314">
        <v>4920001.3499999996</v>
      </c>
      <c r="AQ34" s="346"/>
    </row>
    <row r="35" spans="1:43" ht="24" customHeight="1" x14ac:dyDescent="0.25">
      <c r="A35" s="38" t="s">
        <v>63</v>
      </c>
      <c r="B35" s="47"/>
      <c r="C35" s="311">
        <v>188.58</v>
      </c>
      <c r="D35" s="311"/>
      <c r="E35" s="311">
        <v>178.79</v>
      </c>
      <c r="F35" s="311"/>
      <c r="G35" s="311">
        <v>86.96</v>
      </c>
      <c r="H35" s="311"/>
      <c r="I35" s="311">
        <v>152.19</v>
      </c>
      <c r="J35" s="311"/>
      <c r="K35" s="311">
        <v>239.44</v>
      </c>
      <c r="L35" s="311"/>
      <c r="M35" s="311">
        <v>197.27</v>
      </c>
      <c r="N35" s="311"/>
      <c r="O35" s="311">
        <v>140.59</v>
      </c>
      <c r="P35" s="311"/>
      <c r="Q35" s="311">
        <v>149.97999999999999</v>
      </c>
      <c r="R35" s="311"/>
      <c r="S35" s="311">
        <v>267.54000000000002</v>
      </c>
      <c r="T35" s="311"/>
      <c r="U35" s="311">
        <v>92.26</v>
      </c>
      <c r="V35" s="311"/>
      <c r="W35" s="311">
        <v>273.11</v>
      </c>
      <c r="X35" s="311"/>
      <c r="Y35" s="311">
        <v>248.4</v>
      </c>
      <c r="Z35" s="311"/>
      <c r="AA35" s="311">
        <v>152.43</v>
      </c>
      <c r="AB35" s="311"/>
      <c r="AC35" s="311">
        <v>140.33000000000001</v>
      </c>
      <c r="AD35" s="311"/>
      <c r="AE35" s="311">
        <v>136.08000000000001</v>
      </c>
      <c r="AF35" s="311"/>
      <c r="AG35" s="311">
        <v>114.19</v>
      </c>
      <c r="AH35" s="311"/>
      <c r="AI35" s="311">
        <v>232.23</v>
      </c>
      <c r="AJ35" s="311"/>
      <c r="AK35" s="311">
        <v>100.13</v>
      </c>
      <c r="AL35" s="311"/>
      <c r="AM35" s="311">
        <v>361.53</v>
      </c>
      <c r="AN35" s="311"/>
      <c r="AO35" s="303">
        <v>55.37</v>
      </c>
      <c r="AP35" s="304"/>
      <c r="AQ35" s="48"/>
    </row>
    <row r="36" spans="1:43" ht="24" customHeight="1" x14ac:dyDescent="0.25">
      <c r="A36" s="38" t="s">
        <v>510</v>
      </c>
      <c r="B36" s="47"/>
      <c r="C36" s="318">
        <f>TESATURA_NORMALIZADA!G6</f>
        <v>344</v>
      </c>
      <c r="D36" s="319"/>
      <c r="E36" s="318">
        <f>TESATURA_NORMALIZADA!G7</f>
        <v>388</v>
      </c>
      <c r="F36" s="319"/>
      <c r="G36" s="318">
        <f>TESATURA_NORMALIZADA!G8</f>
        <v>1532</v>
      </c>
      <c r="H36" s="319"/>
      <c r="I36" s="318">
        <f>TESATURA_NORMALIZADA!G9</f>
        <v>427</v>
      </c>
      <c r="J36" s="319"/>
      <c r="K36" s="318">
        <f>TESATURA_NORMALIZADA!G10</f>
        <v>332</v>
      </c>
      <c r="L36" s="319"/>
      <c r="M36" s="318">
        <f>TESATURA_NORMALIZADA!G11</f>
        <v>373</v>
      </c>
      <c r="N36" s="319"/>
      <c r="O36" s="318">
        <f>TESATURA_NORMALIZADA!G12</f>
        <v>653</v>
      </c>
      <c r="P36" s="319"/>
      <c r="Q36" s="318">
        <f>TESATURA_NORMALIZADA!G13</f>
        <v>297</v>
      </c>
      <c r="R36" s="319"/>
      <c r="S36" s="318">
        <f>TESATURA_NORMALIZADA!G14</f>
        <v>351</v>
      </c>
      <c r="T36" s="319"/>
      <c r="U36" s="318">
        <f>TESATURA_NORMALIZADA!G15</f>
        <v>816</v>
      </c>
      <c r="V36" s="319"/>
      <c r="W36" s="318">
        <f>TESATURA_NORMALIZADA!G16</f>
        <v>350</v>
      </c>
      <c r="X36" s="319"/>
      <c r="Y36" s="318">
        <f>TESATURA_NORMALIZADA!G17</f>
        <v>346</v>
      </c>
      <c r="Z36" s="319"/>
      <c r="AA36" s="318">
        <f>TESATURA_NORMALIZADA!G18</f>
        <v>509</v>
      </c>
      <c r="AB36" s="319"/>
      <c r="AC36" s="318">
        <f>TESATURA_NORMALIZADA!G19</f>
        <v>369</v>
      </c>
      <c r="AD36" s="319"/>
      <c r="AE36" s="318">
        <f>TESATURA_NORMALIZADA!G20</f>
        <v>386</v>
      </c>
      <c r="AF36" s="319"/>
      <c r="AG36" s="318">
        <f>TESATURA_NORMALIZADA!G21</f>
        <v>494</v>
      </c>
      <c r="AH36" s="319"/>
      <c r="AI36" s="318">
        <f>TESATURA_NORMALIZADA!G22</f>
        <v>366</v>
      </c>
      <c r="AJ36" s="319"/>
      <c r="AK36" s="318">
        <f>TESATURA_NORMALIZADA!G23</f>
        <v>556</v>
      </c>
      <c r="AL36" s="319"/>
      <c r="AM36" s="318">
        <f>TESATURA_NORMALIZADA!G24</f>
        <v>346</v>
      </c>
      <c r="AN36" s="319"/>
      <c r="AO36" s="318">
        <f>TESATURA_NORMALIZADA!G25</f>
        <v>1346</v>
      </c>
      <c r="AP36" s="319"/>
      <c r="AQ36" s="48"/>
    </row>
    <row r="37" spans="1:43" ht="24" customHeight="1" x14ac:dyDescent="0.25">
      <c r="A37" s="38" t="s">
        <v>65</v>
      </c>
      <c r="B37" s="358" t="s">
        <v>66</v>
      </c>
      <c r="C37" s="313"/>
      <c r="D37" s="312" t="s">
        <v>64</v>
      </c>
      <c r="E37" s="313"/>
      <c r="F37" s="312" t="s">
        <v>67</v>
      </c>
      <c r="G37" s="313"/>
      <c r="H37" s="312" t="s">
        <v>68</v>
      </c>
      <c r="I37" s="313"/>
      <c r="J37" s="312" t="s">
        <v>69</v>
      </c>
      <c r="K37" s="313"/>
      <c r="L37" s="312" t="s">
        <v>70</v>
      </c>
      <c r="M37" s="313"/>
      <c r="N37" s="312" t="s">
        <v>71</v>
      </c>
      <c r="O37" s="313"/>
      <c r="P37" s="312" t="s">
        <v>72</v>
      </c>
      <c r="Q37" s="313"/>
      <c r="R37" s="312" t="s">
        <v>73</v>
      </c>
      <c r="S37" s="313"/>
      <c r="T37" s="312" t="s">
        <v>74</v>
      </c>
      <c r="U37" s="313"/>
      <c r="V37" s="312" t="s">
        <v>75</v>
      </c>
      <c r="W37" s="313"/>
      <c r="X37" s="312" t="s">
        <v>76</v>
      </c>
      <c r="Y37" s="313"/>
      <c r="Z37" s="312" t="s">
        <v>77</v>
      </c>
      <c r="AA37" s="313"/>
      <c r="AB37" s="312" t="s">
        <v>78</v>
      </c>
      <c r="AC37" s="313"/>
      <c r="AD37" s="312" t="s">
        <v>79</v>
      </c>
      <c r="AE37" s="313"/>
      <c r="AF37" s="312" t="s">
        <v>80</v>
      </c>
      <c r="AG37" s="313"/>
      <c r="AH37" s="312" t="s">
        <v>81</v>
      </c>
      <c r="AI37" s="313"/>
      <c r="AJ37" s="312" t="s">
        <v>82</v>
      </c>
      <c r="AK37" s="313"/>
      <c r="AL37" s="312" t="s">
        <v>83</v>
      </c>
      <c r="AM37" s="313"/>
      <c r="AN37" s="312" t="s">
        <v>84</v>
      </c>
      <c r="AO37" s="347"/>
      <c r="AP37" s="348" t="s">
        <v>85</v>
      </c>
      <c r="AQ37" s="349"/>
    </row>
    <row r="38" spans="1:43" ht="24" customHeight="1" thickBot="1" x14ac:dyDescent="0.3">
      <c r="A38" s="38" t="s">
        <v>509</v>
      </c>
      <c r="B38" s="315">
        <f>SUM(C35:AP35)</f>
        <v>3507.3999999999996</v>
      </c>
      <c r="C38" s="316"/>
      <c r="D38" s="316"/>
      <c r="E38" s="316"/>
      <c r="F38" s="316"/>
      <c r="G38" s="316"/>
      <c r="H38" s="316"/>
      <c r="I38" s="316"/>
      <c r="J38" s="316"/>
      <c r="K38" s="316"/>
      <c r="L38" s="316"/>
      <c r="M38" s="316"/>
      <c r="N38" s="316"/>
      <c r="O38" s="316"/>
      <c r="P38" s="316"/>
      <c r="Q38" s="316"/>
      <c r="R38" s="316"/>
      <c r="S38" s="316"/>
      <c r="T38" s="316"/>
      <c r="U38" s="316"/>
      <c r="V38" s="316"/>
      <c r="W38" s="316"/>
      <c r="X38" s="316"/>
      <c r="Y38" s="316"/>
      <c r="Z38" s="316"/>
      <c r="AA38" s="316"/>
      <c r="AB38" s="316"/>
      <c r="AC38" s="316"/>
      <c r="AD38" s="316"/>
      <c r="AE38" s="316"/>
      <c r="AF38" s="316"/>
      <c r="AG38" s="316"/>
      <c r="AH38" s="316"/>
      <c r="AI38" s="316"/>
      <c r="AJ38" s="316"/>
      <c r="AK38" s="316"/>
      <c r="AL38" s="316"/>
      <c r="AM38" s="316"/>
      <c r="AN38" s="316"/>
      <c r="AO38" s="316"/>
      <c r="AP38" s="316"/>
      <c r="AQ38" s="317"/>
    </row>
    <row r="39" spans="1:43" ht="24" customHeight="1" x14ac:dyDescent="0.25">
      <c r="A39" s="385" t="s">
        <v>494</v>
      </c>
      <c r="B39" s="333"/>
      <c r="C39" s="333"/>
      <c r="D39" s="333"/>
      <c r="E39" s="333"/>
      <c r="F39" s="333"/>
      <c r="G39" s="333"/>
      <c r="H39" s="333"/>
      <c r="I39" s="333"/>
      <c r="J39" s="333"/>
      <c r="K39" s="333"/>
      <c r="L39" s="333"/>
      <c r="M39" s="333"/>
      <c r="N39" s="333"/>
      <c r="O39" s="333"/>
      <c r="P39" s="333"/>
      <c r="Q39" s="333"/>
      <c r="R39" s="333"/>
      <c r="S39" s="333"/>
      <c r="T39" s="333"/>
      <c r="U39" s="333"/>
      <c r="V39" s="333"/>
      <c r="W39" s="333"/>
      <c r="X39" s="333"/>
      <c r="Y39" s="333"/>
      <c r="Z39" s="333"/>
      <c r="AA39" s="333"/>
      <c r="AB39" s="333"/>
      <c r="AC39" s="333"/>
      <c r="AD39" s="333"/>
      <c r="AE39" s="333"/>
      <c r="AF39" s="333"/>
      <c r="AG39" s="333"/>
      <c r="AH39" s="333"/>
      <c r="AI39" s="333"/>
      <c r="AJ39" s="333"/>
      <c r="AK39" s="333"/>
      <c r="AL39" s="333"/>
      <c r="AM39" s="333"/>
      <c r="AN39" s="333"/>
      <c r="AO39" s="333"/>
      <c r="AP39" s="333"/>
      <c r="AQ39" s="294"/>
    </row>
    <row r="40" spans="1:43" ht="24" customHeight="1" x14ac:dyDescent="0.25">
      <c r="A40" s="295" t="s">
        <v>495</v>
      </c>
      <c r="B40" s="330"/>
      <c r="C40" s="330"/>
      <c r="D40" s="330"/>
      <c r="E40" s="330"/>
      <c r="F40" s="330"/>
      <c r="G40" s="330"/>
      <c r="H40" s="330"/>
      <c r="I40" s="330"/>
      <c r="J40" s="330"/>
      <c r="K40" s="330"/>
      <c r="L40" s="330"/>
      <c r="M40" s="330"/>
      <c r="N40" s="330"/>
      <c r="O40" s="330"/>
      <c r="P40" s="330"/>
      <c r="Q40" s="330"/>
      <c r="R40" s="330"/>
      <c r="S40" s="330"/>
      <c r="T40" s="330"/>
      <c r="U40" s="330"/>
      <c r="V40" s="330"/>
      <c r="W40" s="330"/>
      <c r="X40" s="330"/>
      <c r="Y40" s="330"/>
      <c r="Z40" s="330"/>
      <c r="AA40" s="330"/>
      <c r="AB40" s="330"/>
      <c r="AC40" s="330"/>
      <c r="AD40" s="330"/>
      <c r="AE40" s="330"/>
      <c r="AF40" s="330"/>
      <c r="AG40" s="330"/>
      <c r="AH40" s="330"/>
      <c r="AI40" s="330"/>
      <c r="AJ40" s="330"/>
      <c r="AK40" s="330"/>
      <c r="AL40" s="330"/>
      <c r="AM40" s="330"/>
      <c r="AN40" s="330"/>
      <c r="AO40" s="330"/>
      <c r="AP40" s="330"/>
      <c r="AQ40" s="330"/>
    </row>
    <row r="41" spans="1:43" ht="24" customHeight="1" x14ac:dyDescent="0.25">
      <c r="A41" s="295" t="s">
        <v>497</v>
      </c>
      <c r="B41" s="330"/>
      <c r="C41" s="330"/>
      <c r="D41" s="330"/>
      <c r="E41" s="330"/>
      <c r="F41" s="330"/>
      <c r="G41" s="330"/>
      <c r="H41" s="330"/>
      <c r="I41" s="330"/>
      <c r="J41" s="330"/>
      <c r="K41" s="330"/>
      <c r="L41" s="330"/>
      <c r="M41" s="330"/>
      <c r="N41" s="330"/>
      <c r="O41" s="330"/>
      <c r="P41" s="330"/>
      <c r="Q41" s="330"/>
      <c r="R41" s="330"/>
      <c r="S41" s="330"/>
      <c r="T41" s="330"/>
      <c r="U41" s="330"/>
      <c r="V41" s="330"/>
      <c r="W41" s="330"/>
      <c r="X41" s="330"/>
      <c r="Y41" s="330"/>
      <c r="Z41" s="330"/>
      <c r="AA41" s="330"/>
      <c r="AB41" s="330"/>
      <c r="AC41" s="330"/>
      <c r="AD41" s="330"/>
      <c r="AE41" s="330"/>
      <c r="AF41" s="330"/>
      <c r="AG41" s="330"/>
      <c r="AH41" s="330"/>
      <c r="AI41" s="330"/>
      <c r="AJ41" s="330"/>
      <c r="AK41" s="330"/>
      <c r="AL41" s="330"/>
      <c r="AM41" s="330"/>
      <c r="AN41" s="330"/>
      <c r="AO41" s="330"/>
      <c r="AP41" s="330"/>
      <c r="AQ41" s="330"/>
    </row>
    <row r="42" spans="1:43" ht="24" customHeight="1" x14ac:dyDescent="0.25">
      <c r="A42" s="295" t="s">
        <v>498</v>
      </c>
      <c r="B42" s="331" t="s">
        <v>88</v>
      </c>
      <c r="C42" s="331"/>
      <c r="D42" s="331"/>
      <c r="E42" s="331"/>
      <c r="F42" s="331"/>
      <c r="G42" s="331"/>
      <c r="H42" s="331"/>
      <c r="I42" s="331"/>
      <c r="J42" s="331"/>
      <c r="K42" s="331"/>
      <c r="L42" s="331"/>
      <c r="M42" s="331"/>
      <c r="N42" s="331"/>
      <c r="O42" s="331"/>
      <c r="P42" s="331"/>
      <c r="Q42" s="331"/>
      <c r="R42" s="331"/>
      <c r="S42" s="331"/>
      <c r="T42" s="331"/>
      <c r="U42" s="331"/>
      <c r="V42" s="331"/>
      <c r="W42" s="331"/>
      <c r="X42" s="331"/>
      <c r="Y42" s="331"/>
      <c r="Z42" s="331"/>
      <c r="AA42" s="331"/>
      <c r="AB42" s="331"/>
      <c r="AC42" s="331"/>
      <c r="AD42" s="331"/>
      <c r="AE42" s="331"/>
      <c r="AF42" s="331"/>
      <c r="AG42" s="331"/>
      <c r="AH42" s="331"/>
      <c r="AI42" s="331"/>
      <c r="AJ42" s="331"/>
      <c r="AK42" s="331"/>
      <c r="AL42" s="331"/>
      <c r="AM42" s="331"/>
      <c r="AN42" s="331"/>
      <c r="AO42" s="331"/>
      <c r="AP42" s="331"/>
      <c r="AQ42" s="331"/>
    </row>
    <row r="43" spans="1:43" ht="24" customHeight="1" x14ac:dyDescent="0.25">
      <c r="A43" s="295" t="s">
        <v>499</v>
      </c>
      <c r="B43" s="331" t="s">
        <v>89</v>
      </c>
      <c r="C43" s="331"/>
      <c r="D43" s="331"/>
      <c r="E43" s="331"/>
      <c r="F43" s="331"/>
      <c r="G43" s="331"/>
      <c r="H43" s="331"/>
      <c r="I43" s="331"/>
      <c r="J43" s="331"/>
      <c r="K43" s="331"/>
      <c r="L43" s="331"/>
      <c r="M43" s="331"/>
      <c r="N43" s="331"/>
      <c r="O43" s="331"/>
      <c r="P43" s="331"/>
      <c r="Q43" s="331"/>
      <c r="R43" s="331"/>
      <c r="S43" s="331"/>
      <c r="T43" s="331"/>
      <c r="U43" s="331"/>
      <c r="V43" s="331"/>
      <c r="W43" s="331"/>
      <c r="X43" s="331"/>
      <c r="Y43" s="331"/>
      <c r="Z43" s="331"/>
      <c r="AA43" s="331"/>
      <c r="AB43" s="331"/>
      <c r="AC43" s="331"/>
      <c r="AD43" s="331"/>
      <c r="AE43" s="331"/>
      <c r="AF43" s="331"/>
      <c r="AG43" s="331"/>
      <c r="AH43" s="331"/>
      <c r="AI43" s="331"/>
      <c r="AJ43" s="331"/>
      <c r="AK43" s="331"/>
      <c r="AL43" s="331"/>
      <c r="AM43" s="331"/>
      <c r="AN43" s="331"/>
      <c r="AO43" s="331"/>
      <c r="AP43" s="331"/>
      <c r="AQ43" s="331"/>
    </row>
    <row r="44" spans="1:43" ht="24" customHeight="1" x14ac:dyDescent="0.25">
      <c r="A44" s="295" t="s">
        <v>500</v>
      </c>
      <c r="B44" s="331" t="s">
        <v>496</v>
      </c>
      <c r="C44" s="331"/>
      <c r="D44" s="331"/>
      <c r="E44" s="331"/>
      <c r="F44" s="331"/>
      <c r="G44" s="331"/>
      <c r="H44" s="331"/>
      <c r="I44" s="331"/>
      <c r="J44" s="331"/>
      <c r="K44" s="331"/>
      <c r="L44" s="331"/>
      <c r="M44" s="331"/>
      <c r="N44" s="331"/>
      <c r="O44" s="331"/>
      <c r="P44" s="331"/>
      <c r="Q44" s="331"/>
      <c r="R44" s="331"/>
      <c r="S44" s="331"/>
      <c r="T44" s="331"/>
      <c r="U44" s="331"/>
      <c r="V44" s="331"/>
      <c r="W44" s="331"/>
      <c r="X44" s="331"/>
      <c r="Y44" s="331"/>
      <c r="Z44" s="331"/>
      <c r="AA44" s="331"/>
      <c r="AB44" s="331"/>
      <c r="AC44" s="331"/>
      <c r="AD44" s="331"/>
      <c r="AE44" s="331"/>
      <c r="AF44" s="331"/>
      <c r="AG44" s="331"/>
      <c r="AH44" s="331"/>
      <c r="AI44" s="331"/>
      <c r="AJ44" s="331"/>
      <c r="AK44" s="331"/>
      <c r="AL44" s="331"/>
      <c r="AM44" s="331"/>
      <c r="AN44" s="331"/>
      <c r="AO44" s="331"/>
      <c r="AP44" s="331"/>
      <c r="AQ44" s="331"/>
    </row>
    <row r="45" spans="1:43" ht="24" customHeight="1" x14ac:dyDescent="0.25">
      <c r="A45" s="295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</row>
    <row r="46" spans="1:43" ht="24" customHeight="1" x14ac:dyDescent="0.25">
      <c r="A46" s="333" t="s">
        <v>501</v>
      </c>
      <c r="B46" s="333"/>
      <c r="C46" s="333"/>
      <c r="D46" s="333"/>
      <c r="E46" s="333"/>
      <c r="F46" s="333"/>
      <c r="G46" s="333"/>
      <c r="H46" s="333"/>
      <c r="I46" s="333"/>
      <c r="J46" s="333"/>
      <c r="K46" s="333"/>
      <c r="L46" s="333"/>
      <c r="M46" s="333"/>
      <c r="N46" s="333"/>
      <c r="O46" s="333"/>
      <c r="P46" s="333"/>
      <c r="Q46" s="333"/>
      <c r="R46" s="333"/>
      <c r="S46" s="333"/>
      <c r="T46" s="333"/>
      <c r="U46" s="333"/>
      <c r="V46" s="333"/>
      <c r="W46" s="333"/>
      <c r="X46" s="333"/>
      <c r="Y46" s="333"/>
      <c r="Z46" s="333"/>
      <c r="AA46" s="333"/>
      <c r="AB46" s="333"/>
      <c r="AC46" s="333"/>
      <c r="AD46" s="333"/>
      <c r="AE46" s="333"/>
      <c r="AF46" s="333"/>
      <c r="AG46" s="333"/>
      <c r="AH46" s="333"/>
      <c r="AI46" s="333"/>
      <c r="AJ46" s="333"/>
      <c r="AK46" s="333"/>
      <c r="AL46" s="333"/>
      <c r="AM46" s="333"/>
      <c r="AN46" s="333"/>
      <c r="AO46" s="333"/>
      <c r="AP46" s="333"/>
      <c r="AQ46" s="294"/>
    </row>
    <row r="47" spans="1:43" ht="60" customHeight="1" x14ac:dyDescent="0.25">
      <c r="A47" s="296" t="s">
        <v>502</v>
      </c>
      <c r="B47" s="332" t="s">
        <v>508</v>
      </c>
      <c r="C47" s="332"/>
      <c r="D47" s="332" t="s">
        <v>508</v>
      </c>
      <c r="E47" s="332"/>
      <c r="F47" s="332" t="s">
        <v>508</v>
      </c>
      <c r="G47" s="332"/>
      <c r="H47" s="332" t="s">
        <v>508</v>
      </c>
      <c r="I47" s="332"/>
      <c r="J47" s="332" t="s">
        <v>508</v>
      </c>
      <c r="K47" s="332"/>
      <c r="L47" s="332" t="s">
        <v>508</v>
      </c>
      <c r="M47" s="332"/>
      <c r="N47" s="332" t="s">
        <v>508</v>
      </c>
      <c r="O47" s="332"/>
      <c r="P47" s="332" t="s">
        <v>508</v>
      </c>
      <c r="Q47" s="332"/>
      <c r="R47" s="332" t="s">
        <v>508</v>
      </c>
      <c r="S47" s="332"/>
      <c r="T47" s="332" t="s">
        <v>508</v>
      </c>
      <c r="U47" s="332"/>
      <c r="V47" s="332" t="s">
        <v>508</v>
      </c>
      <c r="W47" s="332"/>
      <c r="X47" s="332" t="s">
        <v>508</v>
      </c>
      <c r="Y47" s="332"/>
      <c r="Z47" s="332" t="s">
        <v>508</v>
      </c>
      <c r="AA47" s="332"/>
      <c r="AB47" s="332" t="s">
        <v>508</v>
      </c>
      <c r="AC47" s="332"/>
      <c r="AD47" s="332" t="s">
        <v>508</v>
      </c>
      <c r="AE47" s="332"/>
      <c r="AF47" s="332" t="s">
        <v>508</v>
      </c>
      <c r="AG47" s="332"/>
      <c r="AH47" s="332" t="s">
        <v>508</v>
      </c>
      <c r="AI47" s="332"/>
      <c r="AJ47" s="332" t="s">
        <v>508</v>
      </c>
      <c r="AK47" s="332"/>
      <c r="AL47" s="332" t="s">
        <v>508</v>
      </c>
      <c r="AM47" s="332"/>
      <c r="AN47" s="332" t="s">
        <v>508</v>
      </c>
      <c r="AO47" s="332"/>
      <c r="AP47" s="332" t="s">
        <v>508</v>
      </c>
      <c r="AQ47" s="332"/>
    </row>
    <row r="48" spans="1:43" ht="24" customHeight="1" x14ac:dyDescent="0.25">
      <c r="A48" s="296" t="s">
        <v>503</v>
      </c>
      <c r="B48" s="329"/>
      <c r="C48" s="329"/>
      <c r="D48" s="329"/>
      <c r="E48" s="329"/>
      <c r="F48" s="329"/>
      <c r="G48" s="329"/>
      <c r="H48" s="329"/>
      <c r="I48" s="329"/>
      <c r="J48" s="329"/>
      <c r="K48" s="329"/>
      <c r="L48" s="329"/>
      <c r="M48" s="329"/>
      <c r="N48" s="329"/>
      <c r="O48" s="329"/>
      <c r="P48" s="329"/>
      <c r="Q48" s="329"/>
      <c r="R48" s="329"/>
      <c r="S48" s="329"/>
      <c r="T48" s="329"/>
      <c r="U48" s="329"/>
      <c r="V48" s="329"/>
      <c r="W48" s="329"/>
      <c r="X48" s="329"/>
      <c r="Y48" s="329"/>
      <c r="Z48" s="329"/>
      <c r="AA48" s="329"/>
      <c r="AB48" s="329"/>
      <c r="AC48" s="329"/>
      <c r="AD48" s="329"/>
      <c r="AE48" s="329"/>
      <c r="AF48" s="329"/>
      <c r="AG48" s="329"/>
      <c r="AH48" s="329"/>
      <c r="AI48" s="329"/>
      <c r="AJ48" s="329"/>
      <c r="AK48" s="329"/>
      <c r="AL48" s="329"/>
      <c r="AM48" s="329"/>
      <c r="AN48" s="329"/>
      <c r="AO48" s="329"/>
      <c r="AP48" s="329"/>
      <c r="AQ48" s="329"/>
    </row>
    <row r="49" spans="1:43" ht="24" customHeight="1" x14ac:dyDescent="0.25">
      <c r="A49" s="296" t="s">
        <v>504</v>
      </c>
      <c r="B49" s="329"/>
      <c r="C49" s="329"/>
      <c r="D49" s="329"/>
      <c r="E49" s="329"/>
      <c r="F49" s="329"/>
      <c r="G49" s="329"/>
      <c r="H49" s="329"/>
      <c r="I49" s="329"/>
      <c r="J49" s="329"/>
      <c r="K49" s="329"/>
      <c r="L49" s="329"/>
      <c r="M49" s="329"/>
      <c r="N49" s="329"/>
      <c r="O49" s="329"/>
      <c r="P49" s="329"/>
      <c r="Q49" s="329"/>
      <c r="R49" s="329"/>
      <c r="S49" s="329"/>
      <c r="T49" s="329"/>
      <c r="U49" s="329"/>
      <c r="V49" s="329"/>
      <c r="W49" s="329"/>
      <c r="X49" s="329"/>
      <c r="Y49" s="329"/>
      <c r="Z49" s="329"/>
      <c r="AA49" s="329"/>
      <c r="AB49" s="329"/>
      <c r="AC49" s="329"/>
      <c r="AD49" s="329"/>
      <c r="AE49" s="329"/>
      <c r="AF49" s="329"/>
      <c r="AG49" s="329"/>
      <c r="AH49" s="329"/>
      <c r="AI49" s="329"/>
      <c r="AJ49" s="329"/>
      <c r="AK49" s="329"/>
      <c r="AL49" s="329"/>
      <c r="AM49" s="329"/>
      <c r="AN49" s="329"/>
      <c r="AO49" s="329"/>
      <c r="AP49" s="329"/>
      <c r="AQ49" s="329"/>
    </row>
    <row r="50" spans="1:43" ht="24" customHeight="1" x14ac:dyDescent="0.25">
      <c r="A50" s="296" t="s">
        <v>505</v>
      </c>
      <c r="B50" s="329"/>
      <c r="C50" s="329"/>
      <c r="D50" s="329"/>
      <c r="E50" s="329"/>
      <c r="F50" s="329"/>
      <c r="G50" s="329"/>
      <c r="H50" s="329"/>
      <c r="I50" s="329"/>
      <c r="J50" s="329"/>
      <c r="K50" s="329"/>
      <c r="L50" s="329"/>
      <c r="M50" s="329"/>
      <c r="N50" s="329"/>
      <c r="O50" s="329"/>
      <c r="P50" s="329"/>
      <c r="Q50" s="329"/>
      <c r="R50" s="329"/>
      <c r="S50" s="329"/>
      <c r="T50" s="329"/>
      <c r="U50" s="329"/>
      <c r="V50" s="329"/>
      <c r="W50" s="329"/>
      <c r="X50" s="329"/>
      <c r="Y50" s="329"/>
      <c r="Z50" s="329"/>
      <c r="AA50" s="329"/>
      <c r="AB50" s="329"/>
      <c r="AC50" s="329"/>
      <c r="AD50" s="329"/>
      <c r="AE50" s="329"/>
      <c r="AF50" s="329"/>
      <c r="AG50" s="329"/>
      <c r="AH50" s="329"/>
      <c r="AI50" s="329"/>
      <c r="AJ50" s="329"/>
      <c r="AK50" s="329"/>
      <c r="AL50" s="329"/>
      <c r="AM50" s="329"/>
      <c r="AN50" s="329"/>
      <c r="AO50" s="329"/>
      <c r="AP50" s="329"/>
      <c r="AQ50" s="329"/>
    </row>
    <row r="51" spans="1:43" ht="24" customHeight="1" x14ac:dyDescent="0.25">
      <c r="A51" s="296" t="s">
        <v>506</v>
      </c>
      <c r="B51" s="329"/>
      <c r="C51" s="329"/>
      <c r="D51" s="329"/>
      <c r="E51" s="329"/>
      <c r="F51" s="329"/>
      <c r="G51" s="329"/>
      <c r="H51" s="329"/>
      <c r="I51" s="329"/>
      <c r="J51" s="329"/>
      <c r="K51" s="329"/>
      <c r="L51" s="329"/>
      <c r="M51" s="329"/>
      <c r="N51" s="329"/>
      <c r="O51" s="329"/>
      <c r="P51" s="329"/>
      <c r="Q51" s="329"/>
      <c r="R51" s="329"/>
      <c r="S51" s="329"/>
      <c r="T51" s="329"/>
      <c r="U51" s="329"/>
      <c r="V51" s="329"/>
      <c r="W51" s="329"/>
      <c r="X51" s="329"/>
      <c r="Y51" s="329"/>
      <c r="Z51" s="329"/>
      <c r="AA51" s="329"/>
      <c r="AB51" s="329"/>
      <c r="AC51" s="329"/>
      <c r="AD51" s="329"/>
      <c r="AE51" s="329"/>
      <c r="AF51" s="329"/>
      <c r="AG51" s="329"/>
      <c r="AH51" s="329"/>
      <c r="AI51" s="329"/>
      <c r="AJ51" s="329"/>
      <c r="AK51" s="329"/>
      <c r="AL51" s="329"/>
      <c r="AM51" s="329"/>
      <c r="AN51" s="329"/>
      <c r="AO51" s="329"/>
      <c r="AP51" s="329"/>
      <c r="AQ51" s="329"/>
    </row>
    <row r="52" spans="1:43" ht="24" customHeight="1" x14ac:dyDescent="0.25">
      <c r="A52" s="333" t="s">
        <v>507</v>
      </c>
      <c r="B52" s="333"/>
      <c r="C52" s="333"/>
      <c r="D52" s="333"/>
      <c r="E52" s="333"/>
      <c r="F52" s="333"/>
      <c r="G52" s="333"/>
      <c r="H52" s="333"/>
      <c r="I52" s="333"/>
      <c r="J52" s="333"/>
      <c r="K52" s="333"/>
      <c r="L52" s="333"/>
      <c r="M52" s="333"/>
      <c r="N52" s="333"/>
      <c r="O52" s="333"/>
      <c r="P52" s="333"/>
      <c r="Q52" s="333"/>
      <c r="R52" s="333"/>
      <c r="S52" s="333"/>
      <c r="T52" s="333"/>
      <c r="U52" s="333"/>
      <c r="V52" s="333"/>
      <c r="W52" s="333"/>
      <c r="X52" s="333"/>
      <c r="Y52" s="333"/>
      <c r="Z52" s="333"/>
      <c r="AA52" s="333"/>
      <c r="AB52" s="333"/>
      <c r="AC52" s="333"/>
      <c r="AD52" s="333"/>
      <c r="AE52" s="333"/>
      <c r="AF52" s="333"/>
      <c r="AG52" s="333"/>
      <c r="AH52" s="333"/>
      <c r="AI52" s="333"/>
      <c r="AJ52" s="333"/>
      <c r="AK52" s="333"/>
      <c r="AL52" s="333"/>
      <c r="AM52" s="333"/>
      <c r="AN52" s="333"/>
      <c r="AO52" s="333"/>
      <c r="AP52" s="333"/>
      <c r="AQ52" s="294"/>
    </row>
    <row r="53" spans="1:43" s="31" customFormat="1" ht="48" customHeight="1" x14ac:dyDescent="0.25">
      <c r="A53" s="297" t="s">
        <v>502</v>
      </c>
      <c r="B53" s="332" t="s">
        <v>508</v>
      </c>
      <c r="C53" s="332"/>
      <c r="D53" s="332" t="s">
        <v>508</v>
      </c>
      <c r="E53" s="332"/>
      <c r="F53" s="332" t="s">
        <v>508</v>
      </c>
      <c r="G53" s="332"/>
      <c r="H53" s="332" t="s">
        <v>508</v>
      </c>
      <c r="I53" s="332"/>
      <c r="J53" s="332" t="s">
        <v>508</v>
      </c>
      <c r="K53" s="332"/>
      <c r="L53" s="332" t="s">
        <v>508</v>
      </c>
      <c r="M53" s="332"/>
      <c r="N53" s="332" t="s">
        <v>508</v>
      </c>
      <c r="O53" s="332"/>
      <c r="P53" s="332" t="s">
        <v>508</v>
      </c>
      <c r="Q53" s="332"/>
      <c r="R53" s="332" t="s">
        <v>508</v>
      </c>
      <c r="S53" s="332"/>
      <c r="T53" s="332" t="s">
        <v>508</v>
      </c>
      <c r="U53" s="332"/>
      <c r="V53" s="332" t="s">
        <v>508</v>
      </c>
      <c r="W53" s="332"/>
      <c r="X53" s="332" t="s">
        <v>508</v>
      </c>
      <c r="Y53" s="332"/>
      <c r="Z53" s="332" t="s">
        <v>508</v>
      </c>
      <c r="AA53" s="332"/>
      <c r="AB53" s="332" t="s">
        <v>508</v>
      </c>
      <c r="AC53" s="332"/>
      <c r="AD53" s="332" t="s">
        <v>508</v>
      </c>
      <c r="AE53" s="332"/>
      <c r="AF53" s="332" t="s">
        <v>508</v>
      </c>
      <c r="AG53" s="332"/>
      <c r="AH53" s="332" t="s">
        <v>508</v>
      </c>
      <c r="AI53" s="332"/>
      <c r="AJ53" s="332" t="s">
        <v>508</v>
      </c>
      <c r="AK53" s="332"/>
      <c r="AL53" s="332" t="s">
        <v>508</v>
      </c>
      <c r="AM53" s="332"/>
      <c r="AN53" s="332" t="s">
        <v>508</v>
      </c>
      <c r="AO53" s="332"/>
      <c r="AP53" s="332" t="s">
        <v>508</v>
      </c>
      <c r="AQ53" s="332"/>
    </row>
    <row r="54" spans="1:43" ht="24" customHeight="1" x14ac:dyDescent="0.25">
      <c r="A54" s="298" t="s">
        <v>503</v>
      </c>
      <c r="B54" s="329"/>
      <c r="C54" s="329"/>
      <c r="D54" s="329"/>
      <c r="E54" s="329"/>
      <c r="F54" s="329"/>
      <c r="G54" s="329"/>
      <c r="H54" s="329"/>
      <c r="I54" s="329"/>
      <c r="J54" s="329"/>
      <c r="K54" s="329"/>
      <c r="L54" s="329"/>
      <c r="M54" s="329"/>
      <c r="N54" s="329"/>
      <c r="O54" s="329"/>
      <c r="P54" s="329"/>
      <c r="Q54" s="329"/>
      <c r="R54" s="329"/>
      <c r="S54" s="329"/>
      <c r="T54" s="329"/>
      <c r="U54" s="329"/>
      <c r="V54" s="329"/>
      <c r="W54" s="329"/>
      <c r="X54" s="329"/>
      <c r="Y54" s="329"/>
      <c r="Z54" s="329"/>
      <c r="AA54" s="329"/>
      <c r="AB54" s="329"/>
      <c r="AC54" s="329"/>
      <c r="AD54" s="329"/>
      <c r="AE54" s="329"/>
      <c r="AF54" s="329"/>
      <c r="AG54" s="329"/>
      <c r="AH54" s="329"/>
      <c r="AI54" s="329"/>
      <c r="AJ54" s="329"/>
      <c r="AK54" s="329"/>
      <c r="AL54" s="329"/>
      <c r="AM54" s="329"/>
      <c r="AN54" s="329"/>
      <c r="AO54" s="329"/>
      <c r="AP54" s="329"/>
      <c r="AQ54" s="329"/>
    </row>
    <row r="55" spans="1:43" ht="24" customHeight="1" x14ac:dyDescent="0.25">
      <c r="A55" s="298" t="s">
        <v>504</v>
      </c>
      <c r="B55" s="329"/>
      <c r="C55" s="329"/>
      <c r="D55" s="329"/>
      <c r="E55" s="329"/>
      <c r="F55" s="329"/>
      <c r="G55" s="329"/>
      <c r="H55" s="329"/>
      <c r="I55" s="329"/>
      <c r="J55" s="329"/>
      <c r="K55" s="329"/>
      <c r="L55" s="329"/>
      <c r="M55" s="329"/>
      <c r="N55" s="329"/>
      <c r="O55" s="329"/>
      <c r="P55" s="329"/>
      <c r="Q55" s="329"/>
      <c r="R55" s="329"/>
      <c r="S55" s="329"/>
      <c r="T55" s="329"/>
      <c r="U55" s="329"/>
      <c r="V55" s="329"/>
      <c r="W55" s="329"/>
      <c r="X55" s="329"/>
      <c r="Y55" s="329"/>
      <c r="Z55" s="329"/>
      <c r="AA55" s="329"/>
      <c r="AB55" s="329"/>
      <c r="AC55" s="329"/>
      <c r="AD55" s="329"/>
      <c r="AE55" s="329"/>
      <c r="AF55" s="329"/>
      <c r="AG55" s="329"/>
      <c r="AH55" s="329"/>
      <c r="AI55" s="329"/>
      <c r="AJ55" s="329"/>
      <c r="AK55" s="329"/>
      <c r="AL55" s="329"/>
      <c r="AM55" s="329"/>
      <c r="AN55" s="329"/>
      <c r="AO55" s="329"/>
      <c r="AP55" s="329"/>
      <c r="AQ55" s="329"/>
    </row>
    <row r="56" spans="1:43" ht="24" customHeight="1" x14ac:dyDescent="0.25">
      <c r="A56" s="298" t="s">
        <v>505</v>
      </c>
      <c r="B56" s="329"/>
      <c r="C56" s="329"/>
      <c r="D56" s="329"/>
      <c r="E56" s="329"/>
      <c r="F56" s="329"/>
      <c r="G56" s="329"/>
      <c r="H56" s="329"/>
      <c r="I56" s="329"/>
      <c r="J56" s="329"/>
      <c r="K56" s="329"/>
      <c r="L56" s="329"/>
      <c r="M56" s="329"/>
      <c r="N56" s="329"/>
      <c r="O56" s="329"/>
      <c r="P56" s="329"/>
      <c r="Q56" s="329"/>
      <c r="R56" s="329"/>
      <c r="S56" s="329"/>
      <c r="T56" s="329"/>
      <c r="U56" s="329"/>
      <c r="V56" s="329"/>
      <c r="W56" s="329"/>
      <c r="X56" s="329"/>
      <c r="Y56" s="329"/>
      <c r="Z56" s="329"/>
      <c r="AA56" s="329"/>
      <c r="AB56" s="329"/>
      <c r="AC56" s="329"/>
      <c r="AD56" s="329"/>
      <c r="AE56" s="329"/>
      <c r="AF56" s="329"/>
      <c r="AG56" s="329"/>
      <c r="AH56" s="329"/>
      <c r="AI56" s="329"/>
      <c r="AJ56" s="329"/>
      <c r="AK56" s="329"/>
      <c r="AL56" s="329"/>
      <c r="AM56" s="329"/>
      <c r="AN56" s="329"/>
      <c r="AO56" s="329"/>
      <c r="AP56" s="329"/>
      <c r="AQ56" s="329"/>
    </row>
    <row r="57" spans="1:43" ht="24" customHeight="1" x14ac:dyDescent="0.25">
      <c r="A57" s="298" t="s">
        <v>506</v>
      </c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9"/>
      <c r="V57" s="329"/>
      <c r="W57" s="329"/>
      <c r="X57" s="329"/>
      <c r="Y57" s="329"/>
      <c r="Z57" s="329"/>
      <c r="AA57" s="329"/>
      <c r="AB57" s="329"/>
      <c r="AC57" s="329"/>
      <c r="AD57" s="329"/>
      <c r="AE57" s="329"/>
      <c r="AF57" s="329"/>
      <c r="AG57" s="329"/>
      <c r="AH57" s="329"/>
      <c r="AI57" s="329"/>
      <c r="AJ57" s="329"/>
      <c r="AK57" s="329"/>
      <c r="AL57" s="329"/>
      <c r="AM57" s="329"/>
      <c r="AN57" s="329"/>
      <c r="AO57" s="329"/>
      <c r="AP57" s="329"/>
      <c r="AQ57" s="329"/>
    </row>
    <row r="58" spans="1:43" x14ac:dyDescent="0.25">
      <c r="A58" s="327" t="s">
        <v>90</v>
      </c>
      <c r="B58" s="328"/>
      <c r="C58" s="328"/>
      <c r="D58" s="328"/>
      <c r="E58" s="328"/>
      <c r="F58" s="328"/>
      <c r="G58" s="328"/>
      <c r="H58" s="328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Y58" s="328"/>
      <c r="Z58" s="328"/>
      <c r="AA58" s="328"/>
      <c r="AB58" s="328"/>
      <c r="AC58" s="328"/>
      <c r="AD58" s="328"/>
      <c r="AE58" s="328"/>
      <c r="AF58" s="328"/>
      <c r="AG58" s="328"/>
      <c r="AH58" s="328"/>
      <c r="AI58" s="328"/>
      <c r="AJ58" s="328"/>
      <c r="AK58" s="328"/>
      <c r="AL58" s="328"/>
      <c r="AM58" s="328"/>
      <c r="AN58" s="328"/>
      <c r="AO58" s="328"/>
      <c r="AP58" s="328"/>
      <c r="AQ58" s="328"/>
    </row>
  </sheetData>
  <mergeCells count="462">
    <mergeCell ref="F7:G7"/>
    <mergeCell ref="H7:I7"/>
    <mergeCell ref="J7:K7"/>
    <mergeCell ref="L7:M7"/>
    <mergeCell ref="N7:O7"/>
    <mergeCell ref="A39:AP39"/>
    <mergeCell ref="A46:AP46"/>
    <mergeCell ref="B7:C7"/>
    <mergeCell ref="D7:E7"/>
    <mergeCell ref="AJ7:AK7"/>
    <mergeCell ref="AL7:AM7"/>
    <mergeCell ref="AN7:AO7"/>
    <mergeCell ref="AP7:AQ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7:AA7"/>
    <mergeCell ref="AB7:AC7"/>
    <mergeCell ref="AD7:AE7"/>
    <mergeCell ref="AF7:AG7"/>
    <mergeCell ref="AH7:AI7"/>
    <mergeCell ref="P7:Q7"/>
    <mergeCell ref="R7:S7"/>
    <mergeCell ref="T7:U7"/>
    <mergeCell ref="V7:W7"/>
    <mergeCell ref="X7:Y7"/>
    <mergeCell ref="AJ8:AK8"/>
    <mergeCell ref="AL8:AM8"/>
    <mergeCell ref="AN8:AO8"/>
    <mergeCell ref="AP8:AQ8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8:AA8"/>
    <mergeCell ref="AB8:AC8"/>
    <mergeCell ref="AD8:AE8"/>
    <mergeCell ref="AF8:AG8"/>
    <mergeCell ref="AH8:AI8"/>
    <mergeCell ref="AJ9:AK9"/>
    <mergeCell ref="AL9:AM9"/>
    <mergeCell ref="AN9:AO9"/>
    <mergeCell ref="AP9:AQ9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9:AA9"/>
    <mergeCell ref="AB9:AC9"/>
    <mergeCell ref="AD9:AE9"/>
    <mergeCell ref="AF9:AG9"/>
    <mergeCell ref="AH9:AI9"/>
    <mergeCell ref="AJ28:AK28"/>
    <mergeCell ref="AL28:AM28"/>
    <mergeCell ref="AN28:AO28"/>
    <mergeCell ref="AP28:AQ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8:AA28"/>
    <mergeCell ref="AB28:AC28"/>
    <mergeCell ref="AD28:AE28"/>
    <mergeCell ref="AF28:AG28"/>
    <mergeCell ref="AH28:AI28"/>
    <mergeCell ref="AJ29:AK29"/>
    <mergeCell ref="AL29:AM29"/>
    <mergeCell ref="AN29:AO29"/>
    <mergeCell ref="AP29:AQ29"/>
    <mergeCell ref="Z29:AA29"/>
    <mergeCell ref="AB29:AC29"/>
    <mergeCell ref="AD29:AE29"/>
    <mergeCell ref="AF29:AG29"/>
    <mergeCell ref="AH29:AI29"/>
    <mergeCell ref="AH31:AI31"/>
    <mergeCell ref="AJ30:AK30"/>
    <mergeCell ref="AL30:AM30"/>
    <mergeCell ref="AN30:AO30"/>
    <mergeCell ref="AP30:AQ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X31:Y31"/>
    <mergeCell ref="Z30:AA30"/>
    <mergeCell ref="AB30:AC30"/>
    <mergeCell ref="AD30:AE30"/>
    <mergeCell ref="AF30:AG30"/>
    <mergeCell ref="AH30:AI30"/>
    <mergeCell ref="P32:Q32"/>
    <mergeCell ref="R32:S32"/>
    <mergeCell ref="T32:U32"/>
    <mergeCell ref="V32:W32"/>
    <mergeCell ref="X32:Y32"/>
    <mergeCell ref="Z31:AA31"/>
    <mergeCell ref="AB31:AC31"/>
    <mergeCell ref="AD31:AE31"/>
    <mergeCell ref="AF31:AG31"/>
    <mergeCell ref="AA36:AB36"/>
    <mergeCell ref="AC36:AD36"/>
    <mergeCell ref="AE36:AF36"/>
    <mergeCell ref="AG36:AH36"/>
    <mergeCell ref="AI36:AJ36"/>
    <mergeCell ref="AG35:AH35"/>
    <mergeCell ref="AI35:AJ35"/>
    <mergeCell ref="AJ32:AK32"/>
    <mergeCell ref="AL32:AM32"/>
    <mergeCell ref="Z32:AA32"/>
    <mergeCell ref="AB32:AC32"/>
    <mergeCell ref="AD32:AE32"/>
    <mergeCell ref="AF32:AG32"/>
    <mergeCell ref="AH32:AI32"/>
    <mergeCell ref="AK35:AL35"/>
    <mergeCell ref="AM35:AN35"/>
    <mergeCell ref="H37:I37"/>
    <mergeCell ref="J37:K37"/>
    <mergeCell ref="L37:M37"/>
    <mergeCell ref="N37:O37"/>
    <mergeCell ref="P37:Q37"/>
    <mergeCell ref="R37:S37"/>
    <mergeCell ref="T37:U37"/>
    <mergeCell ref="V37:W37"/>
    <mergeCell ref="X37:Y37"/>
    <mergeCell ref="AJ37:AK37"/>
    <mergeCell ref="AL37:AM37"/>
    <mergeCell ref="AN37:AO37"/>
    <mergeCell ref="AP37:AQ37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7:AA37"/>
    <mergeCell ref="AB37:AC37"/>
    <mergeCell ref="AD37:AE37"/>
    <mergeCell ref="AF37:AG37"/>
    <mergeCell ref="AH37:AI37"/>
    <mergeCell ref="B37:C37"/>
    <mergeCell ref="D37:E37"/>
    <mergeCell ref="F37:G37"/>
    <mergeCell ref="D2:U2"/>
    <mergeCell ref="V2:AQ2"/>
    <mergeCell ref="C36:D36"/>
    <mergeCell ref="E36:F36"/>
    <mergeCell ref="Z34:AA34"/>
    <mergeCell ref="AB34:AC34"/>
    <mergeCell ref="AD34:AE34"/>
    <mergeCell ref="AF34:AG34"/>
    <mergeCell ref="AH34:AI34"/>
    <mergeCell ref="AJ33:AK33"/>
    <mergeCell ref="AL33:AM33"/>
    <mergeCell ref="AN33:AO33"/>
    <mergeCell ref="AP33:AQ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B5:W5"/>
    <mergeCell ref="X5:AQ5"/>
    <mergeCell ref="B4:M4"/>
    <mergeCell ref="N4:Y4"/>
    <mergeCell ref="Z4:AK4"/>
    <mergeCell ref="AL4:AQ4"/>
    <mergeCell ref="AJ34:AK34"/>
    <mergeCell ref="AL34:AM34"/>
    <mergeCell ref="AN34:AO34"/>
    <mergeCell ref="AP34:AQ34"/>
    <mergeCell ref="X34:Y34"/>
    <mergeCell ref="Z33:AA33"/>
    <mergeCell ref="AB33:AC33"/>
    <mergeCell ref="AD33:AE33"/>
    <mergeCell ref="AF33:AG33"/>
    <mergeCell ref="AH33:AI33"/>
    <mergeCell ref="AN32:AO32"/>
    <mergeCell ref="AP32:AQ32"/>
    <mergeCell ref="AJ31:AK31"/>
    <mergeCell ref="AL31:AM31"/>
    <mergeCell ref="AN31:AO31"/>
    <mergeCell ref="AP31:AQ31"/>
    <mergeCell ref="B32:C32"/>
    <mergeCell ref="D32:E32"/>
    <mergeCell ref="AB47:AC47"/>
    <mergeCell ref="AD47:AE47"/>
    <mergeCell ref="L47:M47"/>
    <mergeCell ref="N47:O47"/>
    <mergeCell ref="P47:Q47"/>
    <mergeCell ref="R47:S47"/>
    <mergeCell ref="T47:U47"/>
    <mergeCell ref="B47:C47"/>
    <mergeCell ref="D47:E47"/>
    <mergeCell ref="F47:G47"/>
    <mergeCell ref="H47:I47"/>
    <mergeCell ref="J47:K47"/>
    <mergeCell ref="AP47:AQ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7:AG47"/>
    <mergeCell ref="AH47:AI47"/>
    <mergeCell ref="AJ47:AK47"/>
    <mergeCell ref="AL47:AM47"/>
    <mergeCell ref="AN47:AO47"/>
    <mergeCell ref="V47:W47"/>
    <mergeCell ref="X47:Y47"/>
    <mergeCell ref="Z47:AA47"/>
    <mergeCell ref="AP48:AQ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Z49:AA49"/>
    <mergeCell ref="AB49:AC49"/>
    <mergeCell ref="AD49:AE49"/>
    <mergeCell ref="AF48:AG48"/>
    <mergeCell ref="AH48:AI48"/>
    <mergeCell ref="AJ48:AK48"/>
    <mergeCell ref="AL48:AM48"/>
    <mergeCell ref="AN48:AO48"/>
    <mergeCell ref="AP49:AQ49"/>
    <mergeCell ref="AL49:AM49"/>
    <mergeCell ref="AN49:AO49"/>
    <mergeCell ref="X50:Y50"/>
    <mergeCell ref="Z50:AA50"/>
    <mergeCell ref="AB50:AC50"/>
    <mergeCell ref="AD50:AE50"/>
    <mergeCell ref="AF49:AG49"/>
    <mergeCell ref="AH49:AI49"/>
    <mergeCell ref="AJ49:AK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AP50:AQ50"/>
    <mergeCell ref="B51:AQ51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T53:U53"/>
    <mergeCell ref="V53:W53"/>
    <mergeCell ref="X53:Y53"/>
    <mergeCell ref="Z53:AA53"/>
    <mergeCell ref="AB53:AC53"/>
    <mergeCell ref="AF50:AG50"/>
    <mergeCell ref="AH50:AI50"/>
    <mergeCell ref="AJ50:AK50"/>
    <mergeCell ref="AL50:AM50"/>
    <mergeCell ref="AN50:AO50"/>
    <mergeCell ref="A52:AP52"/>
    <mergeCell ref="T50:U50"/>
    <mergeCell ref="V50:W50"/>
    <mergeCell ref="AH54:AI54"/>
    <mergeCell ref="AJ54:AK54"/>
    <mergeCell ref="AL54:AM54"/>
    <mergeCell ref="AN53:AO53"/>
    <mergeCell ref="AP53:AQ53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  <mergeCell ref="V54:W54"/>
    <mergeCell ref="X54:Y54"/>
    <mergeCell ref="Z54:AA54"/>
    <mergeCell ref="AB54:AC54"/>
    <mergeCell ref="AD53:AE53"/>
    <mergeCell ref="AF53:AG53"/>
    <mergeCell ref="AH53:AI53"/>
    <mergeCell ref="AJ53:AK53"/>
    <mergeCell ref="AL53:AM53"/>
    <mergeCell ref="AB56:AC56"/>
    <mergeCell ref="AD55:AE55"/>
    <mergeCell ref="AF55:AG55"/>
    <mergeCell ref="AH55:AI55"/>
    <mergeCell ref="AJ55:AK55"/>
    <mergeCell ref="AL55:AM55"/>
    <mergeCell ref="AN54:AO54"/>
    <mergeCell ref="AP54:AQ54"/>
    <mergeCell ref="B55:C55"/>
    <mergeCell ref="D55:E55"/>
    <mergeCell ref="F55:G55"/>
    <mergeCell ref="H55:I55"/>
    <mergeCell ref="J55:K55"/>
    <mergeCell ref="L55:M55"/>
    <mergeCell ref="N55:O55"/>
    <mergeCell ref="P55:Q55"/>
    <mergeCell ref="R55:S55"/>
    <mergeCell ref="T55:U55"/>
    <mergeCell ref="V55:W55"/>
    <mergeCell ref="X55:Y55"/>
    <mergeCell ref="Z55:AA55"/>
    <mergeCell ref="AB55:AC55"/>
    <mergeCell ref="AD54:AE54"/>
    <mergeCell ref="AF54:AG54"/>
    <mergeCell ref="J56:K56"/>
    <mergeCell ref="L56:M56"/>
    <mergeCell ref="N56:O56"/>
    <mergeCell ref="P56:Q56"/>
    <mergeCell ref="R56:S56"/>
    <mergeCell ref="T56:U56"/>
    <mergeCell ref="V56:W56"/>
    <mergeCell ref="X56:Y56"/>
    <mergeCell ref="Z56:AA56"/>
    <mergeCell ref="M36:N36"/>
    <mergeCell ref="O36:P36"/>
    <mergeCell ref="A1:AQ1"/>
    <mergeCell ref="A10:AQ10"/>
    <mergeCell ref="A58:AQ58"/>
    <mergeCell ref="AN56:AO56"/>
    <mergeCell ref="AP56:AQ56"/>
    <mergeCell ref="B57:AQ57"/>
    <mergeCell ref="B40:AQ40"/>
    <mergeCell ref="B41:AQ41"/>
    <mergeCell ref="B42:AQ42"/>
    <mergeCell ref="B43:AQ43"/>
    <mergeCell ref="B44:AQ44"/>
    <mergeCell ref="AD56:AE56"/>
    <mergeCell ref="AF56:AG56"/>
    <mergeCell ref="AH56:AI56"/>
    <mergeCell ref="AJ56:AK56"/>
    <mergeCell ref="AL56:AM56"/>
    <mergeCell ref="AN55:AO55"/>
    <mergeCell ref="AP55:AQ55"/>
    <mergeCell ref="B56:C56"/>
    <mergeCell ref="D56:E56"/>
    <mergeCell ref="F56:G56"/>
    <mergeCell ref="H56:I56"/>
    <mergeCell ref="B38:AQ38"/>
    <mergeCell ref="AK36:AL36"/>
    <mergeCell ref="AM36:AN36"/>
    <mergeCell ref="AO36:AP36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Q36:R36"/>
    <mergeCell ref="S36:T36"/>
    <mergeCell ref="U36:V36"/>
    <mergeCell ref="W36:X36"/>
    <mergeCell ref="Y36:Z36"/>
    <mergeCell ref="G36:H36"/>
    <mergeCell ref="I36:J36"/>
    <mergeCell ref="K36:L36"/>
    <mergeCell ref="AO35:AP35"/>
    <mergeCell ref="B11:AQ27"/>
    <mergeCell ref="W35:X35"/>
    <mergeCell ref="Y35:Z35"/>
    <mergeCell ref="AA35:AB35"/>
    <mergeCell ref="AC35:AD35"/>
    <mergeCell ref="AE35:AF35"/>
    <mergeCell ref="M35:N35"/>
    <mergeCell ref="O35:P35"/>
    <mergeCell ref="Q35:R35"/>
    <mergeCell ref="S35:T35"/>
    <mergeCell ref="U35:V35"/>
    <mergeCell ref="C35:D35"/>
    <mergeCell ref="E35:F35"/>
    <mergeCell ref="G35:H35"/>
    <mergeCell ref="I35:J35"/>
    <mergeCell ref="K35:L35"/>
    <mergeCell ref="F32:G32"/>
    <mergeCell ref="H32:I32"/>
    <mergeCell ref="J32:K32"/>
    <mergeCell ref="L32:M32"/>
    <mergeCell ref="N32:O32"/>
    <mergeCell ref="T31:U31"/>
    <mergeCell ref="V31:W31"/>
  </mergeCells>
  <conditionalFormatting sqref="B8 D8 F8 H8 J8 L8 N8 P8 R8 T8 V8 X8 Z8 AB8 AD8 AF8 AH8 AJ8 AL8 AN8 AP8">
    <cfRule type="expression" dxfId="119" priority="2">
      <formula>B8="—"</formula>
    </cfRule>
    <cfRule type="expression" dxfId="118" priority="3">
      <formula>B8&lt;&gt;"—"</formula>
    </cfRule>
  </conditionalFormatting>
  <conditionalFormatting sqref="B35:AQ35 B36 AQ36">
    <cfRule type="cellIs" dxfId="117" priority="1" operator="greaterThan">
      <formula>1000</formula>
    </cfRule>
  </conditionalFormatting>
  <conditionalFormatting sqref="C36">
    <cfRule type="cellIs" dxfId="116" priority="64" stopIfTrue="1" operator="greaterThan">
      <formula>1000</formula>
    </cfRule>
  </conditionalFormatting>
  <conditionalFormatting sqref="E36">
    <cfRule type="cellIs" dxfId="115" priority="65" stopIfTrue="1" operator="greaterThan">
      <formula>1000</formula>
    </cfRule>
  </conditionalFormatting>
  <conditionalFormatting sqref="G36">
    <cfRule type="cellIs" dxfId="114" priority="66" stopIfTrue="1" operator="greaterThan">
      <formula>1000</formula>
    </cfRule>
  </conditionalFormatting>
  <conditionalFormatting sqref="I36">
    <cfRule type="cellIs" dxfId="113" priority="67" stopIfTrue="1" operator="greaterThan">
      <formula>1000</formula>
    </cfRule>
  </conditionalFormatting>
  <conditionalFormatting sqref="K36">
    <cfRule type="cellIs" dxfId="112" priority="68" stopIfTrue="1" operator="greaterThan">
      <formula>1000</formula>
    </cfRule>
  </conditionalFormatting>
  <conditionalFormatting sqref="M36">
    <cfRule type="cellIs" dxfId="111" priority="69" stopIfTrue="1" operator="greaterThan">
      <formula>1000</formula>
    </cfRule>
  </conditionalFormatting>
  <conditionalFormatting sqref="O36">
    <cfRule type="cellIs" dxfId="110" priority="70" stopIfTrue="1" operator="greaterThan">
      <formula>1000</formula>
    </cfRule>
  </conditionalFormatting>
  <conditionalFormatting sqref="Q36">
    <cfRule type="cellIs" dxfId="109" priority="71" stopIfTrue="1" operator="greaterThan">
      <formula>1000</formula>
    </cfRule>
  </conditionalFormatting>
  <conditionalFormatting sqref="S36">
    <cfRule type="cellIs" dxfId="108" priority="72" stopIfTrue="1" operator="greaterThan">
      <formula>1000</formula>
    </cfRule>
  </conditionalFormatting>
  <conditionalFormatting sqref="U36">
    <cfRule type="cellIs" dxfId="107" priority="73" stopIfTrue="1" operator="greaterThan">
      <formula>1000</formula>
    </cfRule>
  </conditionalFormatting>
  <conditionalFormatting sqref="W36">
    <cfRule type="cellIs" dxfId="106" priority="74" stopIfTrue="1" operator="greaterThan">
      <formula>1000</formula>
    </cfRule>
  </conditionalFormatting>
  <conditionalFormatting sqref="Y36">
    <cfRule type="cellIs" dxfId="105" priority="75" stopIfTrue="1" operator="greaterThan">
      <formula>1000</formula>
    </cfRule>
  </conditionalFormatting>
  <conditionalFormatting sqref="AA36">
    <cfRule type="cellIs" dxfId="104" priority="76" stopIfTrue="1" operator="greaterThan">
      <formula>1000</formula>
    </cfRule>
  </conditionalFormatting>
  <conditionalFormatting sqref="AC36">
    <cfRule type="cellIs" dxfId="103" priority="77" stopIfTrue="1" operator="greaterThan">
      <formula>1000</formula>
    </cfRule>
  </conditionalFormatting>
  <conditionalFormatting sqref="AE36">
    <cfRule type="cellIs" dxfId="102" priority="78" stopIfTrue="1" operator="greaterThan">
      <formula>1000</formula>
    </cfRule>
  </conditionalFormatting>
  <conditionalFormatting sqref="AG36">
    <cfRule type="cellIs" dxfId="101" priority="79" stopIfTrue="1" operator="greaterThan">
      <formula>1000</formula>
    </cfRule>
  </conditionalFormatting>
  <conditionalFormatting sqref="AI36">
    <cfRule type="cellIs" dxfId="100" priority="80" stopIfTrue="1" operator="greaterThan">
      <formula>1000</formula>
    </cfRule>
  </conditionalFormatting>
  <conditionalFormatting sqref="AK36">
    <cfRule type="cellIs" dxfId="99" priority="81" stopIfTrue="1" operator="greaterThan">
      <formula>1000</formula>
    </cfRule>
  </conditionalFormatting>
  <conditionalFormatting sqref="AM36">
    <cfRule type="cellIs" dxfId="98" priority="82" stopIfTrue="1" operator="greaterThan">
      <formula>1000</formula>
    </cfRule>
  </conditionalFormatting>
  <conditionalFormatting sqref="AO36">
    <cfRule type="cellIs" dxfId="97" priority="83" stopIfTrue="1" operator="greaterThan">
      <formula>1000</formula>
    </cfRule>
  </conditionalFormatting>
  <printOptions horizontalCentered="1"/>
  <pageMargins left="0.19685039370078738" right="0.19685039370078738" top="0.23622047244094485" bottom="0.23622047244094485" header="0.5" footer="0.5"/>
  <pageSetup paperSize="8" scale="59" orientation="landscape" r:id="rId1"/>
  <headerFooter>
    <oddFooter>&amp;C&amp;8 23842B1 · TIRATA 1 · Pagina &amp;P di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 fitToPage="1"/>
  </sheetPr>
  <dimension ref="A1:AU58"/>
  <sheetViews>
    <sheetView showGridLines="0" topLeftCell="A16" zoomScale="70" zoomScaleNormal="70" workbookViewId="0">
      <selection activeCell="K36" sqref="K36:L36"/>
    </sheetView>
  </sheetViews>
  <sheetFormatPr baseColWidth="10" defaultColWidth="9.140625" defaultRowHeight="15" x14ac:dyDescent="0.25"/>
  <cols>
    <col min="1" max="1" width="24.42578125" customWidth="1"/>
    <col min="2" max="47" width="5" customWidth="1"/>
  </cols>
  <sheetData>
    <row r="1" spans="1:47" ht="30" customHeight="1" x14ac:dyDescent="0.25">
      <c r="A1" s="323" t="s">
        <v>91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4"/>
      <c r="AC1" s="324"/>
      <c r="AD1" s="324"/>
      <c r="AE1" s="324"/>
      <c r="AF1" s="324"/>
      <c r="AG1" s="324"/>
      <c r="AH1" s="324"/>
      <c r="AI1" s="324"/>
      <c r="AJ1" s="324"/>
      <c r="AK1" s="324"/>
      <c r="AL1" s="324"/>
      <c r="AM1" s="324"/>
      <c r="AN1" s="324"/>
      <c r="AO1" s="324"/>
      <c r="AP1" s="324"/>
      <c r="AQ1" s="324"/>
      <c r="AR1" s="324"/>
      <c r="AS1" s="324"/>
      <c r="AT1" s="324"/>
      <c r="AU1" s="324"/>
    </row>
    <row r="2" spans="1:47" ht="33.75" customHeight="1" x14ac:dyDescent="0.25">
      <c r="A2" s="1"/>
      <c r="B2" s="1"/>
      <c r="C2" s="1"/>
      <c r="D2" s="21"/>
      <c r="E2" s="353" t="s">
        <v>1</v>
      </c>
      <c r="F2" s="353"/>
      <c r="G2" s="353"/>
      <c r="H2" s="353"/>
      <c r="I2" s="353"/>
      <c r="J2" s="353"/>
      <c r="K2" s="353"/>
      <c r="L2" s="353"/>
      <c r="M2" s="353"/>
      <c r="N2" s="353"/>
      <c r="O2" s="353"/>
      <c r="P2" s="353"/>
      <c r="Q2" s="353"/>
      <c r="R2" s="353"/>
      <c r="S2" s="353"/>
      <c r="T2" s="353"/>
      <c r="U2" s="354"/>
      <c r="V2" s="355"/>
      <c r="W2" s="356"/>
      <c r="X2" s="23"/>
      <c r="Y2" s="356" t="s">
        <v>2</v>
      </c>
      <c r="Z2" s="356"/>
      <c r="AA2" s="356"/>
      <c r="AB2" s="356"/>
      <c r="AC2" s="356"/>
      <c r="AD2" s="356"/>
      <c r="AE2" s="356"/>
      <c r="AF2" s="356"/>
      <c r="AG2" s="356"/>
      <c r="AH2" s="356"/>
      <c r="AI2" s="356"/>
      <c r="AJ2" s="356"/>
      <c r="AK2" s="356"/>
      <c r="AL2" s="356"/>
      <c r="AM2" s="356"/>
      <c r="AN2" s="356"/>
      <c r="AO2" s="356"/>
      <c r="AP2" s="356"/>
      <c r="AQ2" s="356"/>
      <c r="AR2" s="356"/>
      <c r="AS2" s="356"/>
      <c r="AT2" s="356"/>
      <c r="AU2" s="356"/>
    </row>
    <row r="3" spans="1:47" x14ac:dyDescent="0.25">
      <c r="A3" s="1"/>
      <c r="B3" s="299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299"/>
      <c r="AI3" s="299"/>
      <c r="AJ3" s="299"/>
      <c r="AK3" s="299"/>
      <c r="AL3" s="299"/>
      <c r="AM3" s="299"/>
      <c r="AN3" s="299"/>
      <c r="AO3" s="299"/>
      <c r="AP3" s="13"/>
      <c r="AQ3" s="300"/>
      <c r="AR3" s="13"/>
      <c r="AS3" s="300"/>
      <c r="AT3" s="13"/>
      <c r="AU3" s="300"/>
    </row>
    <row r="4" spans="1:47" x14ac:dyDescent="0.25">
      <c r="A4" s="302" t="s">
        <v>3</v>
      </c>
      <c r="B4" s="301"/>
      <c r="C4" s="342" t="s">
        <v>92</v>
      </c>
      <c r="D4" s="342"/>
      <c r="E4" s="342"/>
      <c r="F4" s="342"/>
      <c r="G4" s="342"/>
      <c r="H4" s="342"/>
      <c r="I4" s="342"/>
      <c r="J4" s="342"/>
      <c r="K4" s="342"/>
      <c r="L4" s="342"/>
      <c r="M4" s="342"/>
      <c r="N4" s="301"/>
      <c r="O4" s="342" t="s">
        <v>93</v>
      </c>
      <c r="P4" s="342"/>
      <c r="Q4" s="342"/>
      <c r="R4" s="342"/>
      <c r="S4" s="342"/>
      <c r="T4" s="342"/>
      <c r="U4" s="342"/>
      <c r="V4" s="342"/>
      <c r="W4" s="342"/>
      <c r="X4" s="342"/>
      <c r="Y4" s="342"/>
      <c r="Z4" s="301"/>
      <c r="AA4" s="342" t="s">
        <v>94</v>
      </c>
      <c r="AB4" s="342"/>
      <c r="AC4" s="342"/>
      <c r="AD4" s="342"/>
      <c r="AE4" s="342"/>
      <c r="AF4" s="342"/>
      <c r="AG4" s="342"/>
      <c r="AH4" s="342"/>
      <c r="AI4" s="342"/>
      <c r="AJ4" s="342"/>
      <c r="AK4" s="342"/>
      <c r="AL4" s="301"/>
      <c r="AM4" s="342" t="s">
        <v>7</v>
      </c>
      <c r="AN4" s="342"/>
      <c r="AO4" s="342"/>
      <c r="AP4" s="342"/>
      <c r="AQ4" s="342"/>
      <c r="AR4" s="342"/>
      <c r="AS4" s="342"/>
      <c r="AT4" s="342"/>
      <c r="AU4" s="342"/>
    </row>
    <row r="5" spans="1:47" ht="33.950000000000003" customHeight="1" x14ac:dyDescent="0.25">
      <c r="A5" s="388" t="s">
        <v>95</v>
      </c>
      <c r="B5" s="389"/>
      <c r="C5" s="390"/>
      <c r="D5" s="390"/>
      <c r="E5" s="390"/>
      <c r="F5" s="390"/>
      <c r="G5" s="390"/>
      <c r="H5" s="390"/>
      <c r="I5" s="390"/>
      <c r="J5" s="390"/>
      <c r="K5" s="390"/>
      <c r="L5" s="390"/>
      <c r="M5" s="390"/>
      <c r="N5" s="390"/>
      <c r="O5" s="390"/>
      <c r="P5" s="390"/>
      <c r="Q5" s="390"/>
      <c r="R5" s="390"/>
      <c r="S5" s="390"/>
      <c r="T5" s="390"/>
      <c r="U5" s="390"/>
      <c r="V5" s="390"/>
      <c r="W5" s="391"/>
      <c r="X5" s="337"/>
      <c r="Y5" s="338"/>
      <c r="Z5" s="28"/>
      <c r="AA5" s="338" t="s">
        <v>96</v>
      </c>
      <c r="AB5" s="338"/>
      <c r="AC5" s="338"/>
      <c r="AD5" s="338"/>
      <c r="AE5" s="338"/>
      <c r="AF5" s="338"/>
      <c r="AG5" s="338"/>
      <c r="AH5" s="338"/>
      <c r="AI5" s="338"/>
      <c r="AJ5" s="338"/>
      <c r="AK5" s="338"/>
      <c r="AL5" s="338"/>
      <c r="AM5" s="338"/>
      <c r="AN5" s="338"/>
      <c r="AO5" s="338"/>
      <c r="AP5" s="338"/>
      <c r="AQ5" s="338"/>
      <c r="AR5" s="338"/>
      <c r="AS5" s="338"/>
      <c r="AT5" s="338"/>
      <c r="AU5" s="338"/>
    </row>
    <row r="6" spans="1:47" x14ac:dyDescent="0.25">
      <c r="A6" s="1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</row>
    <row r="7" spans="1:47" ht="15.75" customHeight="1" x14ac:dyDescent="0.25">
      <c r="A7" s="2" t="s">
        <v>10</v>
      </c>
      <c r="B7" s="383" t="s">
        <v>97</v>
      </c>
      <c r="C7" s="384"/>
      <c r="D7" s="383" t="s">
        <v>98</v>
      </c>
      <c r="E7" s="384"/>
      <c r="F7" s="383" t="s">
        <v>99</v>
      </c>
      <c r="G7" s="384"/>
      <c r="H7" s="383" t="s">
        <v>100</v>
      </c>
      <c r="I7" s="384"/>
      <c r="J7" s="383" t="s">
        <v>101</v>
      </c>
      <c r="K7" s="384"/>
      <c r="L7" s="383" t="s">
        <v>102</v>
      </c>
      <c r="M7" s="384"/>
      <c r="N7" s="383" t="s">
        <v>103</v>
      </c>
      <c r="O7" s="384"/>
      <c r="P7" s="383" t="s">
        <v>104</v>
      </c>
      <c r="Q7" s="384"/>
      <c r="R7" s="383" t="s">
        <v>105</v>
      </c>
      <c r="S7" s="384"/>
      <c r="T7" s="383" t="s">
        <v>106</v>
      </c>
      <c r="U7" s="384"/>
      <c r="V7" s="383" t="s">
        <v>107</v>
      </c>
      <c r="W7" s="384"/>
      <c r="X7" s="383" t="s">
        <v>108</v>
      </c>
      <c r="Y7" s="384"/>
      <c r="Z7" s="383" t="s">
        <v>109</v>
      </c>
      <c r="AA7" s="384"/>
      <c r="AB7" s="383" t="s">
        <v>110</v>
      </c>
      <c r="AC7" s="384"/>
      <c r="AD7" s="383" t="s">
        <v>111</v>
      </c>
      <c r="AE7" s="384"/>
      <c r="AF7" s="383" t="s">
        <v>112</v>
      </c>
      <c r="AG7" s="384"/>
      <c r="AH7" s="383" t="s">
        <v>113</v>
      </c>
      <c r="AI7" s="384"/>
      <c r="AJ7" s="383" t="s">
        <v>114</v>
      </c>
      <c r="AK7" s="384"/>
      <c r="AL7" s="383" t="s">
        <v>115</v>
      </c>
      <c r="AM7" s="384"/>
      <c r="AN7" s="383" t="s">
        <v>116</v>
      </c>
      <c r="AO7" s="384"/>
      <c r="AP7" s="386" t="s">
        <v>117</v>
      </c>
      <c r="AQ7" s="387"/>
      <c r="AR7" s="386" t="s">
        <v>118</v>
      </c>
      <c r="AS7" s="387"/>
      <c r="AT7" s="386" t="s">
        <v>31</v>
      </c>
      <c r="AU7" s="387"/>
    </row>
    <row r="8" spans="1:47" ht="72" customHeight="1" x14ac:dyDescent="0.25">
      <c r="A8" s="10" t="s">
        <v>32</v>
      </c>
      <c r="B8" s="378" t="str">
        <f>IFERROR(INDEX('04 Interferencias'!$D:$D,MATCH(SUBSTITUTE(B7,"–","-"),'04 Interferencias'!$A:$A,0)),"—")</f>
        <v>Capannone SV. BT in cavo - 2  15kV.</v>
      </c>
      <c r="C8" s="379"/>
      <c r="D8" s="378" t="str">
        <f>IFERROR(INDEX('04 Interferencias'!$D:$D,MATCH(SUBSTITUTE(D7,"–","-"),'04 Interferencias'!$A:$A,0)),"—")</f>
        <v>BT in cavo BT privata SC. BT - Str, privata</v>
      </c>
      <c r="E8" s="379"/>
      <c r="F8" s="378" t="str">
        <f>IFERROR(INDEX('04 Interferencias'!$D:$D,MATCH(SUBSTITUTE(F7,"–","-"),'04 Interferencias'!$A:$A,0)),"—")</f>
        <v>—</v>
      </c>
      <c r="G8" s="379"/>
      <c r="H8" s="378" t="str">
        <f>IFERROR(INDEX('04 Interferencias'!$D:$D,MATCH(SUBSTITUTE(H7,"–","-"),'04 Interferencias'!$A:$A,0)),"—")</f>
        <v>—</v>
      </c>
      <c r="I8" s="379"/>
      <c r="J8" s="378" t="str">
        <f>IFERROR(INDEX('04 Interferencias'!$D:$D,MATCH(SUBSTITUTE(J7,"–","-"),'04 Interferencias'!$A:$A,0)),"—")</f>
        <v>—</v>
      </c>
      <c r="K8" s="379"/>
      <c r="L8" s="378" t="str">
        <f>IFERROR(INDEX('04 Interferencias'!$D:$D,MATCH(SUBSTITUTE(L7,"–","-"),'04 Interferencias'!$A:$A,0)),"—")</f>
        <v>—</v>
      </c>
      <c r="M8" s="379"/>
      <c r="N8" s="378" t="str">
        <f>IFERROR(INDEX('04 Interferencias'!$D:$D,MATCH(SUBSTITUTE(N7,"–","-"),'04 Interferencias'!$A:$A,0)),"—")</f>
        <v>Baracca SV. BT in cavo</v>
      </c>
      <c r="O8" s="379"/>
      <c r="P8" s="378" t="str">
        <f>IFERROR(INDEX('04 Interferencias'!$D:$D,MATCH(SUBSTITUTE(P7,"–","-"),'04 Interferencias'!$A:$A,0)),"—")</f>
        <v>Torrente Lav. SS. 225 - 66kV FS</v>
      </c>
      <c r="Q8" s="379"/>
      <c r="R8" s="378" t="str">
        <f>IFERROR(INDEX('04 Interferencias'!$D:$D,MATCH(SUBSTITUTE(R7,"–","-"),'04 Interferencias'!$A:$A,0)),"—")</f>
        <v>—</v>
      </c>
      <c r="S8" s="379"/>
      <c r="T8" s="378" t="str">
        <f>IFERROR(INDEX('04 Interferencias'!$D:$D,MATCH(SUBSTITUTE(T7,"–","-"),'04 Interferencias'!$A:$A,0)),"—")</f>
        <v>—</v>
      </c>
      <c r="U8" s="379"/>
      <c r="V8" s="378" t="str">
        <f>IFERROR(INDEX('04 Interferencias'!$D:$D,MATCH(SUBSTITUTE(V7,"–","-"),'04 Interferencias'!$A:$A,0)),"—")</f>
        <v>Teleferica</v>
      </c>
      <c r="W8" s="379"/>
      <c r="X8" s="378" t="str">
        <f>IFERROR(INDEX('04 Interferencias'!$D:$D,MATCH(SUBSTITUTE(X7,"–","-"),'04 Interferencias'!$A:$A,0)),"—")</f>
        <v>Rustico</v>
      </c>
      <c r="Y8" s="379"/>
      <c r="Z8" s="378" t="str">
        <f>IFERROR(INDEX('04 Interferencias'!$D:$D,MATCH(SUBSTITUTE(Z7,"–","-"),'04 Interferencias'!$A:$A,0)),"—")</f>
        <v>SP. Per Lumarzo  L. telefono</v>
      </c>
      <c r="AA8" s="379"/>
      <c r="AB8" s="378" t="str">
        <f>IFERROR(INDEX('04 Interferencias'!$D:$D,MATCH(SUBSTITUTE(AB7,"–","-"),'04 Interferencias'!$A:$A,0)),"—")</f>
        <v>—</v>
      </c>
      <c r="AC8" s="379"/>
      <c r="AD8" s="378" t="str">
        <f>IFERROR(INDEX('04 Interferencias'!$D:$D,MATCH(SUBSTITUTE(AD7,"–","-"),'04 Interferencias'!$A:$A,0)),"—")</f>
        <v>15kV. SC. Str. Privata</v>
      </c>
      <c r="AE8" s="379"/>
      <c r="AF8" s="378" t="str">
        <f>IFERROR(INDEX('04 Interferencias'!$D:$D,MATCH(SUBSTITUTE(AF7,"–","-"),'04 Interferencias'!$A:$A,0)),"—")</f>
        <v>—</v>
      </c>
      <c r="AG8" s="379"/>
      <c r="AH8" s="378" t="str">
        <f>IFERROR(INDEX('04 Interferencias'!$D:$D,MATCH(SUBSTITUTE(AH7,"–","-"),'04 Interferencias'!$A:$A,0)),"—")</f>
        <v>—</v>
      </c>
      <c r="AI8" s="379"/>
      <c r="AJ8" s="378" t="str">
        <f>IFERROR(INDEX('04 Interferencias'!$D:$D,MATCH(SUBSTITUTE(AJ7,"–","-"),'04 Interferencias'!$A:$A,0)),"—")</f>
        <v>—</v>
      </c>
      <c r="AK8" s="379"/>
      <c r="AL8" s="378" t="str">
        <f>IFERROR(INDEX('04 Interferencias'!$D:$D,MATCH(SUBSTITUTE(AL7,"–","-"),'04 Interferencias'!$A:$A,0)),"—")</f>
        <v>—</v>
      </c>
      <c r="AM8" s="379"/>
      <c r="AN8" s="378" t="str">
        <f>IFERROR(INDEX('04 Interferencias'!$D:$D,MATCH(SUBSTITUTE(AN7,"–","-"),'04 Interferencias'!$A:$A,0)),"—")</f>
        <v>—</v>
      </c>
      <c r="AO8" s="380"/>
      <c r="AP8" s="381" t="str">
        <f>IFERROR(INDEX('04 Interferencias'!$D:$D,MATCH(SUBSTITUTE(AP7,"–","-"),'04 Interferencias'!$A:$A,0)),"—")</f>
        <v>—</v>
      </c>
      <c r="AQ8" s="381"/>
      <c r="AR8" s="381" t="str">
        <f>IFERROR(INDEX('04 Interferencias'!$D:$D,MATCH(SUBSTITUTE(AR7,"–","-"),'04 Interferencias'!$A:$A,0)),"—")</f>
        <v>4 telefoniche SS. Cascinale - baracca lamiera</v>
      </c>
      <c r="AS8" s="381"/>
      <c r="AT8" s="381" t="str">
        <f>IFERROR(INDEX('04 Interferencias'!$D:$D,MATCH(SUBSTITUTE(AT7,"–","-"),'04 Interferencias'!$A:$A,0)),"—")</f>
        <v>—</v>
      </c>
      <c r="AU8" s="381"/>
    </row>
    <row r="9" spans="1:47" x14ac:dyDescent="0.25">
      <c r="A9" s="1"/>
      <c r="B9" s="12"/>
      <c r="C9" s="20"/>
      <c r="D9" s="12"/>
      <c r="E9" s="20"/>
      <c r="F9" s="12"/>
      <c r="G9" s="20"/>
      <c r="H9" s="12"/>
      <c r="I9" s="20"/>
      <c r="J9" s="12"/>
      <c r="K9" s="20"/>
      <c r="L9" s="12"/>
      <c r="M9" s="20"/>
      <c r="N9" s="12"/>
      <c r="O9" s="20"/>
      <c r="P9" s="12"/>
      <c r="Q9" s="20"/>
      <c r="R9" s="12"/>
      <c r="S9" s="20"/>
      <c r="T9" s="12"/>
      <c r="U9" s="20"/>
      <c r="V9" s="12"/>
      <c r="W9" s="20"/>
      <c r="X9" s="12"/>
      <c r="Y9" s="20"/>
      <c r="Z9" s="12"/>
      <c r="AA9" s="20"/>
      <c r="AB9" s="12"/>
      <c r="AC9" s="20"/>
      <c r="AD9" s="12"/>
      <c r="AE9" s="20"/>
      <c r="AF9" s="12"/>
      <c r="AG9" s="20"/>
      <c r="AH9" s="12"/>
      <c r="AI9" s="20"/>
      <c r="AJ9" s="12"/>
      <c r="AK9" s="20"/>
      <c r="AL9" s="12"/>
      <c r="AM9" s="20"/>
      <c r="AN9" s="12"/>
      <c r="AO9" s="33"/>
      <c r="AP9" s="14"/>
      <c r="AQ9" s="14"/>
      <c r="AR9" s="14"/>
      <c r="AS9" s="14"/>
      <c r="AT9" s="14"/>
      <c r="AU9" s="14"/>
    </row>
    <row r="10" spans="1:47" x14ac:dyDescent="0.25">
      <c r="A10" s="325" t="s">
        <v>34</v>
      </c>
      <c r="B10" s="326"/>
      <c r="C10" s="326"/>
      <c r="D10" s="326"/>
      <c r="E10" s="326"/>
      <c r="F10" s="326"/>
      <c r="G10" s="326"/>
      <c r="H10" s="326"/>
      <c r="I10" s="326"/>
      <c r="J10" s="326"/>
      <c r="K10" s="326"/>
      <c r="L10" s="326"/>
      <c r="M10" s="326"/>
      <c r="N10" s="326"/>
      <c r="O10" s="326"/>
      <c r="P10" s="326"/>
      <c r="Q10" s="326"/>
      <c r="R10" s="326"/>
      <c r="S10" s="326"/>
      <c r="T10" s="326"/>
      <c r="U10" s="326"/>
      <c r="V10" s="326"/>
      <c r="W10" s="326"/>
      <c r="X10" s="326"/>
      <c r="Y10" s="326"/>
      <c r="Z10" s="326"/>
      <c r="AA10" s="326"/>
      <c r="AB10" s="326"/>
      <c r="AC10" s="326"/>
      <c r="AD10" s="326"/>
      <c r="AE10" s="326"/>
      <c r="AF10" s="326"/>
      <c r="AG10" s="326"/>
      <c r="AH10" s="326"/>
      <c r="AI10" s="326"/>
      <c r="AJ10" s="326"/>
      <c r="AK10" s="326"/>
      <c r="AL10" s="326"/>
      <c r="AM10" s="326"/>
      <c r="AN10" s="326"/>
      <c r="AO10" s="326"/>
      <c r="AP10" s="326"/>
      <c r="AQ10" s="326"/>
      <c r="AR10" s="326"/>
      <c r="AS10" s="326"/>
      <c r="AT10" s="326"/>
      <c r="AU10" s="326"/>
    </row>
    <row r="11" spans="1:47" ht="20.100000000000001" customHeight="1" x14ac:dyDescent="0.25">
      <c r="A11" s="12"/>
      <c r="B11" s="42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4"/>
      <c r="AR11" s="43"/>
      <c r="AS11" s="44"/>
      <c r="AT11" s="43"/>
      <c r="AU11" s="44"/>
    </row>
    <row r="12" spans="1:47" ht="20.100000000000001" customHeight="1" x14ac:dyDescent="0.25">
      <c r="A12" s="12"/>
      <c r="B12" s="45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6"/>
      <c r="AR12" s="40"/>
      <c r="AS12" s="46"/>
      <c r="AT12" s="40"/>
      <c r="AU12" s="46"/>
    </row>
    <row r="13" spans="1:47" ht="20.100000000000001" customHeight="1" x14ac:dyDescent="0.25">
      <c r="A13" s="12"/>
      <c r="B13" s="45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6"/>
      <c r="AR13" s="40"/>
      <c r="AS13" s="46"/>
      <c r="AT13" s="40"/>
      <c r="AU13" s="46"/>
    </row>
    <row r="14" spans="1:47" ht="20.100000000000001" customHeight="1" x14ac:dyDescent="0.25">
      <c r="A14" s="12"/>
      <c r="B14" s="45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6"/>
      <c r="AR14" s="40"/>
      <c r="AS14" s="46"/>
      <c r="AT14" s="40"/>
      <c r="AU14" s="46"/>
    </row>
    <row r="15" spans="1:47" ht="20.100000000000001" customHeight="1" x14ac:dyDescent="0.25">
      <c r="A15" s="12"/>
      <c r="B15" s="45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6"/>
      <c r="AR15" s="40"/>
      <c r="AS15" s="46"/>
      <c r="AT15" s="40"/>
      <c r="AU15" s="46"/>
    </row>
    <row r="16" spans="1:47" ht="20.100000000000001" customHeight="1" x14ac:dyDescent="0.25">
      <c r="A16" s="12"/>
      <c r="B16" s="45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6"/>
      <c r="AR16" s="40"/>
      <c r="AS16" s="46"/>
      <c r="AT16" s="40"/>
      <c r="AU16" s="46"/>
    </row>
    <row r="17" spans="1:47" ht="20.100000000000001" customHeight="1" x14ac:dyDescent="0.25">
      <c r="A17" s="12"/>
      <c r="B17" s="45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6"/>
      <c r="AR17" s="40"/>
      <c r="AS17" s="46"/>
      <c r="AT17" s="40"/>
      <c r="AU17" s="46"/>
    </row>
    <row r="18" spans="1:47" ht="20.100000000000001" customHeight="1" x14ac:dyDescent="0.25">
      <c r="A18" s="12"/>
      <c r="B18" s="45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6"/>
      <c r="AR18" s="40"/>
      <c r="AS18" s="46"/>
      <c r="AT18" s="40"/>
      <c r="AU18" s="46"/>
    </row>
    <row r="19" spans="1:47" ht="20.100000000000001" customHeight="1" x14ac:dyDescent="0.25">
      <c r="A19" s="12"/>
      <c r="B19" s="45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6"/>
      <c r="AR19" s="40"/>
      <c r="AS19" s="46"/>
      <c r="AT19" s="40"/>
      <c r="AU19" s="46"/>
    </row>
    <row r="20" spans="1:47" ht="20.100000000000001" customHeight="1" x14ac:dyDescent="0.25">
      <c r="A20" s="12"/>
      <c r="B20" s="45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6"/>
      <c r="AR20" s="40"/>
      <c r="AS20" s="46"/>
      <c r="AT20" s="40"/>
      <c r="AU20" s="46"/>
    </row>
    <row r="21" spans="1:47" ht="20.100000000000001" customHeight="1" x14ac:dyDescent="0.25">
      <c r="A21" s="12"/>
      <c r="B21" s="45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6"/>
      <c r="AR21" s="40"/>
      <c r="AS21" s="46"/>
      <c r="AT21" s="40"/>
      <c r="AU21" s="46"/>
    </row>
    <row r="22" spans="1:47" ht="20.100000000000001" customHeight="1" x14ac:dyDescent="0.25">
      <c r="A22" s="12"/>
      <c r="B22" s="45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6"/>
      <c r="AR22" s="40"/>
      <c r="AS22" s="46"/>
      <c r="AT22" s="40"/>
      <c r="AU22" s="46"/>
    </row>
    <row r="23" spans="1:47" ht="20.100000000000001" customHeight="1" x14ac:dyDescent="0.25">
      <c r="A23" s="12"/>
      <c r="B23" s="45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6"/>
      <c r="AR23" s="40"/>
      <c r="AS23" s="46"/>
      <c r="AT23" s="40"/>
      <c r="AU23" s="46"/>
    </row>
    <row r="24" spans="1:47" ht="20.100000000000001" customHeight="1" x14ac:dyDescent="0.25">
      <c r="A24" s="12"/>
      <c r="B24" s="45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6"/>
      <c r="AR24" s="40"/>
      <c r="AS24" s="46"/>
      <c r="AT24" s="40"/>
      <c r="AU24" s="46"/>
    </row>
    <row r="25" spans="1:47" ht="20.100000000000001" customHeight="1" x14ac:dyDescent="0.25">
      <c r="A25" s="12"/>
      <c r="B25" s="45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6"/>
      <c r="AR25" s="40"/>
      <c r="AS25" s="46"/>
      <c r="AT25" s="40"/>
      <c r="AU25" s="46"/>
    </row>
    <row r="26" spans="1:47" ht="20.100000000000001" customHeight="1" x14ac:dyDescent="0.25">
      <c r="A26" s="12"/>
      <c r="B26" s="45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6"/>
      <c r="AR26" s="40"/>
      <c r="AS26" s="46"/>
      <c r="AT26" s="40"/>
      <c r="AU26" s="46"/>
    </row>
    <row r="27" spans="1:47" x14ac:dyDescent="0.25">
      <c r="A27" s="13"/>
      <c r="B27" s="45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6"/>
      <c r="AR27" s="40"/>
      <c r="AS27" s="46"/>
      <c r="AT27" s="40"/>
      <c r="AU27" s="46"/>
    </row>
    <row r="28" spans="1:47" ht="24" customHeight="1" x14ac:dyDescent="0.25">
      <c r="A28" s="293" t="s">
        <v>35</v>
      </c>
      <c r="B28" s="374">
        <v>245</v>
      </c>
      <c r="C28" s="371"/>
      <c r="D28" s="370">
        <v>246</v>
      </c>
      <c r="E28" s="371"/>
      <c r="F28" s="370">
        <v>247</v>
      </c>
      <c r="G28" s="371"/>
      <c r="H28" s="370">
        <v>248</v>
      </c>
      <c r="I28" s="371"/>
      <c r="J28" s="370">
        <v>249</v>
      </c>
      <c r="K28" s="371"/>
      <c r="L28" s="370">
        <v>250</v>
      </c>
      <c r="M28" s="371"/>
      <c r="N28" s="370">
        <v>251</v>
      </c>
      <c r="O28" s="371"/>
      <c r="P28" s="370">
        <v>252</v>
      </c>
      <c r="Q28" s="371"/>
      <c r="R28" s="370">
        <v>253</v>
      </c>
      <c r="S28" s="371"/>
      <c r="T28" s="370">
        <v>254</v>
      </c>
      <c r="U28" s="371"/>
      <c r="V28" s="370">
        <v>255</v>
      </c>
      <c r="W28" s="371"/>
      <c r="X28" s="370">
        <v>256</v>
      </c>
      <c r="Y28" s="371"/>
      <c r="Z28" s="370">
        <v>257</v>
      </c>
      <c r="AA28" s="371"/>
      <c r="AB28" s="370">
        <v>258</v>
      </c>
      <c r="AC28" s="371"/>
      <c r="AD28" s="370">
        <v>259</v>
      </c>
      <c r="AE28" s="371"/>
      <c r="AF28" s="370">
        <v>260</v>
      </c>
      <c r="AG28" s="371"/>
      <c r="AH28" s="370">
        <v>261</v>
      </c>
      <c r="AI28" s="371"/>
      <c r="AJ28" s="370">
        <v>262</v>
      </c>
      <c r="AK28" s="371"/>
      <c r="AL28" s="370">
        <v>263</v>
      </c>
      <c r="AM28" s="371"/>
      <c r="AN28" s="370">
        <v>264</v>
      </c>
      <c r="AO28" s="371"/>
      <c r="AP28" s="370">
        <v>265</v>
      </c>
      <c r="AQ28" s="377"/>
      <c r="AR28" s="370">
        <v>266</v>
      </c>
      <c r="AS28" s="377"/>
      <c r="AT28" s="370">
        <v>267</v>
      </c>
      <c r="AU28" s="377"/>
    </row>
    <row r="29" spans="1:47" ht="24" customHeight="1" x14ac:dyDescent="0.25">
      <c r="A29" s="292" t="s">
        <v>57</v>
      </c>
      <c r="B29" s="372" t="s">
        <v>59</v>
      </c>
      <c r="C29" s="361"/>
      <c r="D29" s="360" t="s">
        <v>58</v>
      </c>
      <c r="E29" s="361"/>
      <c r="F29" s="360" t="s">
        <v>59</v>
      </c>
      <c r="G29" s="361"/>
      <c r="H29" s="365" t="s">
        <v>59</v>
      </c>
      <c r="I29" s="366"/>
      <c r="J29" s="360" t="s">
        <v>59</v>
      </c>
      <c r="K29" s="361"/>
      <c r="L29" s="360" t="s">
        <v>59</v>
      </c>
      <c r="M29" s="361"/>
      <c r="N29" s="365" t="s">
        <v>58</v>
      </c>
      <c r="O29" s="366"/>
      <c r="P29" s="360" t="s">
        <v>58</v>
      </c>
      <c r="Q29" s="361"/>
      <c r="R29" s="365" t="s">
        <v>58</v>
      </c>
      <c r="S29" s="366"/>
      <c r="T29" s="365" t="s">
        <v>59</v>
      </c>
      <c r="U29" s="366"/>
      <c r="V29" s="360" t="s">
        <v>58</v>
      </c>
      <c r="W29" s="361"/>
      <c r="X29" s="365" t="s">
        <v>58</v>
      </c>
      <c r="Y29" s="366"/>
      <c r="Z29" s="360" t="s">
        <v>58</v>
      </c>
      <c r="AA29" s="361"/>
      <c r="AB29" s="365" t="s">
        <v>59</v>
      </c>
      <c r="AC29" s="366"/>
      <c r="AD29" s="365" t="s">
        <v>58</v>
      </c>
      <c r="AE29" s="366"/>
      <c r="AF29" s="360" t="s">
        <v>59</v>
      </c>
      <c r="AG29" s="361"/>
      <c r="AH29" s="360" t="s">
        <v>59</v>
      </c>
      <c r="AI29" s="361"/>
      <c r="AJ29" s="360" t="s">
        <v>59</v>
      </c>
      <c r="AK29" s="361"/>
      <c r="AL29" s="360" t="s">
        <v>59</v>
      </c>
      <c r="AM29" s="361"/>
      <c r="AN29" s="360" t="s">
        <v>58</v>
      </c>
      <c r="AO29" s="362"/>
      <c r="AP29" s="363" t="s">
        <v>59</v>
      </c>
      <c r="AQ29" s="364"/>
      <c r="AR29" s="363" t="s">
        <v>58</v>
      </c>
      <c r="AS29" s="364"/>
      <c r="AT29" s="363" t="s">
        <v>58</v>
      </c>
      <c r="AU29" s="364"/>
    </row>
    <row r="30" spans="1:47" ht="24" customHeight="1" x14ac:dyDescent="0.25">
      <c r="A30" s="38" t="s">
        <v>60</v>
      </c>
      <c r="B30" s="320">
        <v>22.6</v>
      </c>
      <c r="C30" s="321"/>
      <c r="D30" s="322">
        <v>25.4</v>
      </c>
      <c r="E30" s="321"/>
      <c r="F30" s="322">
        <v>22.4</v>
      </c>
      <c r="G30" s="321"/>
      <c r="H30" s="322">
        <v>22.4</v>
      </c>
      <c r="I30" s="321"/>
      <c r="J30" s="322">
        <v>22.3</v>
      </c>
      <c r="K30" s="321"/>
      <c r="L30" s="322">
        <v>22.4</v>
      </c>
      <c r="M30" s="321"/>
      <c r="N30" s="322">
        <v>22.3</v>
      </c>
      <c r="O30" s="321"/>
      <c r="P30" s="322">
        <v>28.7</v>
      </c>
      <c r="Q30" s="321"/>
      <c r="R30" s="322">
        <v>21.8</v>
      </c>
      <c r="S30" s="321"/>
      <c r="T30" s="322">
        <v>22.8</v>
      </c>
      <c r="U30" s="321"/>
      <c r="V30" s="322">
        <v>26.3</v>
      </c>
      <c r="W30" s="321"/>
      <c r="X30" s="322">
        <v>23.5</v>
      </c>
      <c r="Y30" s="321"/>
      <c r="Z30" s="322">
        <v>28</v>
      </c>
      <c r="AA30" s="321"/>
      <c r="AB30" s="322">
        <v>23.3</v>
      </c>
      <c r="AC30" s="321"/>
      <c r="AD30" s="322">
        <v>22.2</v>
      </c>
      <c r="AE30" s="321"/>
      <c r="AF30" s="322">
        <v>30.4</v>
      </c>
      <c r="AG30" s="321"/>
      <c r="AH30" s="322">
        <v>22.3</v>
      </c>
      <c r="AI30" s="321"/>
      <c r="AJ30" s="322">
        <v>22.3</v>
      </c>
      <c r="AK30" s="321"/>
      <c r="AL30" s="322">
        <v>29.8</v>
      </c>
      <c r="AM30" s="321"/>
      <c r="AN30" s="322">
        <v>22.6</v>
      </c>
      <c r="AO30" s="367"/>
      <c r="AP30" s="368">
        <v>23.1</v>
      </c>
      <c r="AQ30" s="369"/>
      <c r="AR30" s="368">
        <v>35.5</v>
      </c>
      <c r="AS30" s="369"/>
      <c r="AT30" s="368">
        <v>35.5</v>
      </c>
      <c r="AU30" s="369"/>
    </row>
    <row r="31" spans="1:47" ht="24" customHeight="1" x14ac:dyDescent="0.25">
      <c r="A31" s="38" t="s">
        <v>61</v>
      </c>
      <c r="B31" s="359">
        <v>245.73</v>
      </c>
      <c r="C31" s="314"/>
      <c r="D31" s="314">
        <v>190.39</v>
      </c>
      <c r="E31" s="314"/>
      <c r="F31" s="314">
        <v>220.38</v>
      </c>
      <c r="G31" s="314"/>
      <c r="H31" s="314">
        <v>216.82</v>
      </c>
      <c r="I31" s="314"/>
      <c r="J31" s="314">
        <v>243.96</v>
      </c>
      <c r="K31" s="314"/>
      <c r="L31" s="314">
        <v>258.89999999999998</v>
      </c>
      <c r="M31" s="314"/>
      <c r="N31" s="314">
        <v>248.86</v>
      </c>
      <c r="O31" s="314"/>
      <c r="P31" s="314">
        <v>235.02</v>
      </c>
      <c r="Q31" s="314"/>
      <c r="R31" s="314">
        <v>206.6</v>
      </c>
      <c r="S31" s="314"/>
      <c r="T31" s="314">
        <v>228.91</v>
      </c>
      <c r="U31" s="314"/>
      <c r="V31" s="314">
        <v>235.83</v>
      </c>
      <c r="W31" s="314"/>
      <c r="X31" s="314">
        <v>282.42</v>
      </c>
      <c r="Y31" s="314"/>
      <c r="Z31" s="314">
        <v>280.12</v>
      </c>
      <c r="AA31" s="314"/>
      <c r="AB31" s="314">
        <v>332.68</v>
      </c>
      <c r="AC31" s="314"/>
      <c r="AD31" s="314">
        <v>329.73</v>
      </c>
      <c r="AE31" s="314"/>
      <c r="AF31" s="314">
        <v>433</v>
      </c>
      <c r="AG31" s="314"/>
      <c r="AH31" s="314">
        <v>452.94</v>
      </c>
      <c r="AI31" s="314"/>
      <c r="AJ31" s="314">
        <v>442.49</v>
      </c>
      <c r="AK31" s="314"/>
      <c r="AL31" s="314">
        <v>386.73</v>
      </c>
      <c r="AM31" s="314"/>
      <c r="AN31" s="314">
        <v>353.9</v>
      </c>
      <c r="AO31" s="314"/>
      <c r="AP31" s="314">
        <v>311.69</v>
      </c>
      <c r="AQ31" s="346"/>
      <c r="AR31" s="314">
        <v>307.92</v>
      </c>
      <c r="AS31" s="346"/>
      <c r="AT31" s="314">
        <v>343.34</v>
      </c>
      <c r="AU31" s="346"/>
    </row>
    <row r="32" spans="1:47" ht="24" customHeight="1" x14ac:dyDescent="0.25">
      <c r="A32" s="38" t="s">
        <v>62</v>
      </c>
      <c r="B32" s="350"/>
      <c r="C32" s="351"/>
      <c r="D32" s="312">
        <v>179.92</v>
      </c>
      <c r="E32" s="313"/>
      <c r="F32" s="312">
        <v>179.65</v>
      </c>
      <c r="G32" s="313"/>
      <c r="H32" s="312">
        <v>179.95</v>
      </c>
      <c r="I32" s="313"/>
      <c r="J32" s="312">
        <v>179.2</v>
      </c>
      <c r="K32" s="313"/>
      <c r="L32" s="312">
        <v>179.69</v>
      </c>
      <c r="M32" s="313"/>
      <c r="N32" s="312">
        <v>156.82</v>
      </c>
      <c r="O32" s="313"/>
      <c r="P32" s="312">
        <v>179.95</v>
      </c>
      <c r="Q32" s="313"/>
      <c r="R32" s="312">
        <v>160.69999999999999</v>
      </c>
      <c r="S32" s="313"/>
      <c r="T32" s="312">
        <v>179.67</v>
      </c>
      <c r="U32" s="313"/>
      <c r="V32" s="312">
        <v>179.75</v>
      </c>
      <c r="W32" s="313"/>
      <c r="X32" s="312">
        <v>128.38</v>
      </c>
      <c r="Y32" s="313"/>
      <c r="Z32" s="312">
        <v>155.56</v>
      </c>
      <c r="AA32" s="313"/>
      <c r="AB32" s="312">
        <v>179.85</v>
      </c>
      <c r="AC32" s="313"/>
      <c r="AD32" s="312">
        <v>179.89</v>
      </c>
      <c r="AE32" s="313"/>
      <c r="AF32" s="312">
        <v>179.96</v>
      </c>
      <c r="AG32" s="313"/>
      <c r="AH32" s="312">
        <v>179.99</v>
      </c>
      <c r="AI32" s="313"/>
      <c r="AJ32" s="312">
        <v>179.99</v>
      </c>
      <c r="AK32" s="313"/>
      <c r="AL32" s="312">
        <v>179.98</v>
      </c>
      <c r="AM32" s="313"/>
      <c r="AN32" s="312">
        <v>179.96</v>
      </c>
      <c r="AO32" s="347"/>
      <c r="AP32" s="348">
        <v>177.18</v>
      </c>
      <c r="AQ32" s="349"/>
      <c r="AR32" s="348">
        <v>141.38999999999999</v>
      </c>
      <c r="AS32" s="349"/>
      <c r="AT32" s="348">
        <v>135.01</v>
      </c>
      <c r="AU32" s="349"/>
    </row>
    <row r="33" spans="1:47" ht="24" customHeight="1" x14ac:dyDescent="0.25">
      <c r="A33" s="38" t="s">
        <v>86</v>
      </c>
      <c r="B33" s="357">
        <v>514370.71</v>
      </c>
      <c r="C33" s="344"/>
      <c r="D33" s="343">
        <v>514166.11</v>
      </c>
      <c r="E33" s="344"/>
      <c r="F33" s="343">
        <v>513938.72</v>
      </c>
      <c r="G33" s="344"/>
      <c r="H33" s="343">
        <v>513711.09</v>
      </c>
      <c r="I33" s="344"/>
      <c r="J33" s="343">
        <v>513552.34</v>
      </c>
      <c r="K33" s="344"/>
      <c r="L33" s="343">
        <v>513440.28</v>
      </c>
      <c r="M33" s="344"/>
      <c r="N33" s="343">
        <v>513243.69</v>
      </c>
      <c r="O33" s="344"/>
      <c r="P33" s="343">
        <v>513051.37</v>
      </c>
      <c r="Q33" s="344"/>
      <c r="R33" s="343">
        <v>512768.56</v>
      </c>
      <c r="S33" s="344"/>
      <c r="T33" s="343">
        <v>512696.33</v>
      </c>
      <c r="U33" s="344"/>
      <c r="V33" s="343">
        <v>512554.45</v>
      </c>
      <c r="W33" s="344"/>
      <c r="X33" s="343">
        <v>512355.73</v>
      </c>
      <c r="Y33" s="344"/>
      <c r="Z33" s="343">
        <v>512047.17</v>
      </c>
      <c r="AA33" s="344"/>
      <c r="AB33" s="343">
        <v>511900.01</v>
      </c>
      <c r="AC33" s="344"/>
      <c r="AD33" s="343">
        <v>511672.41</v>
      </c>
      <c r="AE33" s="344"/>
      <c r="AF33" s="343">
        <v>511464.76</v>
      </c>
      <c r="AG33" s="344"/>
      <c r="AH33" s="343">
        <v>511162.49</v>
      </c>
      <c r="AI33" s="344"/>
      <c r="AJ33" s="343">
        <v>511059.5</v>
      </c>
      <c r="AK33" s="344"/>
      <c r="AL33" s="343">
        <v>510843.92</v>
      </c>
      <c r="AM33" s="344"/>
      <c r="AN33" s="343">
        <v>510643.51</v>
      </c>
      <c r="AO33" s="345"/>
      <c r="AP33" s="314">
        <v>510453.07</v>
      </c>
      <c r="AQ33" s="346"/>
      <c r="AR33" s="314">
        <v>510196.51</v>
      </c>
      <c r="AS33" s="346"/>
      <c r="AT33" s="314">
        <v>510075.86</v>
      </c>
      <c r="AU33" s="346"/>
    </row>
    <row r="34" spans="1:47" ht="24" customHeight="1" x14ac:dyDescent="0.25">
      <c r="A34" s="38" t="s">
        <v>87</v>
      </c>
      <c r="B34" s="357">
        <v>4920001.3499999996</v>
      </c>
      <c r="C34" s="344"/>
      <c r="D34" s="343">
        <v>4920072.41</v>
      </c>
      <c r="E34" s="344"/>
      <c r="F34" s="343">
        <v>4920151.72</v>
      </c>
      <c r="G34" s="344"/>
      <c r="H34" s="343">
        <v>4920229.5599999996</v>
      </c>
      <c r="I34" s="344"/>
      <c r="J34" s="343">
        <v>4920283.99</v>
      </c>
      <c r="K34" s="344"/>
      <c r="L34" s="343">
        <v>4920324.17</v>
      </c>
      <c r="M34" s="344"/>
      <c r="N34" s="343">
        <v>4920393.4800000004</v>
      </c>
      <c r="O34" s="344"/>
      <c r="P34" s="343">
        <v>4920380.83</v>
      </c>
      <c r="Q34" s="344"/>
      <c r="R34" s="343">
        <v>4920362.5</v>
      </c>
      <c r="S34" s="344"/>
      <c r="T34" s="343">
        <v>4920331.83</v>
      </c>
      <c r="U34" s="344"/>
      <c r="V34" s="343">
        <v>4920270.62</v>
      </c>
      <c r="W34" s="344"/>
      <c r="X34" s="343">
        <v>4920183.87</v>
      </c>
      <c r="Y34" s="344"/>
      <c r="Z34" s="343">
        <v>4920348.21</v>
      </c>
      <c r="AA34" s="344"/>
      <c r="AB34" s="343">
        <v>4920357.4800000004</v>
      </c>
      <c r="AC34" s="344"/>
      <c r="AD34" s="343">
        <v>4920371.21</v>
      </c>
      <c r="AE34" s="344"/>
      <c r="AF34" s="343">
        <v>4920383.3499999996</v>
      </c>
      <c r="AG34" s="344"/>
      <c r="AH34" s="343">
        <v>4920401.22</v>
      </c>
      <c r="AI34" s="344"/>
      <c r="AJ34" s="343">
        <v>4920407.29</v>
      </c>
      <c r="AK34" s="344"/>
      <c r="AL34" s="343">
        <v>4920420.05</v>
      </c>
      <c r="AM34" s="344"/>
      <c r="AN34" s="343">
        <v>4920431.83</v>
      </c>
      <c r="AO34" s="345"/>
      <c r="AP34" s="314">
        <v>4920443.1500000004</v>
      </c>
      <c r="AQ34" s="346"/>
      <c r="AR34" s="314">
        <v>4920445.74</v>
      </c>
      <c r="AS34" s="346"/>
      <c r="AT34" s="314">
        <v>4920544.1100000003</v>
      </c>
      <c r="AU34" s="346"/>
    </row>
    <row r="35" spans="1:47" ht="24" customHeight="1" x14ac:dyDescent="0.25">
      <c r="A35" s="38" t="s">
        <v>63</v>
      </c>
      <c r="B35" s="47"/>
      <c r="C35" s="311">
        <v>216.59</v>
      </c>
      <c r="D35" s="311"/>
      <c r="E35" s="311">
        <v>240.82</v>
      </c>
      <c r="F35" s="311"/>
      <c r="G35" s="311">
        <v>240.57</v>
      </c>
      <c r="H35" s="311"/>
      <c r="I35" s="311">
        <v>167.82</v>
      </c>
      <c r="J35" s="311"/>
      <c r="K35" s="311">
        <v>119.05</v>
      </c>
      <c r="L35" s="311"/>
      <c r="M35" s="311">
        <v>208.45</v>
      </c>
      <c r="N35" s="311"/>
      <c r="O35" s="311">
        <v>192.74</v>
      </c>
      <c r="P35" s="311"/>
      <c r="Q35" s="311">
        <v>283.39999999999998</v>
      </c>
      <c r="R35" s="311"/>
      <c r="S35" s="311">
        <v>78.47</v>
      </c>
      <c r="T35" s="311"/>
      <c r="U35" s="311">
        <v>154.52000000000001</v>
      </c>
      <c r="V35" s="311"/>
      <c r="W35" s="311">
        <v>216.83</v>
      </c>
      <c r="X35" s="311"/>
      <c r="Y35" s="311">
        <v>349.6</v>
      </c>
      <c r="Z35" s="311"/>
      <c r="AA35" s="311">
        <v>147.44999999999999</v>
      </c>
      <c r="AB35" s="311"/>
      <c r="AC35" s="311">
        <v>228.01</v>
      </c>
      <c r="AD35" s="311"/>
      <c r="AE35" s="311">
        <v>208</v>
      </c>
      <c r="AF35" s="311"/>
      <c r="AG35" s="311">
        <v>302.8</v>
      </c>
      <c r="AH35" s="311"/>
      <c r="AI35" s="311">
        <v>103.17</v>
      </c>
      <c r="AJ35" s="311"/>
      <c r="AK35" s="311">
        <v>215.96</v>
      </c>
      <c r="AL35" s="311"/>
      <c r="AM35" s="311">
        <v>200.76</v>
      </c>
      <c r="AN35" s="311"/>
      <c r="AO35" s="303">
        <v>190.78</v>
      </c>
      <c r="AP35" s="304"/>
      <c r="AQ35" s="479">
        <v>256.57</v>
      </c>
      <c r="AR35" s="304"/>
      <c r="AS35" s="479">
        <v>155.66999999999999</v>
      </c>
      <c r="AT35" s="304"/>
      <c r="AU35" s="480"/>
    </row>
    <row r="36" spans="1:47" ht="24" customHeight="1" x14ac:dyDescent="0.25">
      <c r="A36" s="38" t="s">
        <v>493</v>
      </c>
      <c r="B36" s="47"/>
      <c r="C36" s="318">
        <f>TESATURA_NORMALIZADA!G26</f>
        <v>351</v>
      </c>
      <c r="D36" s="319"/>
      <c r="E36" s="318">
        <f>TESATURA_NORMALIZADA!G27</f>
        <v>381</v>
      </c>
      <c r="F36" s="319"/>
      <c r="G36" s="318">
        <f>TESATURA_NORMALIZADA!G28</f>
        <v>375</v>
      </c>
      <c r="H36" s="319"/>
      <c r="I36" s="318">
        <f>TESATURA_NORMALIZADA!G29</f>
        <v>329</v>
      </c>
      <c r="J36" s="319"/>
      <c r="K36" s="318">
        <f>TESATURA_NORMALIZADA!G30</f>
        <v>1477</v>
      </c>
      <c r="L36" s="319"/>
      <c r="M36" s="318">
        <f>TESATURA_NORMALIZADA!G31</f>
        <v>406</v>
      </c>
      <c r="N36" s="319"/>
      <c r="O36" s="318">
        <f>TESATURA_NORMALIZADA!G32</f>
        <v>404</v>
      </c>
      <c r="P36" s="319"/>
      <c r="Q36" s="318">
        <f>TESATURA_NORMALIZADA!G33</f>
        <v>382</v>
      </c>
      <c r="R36" s="319"/>
      <c r="S36" s="318">
        <f>TESATURA_NORMALIZADA!G34</f>
        <v>638</v>
      </c>
      <c r="T36" s="319"/>
      <c r="U36" s="318">
        <f>TESATURA_NORMALIZADA!G35</f>
        <v>392</v>
      </c>
      <c r="V36" s="319"/>
      <c r="W36" s="318">
        <f>TESATURA_NORMALIZADA!G36</f>
        <v>407</v>
      </c>
      <c r="X36" s="319"/>
      <c r="Y36" s="318">
        <f>TESATURA_NORMALIZADA!G37</f>
        <v>378</v>
      </c>
      <c r="Z36" s="319"/>
      <c r="AA36" s="318">
        <f>TESATURA_NORMALIZADA!G38</f>
        <v>439</v>
      </c>
      <c r="AB36" s="319"/>
      <c r="AC36" s="318">
        <f>TESATURA_NORMALIZADA!G39</f>
        <v>359</v>
      </c>
      <c r="AD36" s="319"/>
      <c r="AE36" s="318">
        <f>TESATURA_NORMALIZADA!G40</f>
        <v>524</v>
      </c>
      <c r="AF36" s="319"/>
      <c r="AG36" s="318">
        <f>TESATURA_NORMALIZADA!G41</f>
        <v>378</v>
      </c>
      <c r="AH36" s="319"/>
      <c r="AI36" s="318">
        <f>TESATURA_NORMALIZADA!G42</f>
        <v>601</v>
      </c>
      <c r="AJ36" s="319"/>
      <c r="AK36" s="318">
        <f>TESATURA_NORMALIZADA!G43</f>
        <v>395</v>
      </c>
      <c r="AL36" s="319"/>
      <c r="AM36" s="318">
        <f>TESATURA_NORMALIZADA!G44</f>
        <v>406</v>
      </c>
      <c r="AN36" s="319"/>
      <c r="AO36" s="318">
        <f>TESATURA_NORMALIZADA!G45</f>
        <v>358</v>
      </c>
      <c r="AP36" s="319"/>
      <c r="AQ36" s="318">
        <f>TESATURA_NORMALIZADA!G46</f>
        <v>471</v>
      </c>
      <c r="AR36" s="319"/>
      <c r="AS36" s="318">
        <f>TESATURA_NORMALIZADA!G47</f>
        <v>401</v>
      </c>
      <c r="AT36" s="319"/>
      <c r="AU36" s="480"/>
    </row>
    <row r="37" spans="1:47" ht="24" customHeight="1" x14ac:dyDescent="0.25">
      <c r="A37" s="38" t="s">
        <v>65</v>
      </c>
      <c r="B37" s="358">
        <v>0</v>
      </c>
      <c r="C37" s="313"/>
      <c r="D37" s="312">
        <v>216.59</v>
      </c>
      <c r="E37" s="313"/>
      <c r="F37" s="312">
        <v>457.41</v>
      </c>
      <c r="G37" s="313"/>
      <c r="H37" s="312">
        <v>697.98</v>
      </c>
      <c r="I37" s="313"/>
      <c r="J37" s="312">
        <v>865.81</v>
      </c>
      <c r="K37" s="313"/>
      <c r="L37" s="312">
        <v>984.85</v>
      </c>
      <c r="M37" s="313"/>
      <c r="N37" s="312">
        <v>1193.3</v>
      </c>
      <c r="O37" s="313"/>
      <c r="P37" s="312">
        <v>1386.04</v>
      </c>
      <c r="Q37" s="313"/>
      <c r="R37" s="312">
        <v>1669.44</v>
      </c>
      <c r="S37" s="313"/>
      <c r="T37" s="312">
        <v>1747.91</v>
      </c>
      <c r="U37" s="313"/>
      <c r="V37" s="312">
        <v>1902.43</v>
      </c>
      <c r="W37" s="313"/>
      <c r="X37" s="312">
        <v>2119.2600000000002</v>
      </c>
      <c r="Y37" s="313"/>
      <c r="Z37" s="312">
        <v>2468.86</v>
      </c>
      <c r="AA37" s="313"/>
      <c r="AB37" s="312">
        <v>2616.31</v>
      </c>
      <c r="AC37" s="313"/>
      <c r="AD37" s="312">
        <v>2844.32</v>
      </c>
      <c r="AE37" s="313"/>
      <c r="AF37" s="312">
        <v>3052.33</v>
      </c>
      <c r="AG37" s="313"/>
      <c r="AH37" s="312">
        <v>3355.13</v>
      </c>
      <c r="AI37" s="313"/>
      <c r="AJ37" s="312">
        <v>3458.29</v>
      </c>
      <c r="AK37" s="313"/>
      <c r="AL37" s="312">
        <v>3674.25</v>
      </c>
      <c r="AM37" s="313"/>
      <c r="AN37" s="312">
        <v>3875.01</v>
      </c>
      <c r="AO37" s="347"/>
      <c r="AP37" s="348">
        <v>4065.78</v>
      </c>
      <c r="AQ37" s="349"/>
      <c r="AR37" s="348">
        <v>4322.3599999999997</v>
      </c>
      <c r="AS37" s="349"/>
      <c r="AT37" s="348">
        <v>4478.03</v>
      </c>
      <c r="AU37" s="349"/>
    </row>
    <row r="38" spans="1:47" ht="24" customHeight="1" x14ac:dyDescent="0.25">
      <c r="A38" s="38" t="s">
        <v>509</v>
      </c>
      <c r="B38" s="315">
        <f>SUM(C35:AS35)</f>
        <v>4478.0300000000007</v>
      </c>
      <c r="C38" s="316"/>
      <c r="D38" s="316"/>
      <c r="E38" s="316"/>
      <c r="F38" s="316"/>
      <c r="G38" s="316"/>
      <c r="H38" s="316"/>
      <c r="I38" s="316"/>
      <c r="J38" s="316"/>
      <c r="K38" s="316"/>
      <c r="L38" s="316"/>
      <c r="M38" s="316"/>
      <c r="N38" s="316"/>
      <c r="O38" s="316"/>
      <c r="P38" s="316"/>
      <c r="Q38" s="316"/>
      <c r="R38" s="316"/>
      <c r="S38" s="316"/>
      <c r="T38" s="316"/>
      <c r="U38" s="316"/>
      <c r="V38" s="316"/>
      <c r="W38" s="316"/>
      <c r="X38" s="316"/>
      <c r="Y38" s="316"/>
      <c r="Z38" s="316"/>
      <c r="AA38" s="316"/>
      <c r="AB38" s="316"/>
      <c r="AC38" s="316"/>
      <c r="AD38" s="316"/>
      <c r="AE38" s="316"/>
      <c r="AF38" s="316"/>
      <c r="AG38" s="316"/>
      <c r="AH38" s="316"/>
      <c r="AI38" s="316"/>
      <c r="AJ38" s="316"/>
      <c r="AK38" s="316"/>
      <c r="AL38" s="316"/>
      <c r="AM38" s="316"/>
      <c r="AN38" s="316"/>
      <c r="AO38" s="316"/>
      <c r="AP38" s="316"/>
      <c r="AQ38" s="317"/>
      <c r="AR38" s="316"/>
      <c r="AS38" s="317"/>
      <c r="AT38" s="316"/>
      <c r="AU38" s="317"/>
    </row>
    <row r="39" spans="1:47" ht="24" customHeight="1" x14ac:dyDescent="0.25">
      <c r="A39" s="385" t="s">
        <v>494</v>
      </c>
      <c r="B39" s="333"/>
      <c r="C39" s="333"/>
      <c r="D39" s="333"/>
      <c r="E39" s="333"/>
      <c r="F39" s="333"/>
      <c r="G39" s="333"/>
      <c r="H39" s="333"/>
      <c r="I39" s="333"/>
      <c r="J39" s="333"/>
      <c r="K39" s="333"/>
      <c r="L39" s="333"/>
      <c r="M39" s="333"/>
      <c r="N39" s="333"/>
      <c r="O39" s="333"/>
      <c r="P39" s="333"/>
      <c r="Q39" s="333"/>
      <c r="R39" s="333"/>
      <c r="S39" s="333"/>
      <c r="T39" s="333"/>
      <c r="U39" s="333"/>
      <c r="V39" s="333"/>
      <c r="W39" s="333"/>
      <c r="X39" s="333"/>
      <c r="Y39" s="333"/>
      <c r="Z39" s="333"/>
      <c r="AA39" s="333"/>
      <c r="AB39" s="333"/>
      <c r="AC39" s="333"/>
      <c r="AD39" s="333"/>
      <c r="AE39" s="333"/>
      <c r="AF39" s="333"/>
      <c r="AG39" s="333"/>
      <c r="AH39" s="333"/>
      <c r="AI39" s="333"/>
      <c r="AJ39" s="333"/>
      <c r="AK39" s="333"/>
      <c r="AL39" s="333"/>
      <c r="AM39" s="333"/>
      <c r="AN39" s="333"/>
      <c r="AO39" s="333"/>
      <c r="AP39" s="333"/>
      <c r="AQ39" s="333"/>
      <c r="AR39" s="333"/>
      <c r="AS39" s="333"/>
      <c r="AT39" s="333"/>
      <c r="AU39" s="333"/>
    </row>
    <row r="40" spans="1:47" ht="24" customHeight="1" x14ac:dyDescent="0.25">
      <c r="A40" s="295" t="s">
        <v>495</v>
      </c>
      <c r="B40" s="330" t="s">
        <v>496</v>
      </c>
      <c r="C40" s="330"/>
      <c r="D40" s="330"/>
      <c r="E40" s="330"/>
      <c r="F40" s="330"/>
      <c r="G40" s="330"/>
      <c r="H40" s="330"/>
      <c r="I40" s="330"/>
      <c r="J40" s="330"/>
      <c r="K40" s="330"/>
      <c r="L40" s="330"/>
      <c r="M40" s="330"/>
      <c r="N40" s="330"/>
      <c r="O40" s="330"/>
      <c r="P40" s="330"/>
      <c r="Q40" s="330"/>
      <c r="R40" s="330"/>
      <c r="S40" s="330"/>
      <c r="T40" s="330"/>
      <c r="U40" s="330"/>
      <c r="V40" s="330"/>
      <c r="W40" s="330"/>
      <c r="X40" s="330"/>
      <c r="Y40" s="330"/>
      <c r="Z40" s="330"/>
      <c r="AA40" s="330"/>
      <c r="AB40" s="330"/>
      <c r="AC40" s="330"/>
      <c r="AD40" s="330"/>
      <c r="AE40" s="330"/>
      <c r="AF40" s="330"/>
      <c r="AG40" s="330"/>
      <c r="AH40" s="330"/>
      <c r="AI40" s="330"/>
      <c r="AJ40" s="330"/>
      <c r="AK40" s="330"/>
      <c r="AL40" s="330"/>
      <c r="AM40" s="330"/>
      <c r="AN40" s="330"/>
      <c r="AO40" s="330"/>
      <c r="AP40" s="330"/>
      <c r="AQ40" s="330"/>
      <c r="AR40" s="330"/>
      <c r="AS40" s="330"/>
      <c r="AT40" s="330"/>
      <c r="AU40" s="330"/>
    </row>
    <row r="41" spans="1:47" ht="24" customHeight="1" x14ac:dyDescent="0.25">
      <c r="A41" s="295" t="s">
        <v>497</v>
      </c>
      <c r="B41" s="330" t="s">
        <v>496</v>
      </c>
      <c r="C41" s="330"/>
      <c r="D41" s="330"/>
      <c r="E41" s="330"/>
      <c r="F41" s="330"/>
      <c r="G41" s="330"/>
      <c r="H41" s="330"/>
      <c r="I41" s="330"/>
      <c r="J41" s="330"/>
      <c r="K41" s="330"/>
      <c r="L41" s="330"/>
      <c r="M41" s="330"/>
      <c r="N41" s="330"/>
      <c r="O41" s="330"/>
      <c r="P41" s="330"/>
      <c r="Q41" s="330"/>
      <c r="R41" s="330"/>
      <c r="S41" s="330"/>
      <c r="T41" s="330"/>
      <c r="U41" s="330"/>
      <c r="V41" s="330"/>
      <c r="W41" s="330"/>
      <c r="X41" s="330"/>
      <c r="Y41" s="330"/>
      <c r="Z41" s="330"/>
      <c r="AA41" s="330"/>
      <c r="AB41" s="330"/>
      <c r="AC41" s="330"/>
      <c r="AD41" s="330"/>
      <c r="AE41" s="330"/>
      <c r="AF41" s="330"/>
      <c r="AG41" s="330"/>
      <c r="AH41" s="330"/>
      <c r="AI41" s="330"/>
      <c r="AJ41" s="330"/>
      <c r="AK41" s="330"/>
      <c r="AL41" s="330"/>
      <c r="AM41" s="330"/>
      <c r="AN41" s="330"/>
      <c r="AO41" s="330"/>
      <c r="AP41" s="330"/>
      <c r="AQ41" s="330"/>
      <c r="AR41" s="330"/>
      <c r="AS41" s="330"/>
      <c r="AT41" s="330"/>
      <c r="AU41" s="330"/>
    </row>
    <row r="42" spans="1:47" ht="24" customHeight="1" x14ac:dyDescent="0.25">
      <c r="A42" s="295" t="s">
        <v>498</v>
      </c>
      <c r="B42" s="331" t="s">
        <v>88</v>
      </c>
      <c r="C42" s="331"/>
      <c r="D42" s="331"/>
      <c r="E42" s="331"/>
      <c r="F42" s="331"/>
      <c r="G42" s="331"/>
      <c r="H42" s="331"/>
      <c r="I42" s="331"/>
      <c r="J42" s="331"/>
      <c r="K42" s="331"/>
      <c r="L42" s="331"/>
      <c r="M42" s="331"/>
      <c r="N42" s="331"/>
      <c r="O42" s="331"/>
      <c r="P42" s="331"/>
      <c r="Q42" s="331"/>
      <c r="R42" s="331"/>
      <c r="S42" s="331"/>
      <c r="T42" s="331"/>
      <c r="U42" s="331"/>
      <c r="V42" s="331"/>
      <c r="W42" s="331"/>
      <c r="X42" s="331"/>
      <c r="Y42" s="331"/>
      <c r="Z42" s="331"/>
      <c r="AA42" s="331"/>
      <c r="AB42" s="331"/>
      <c r="AC42" s="331"/>
      <c r="AD42" s="331"/>
      <c r="AE42" s="331"/>
      <c r="AF42" s="331"/>
      <c r="AG42" s="331"/>
      <c r="AH42" s="331"/>
      <c r="AI42" s="331"/>
      <c r="AJ42" s="331"/>
      <c r="AK42" s="331"/>
      <c r="AL42" s="331"/>
      <c r="AM42" s="331"/>
      <c r="AN42" s="331"/>
      <c r="AO42" s="331"/>
      <c r="AP42" s="331"/>
      <c r="AQ42" s="331"/>
      <c r="AR42" s="331"/>
      <c r="AS42" s="331"/>
      <c r="AT42" s="331"/>
      <c r="AU42" s="331"/>
    </row>
    <row r="43" spans="1:47" ht="24" customHeight="1" x14ac:dyDescent="0.25">
      <c r="A43" s="295" t="s">
        <v>499</v>
      </c>
      <c r="B43" s="331" t="s">
        <v>119</v>
      </c>
      <c r="C43" s="331"/>
      <c r="D43" s="331"/>
      <c r="E43" s="331"/>
      <c r="F43" s="331"/>
      <c r="G43" s="331"/>
      <c r="H43" s="331"/>
      <c r="I43" s="331"/>
      <c r="J43" s="331"/>
      <c r="K43" s="331"/>
      <c r="L43" s="331"/>
      <c r="M43" s="331"/>
      <c r="N43" s="331"/>
      <c r="O43" s="331"/>
      <c r="P43" s="331"/>
      <c r="Q43" s="331"/>
      <c r="R43" s="331"/>
      <c r="S43" s="331"/>
      <c r="T43" s="331"/>
      <c r="U43" s="331"/>
      <c r="V43" s="331"/>
      <c r="W43" s="331"/>
      <c r="X43" s="331"/>
      <c r="Y43" s="331"/>
      <c r="Z43" s="331"/>
      <c r="AA43" s="331"/>
      <c r="AB43" s="331"/>
      <c r="AC43" s="331"/>
      <c r="AD43" s="331"/>
      <c r="AE43" s="331"/>
      <c r="AF43" s="331"/>
      <c r="AG43" s="331"/>
      <c r="AH43" s="331"/>
      <c r="AI43" s="331"/>
      <c r="AJ43" s="331"/>
      <c r="AK43" s="331"/>
      <c r="AL43" s="331"/>
      <c r="AM43" s="331"/>
      <c r="AN43" s="331"/>
      <c r="AO43" s="331"/>
      <c r="AP43" s="331"/>
      <c r="AQ43" s="331"/>
      <c r="AR43" s="331"/>
      <c r="AS43" s="331"/>
      <c r="AT43" s="331"/>
      <c r="AU43" s="331"/>
    </row>
    <row r="44" spans="1:47" ht="24" customHeight="1" x14ac:dyDescent="0.25">
      <c r="A44" s="295" t="s">
        <v>500</v>
      </c>
      <c r="B44" s="331" t="s">
        <v>496</v>
      </c>
      <c r="C44" s="331"/>
      <c r="D44" s="331"/>
      <c r="E44" s="331"/>
      <c r="F44" s="331"/>
      <c r="G44" s="331"/>
      <c r="H44" s="331"/>
      <c r="I44" s="331"/>
      <c r="J44" s="331"/>
      <c r="K44" s="331"/>
      <c r="L44" s="331"/>
      <c r="M44" s="331"/>
      <c r="N44" s="331"/>
      <c r="O44" s="331"/>
      <c r="P44" s="331"/>
      <c r="Q44" s="331"/>
      <c r="R44" s="331"/>
      <c r="S44" s="331"/>
      <c r="T44" s="331"/>
      <c r="U44" s="331"/>
      <c r="V44" s="331"/>
      <c r="W44" s="331"/>
      <c r="X44" s="331"/>
      <c r="Y44" s="331"/>
      <c r="Z44" s="331"/>
      <c r="AA44" s="331"/>
      <c r="AB44" s="331"/>
      <c r="AC44" s="331"/>
      <c r="AD44" s="331"/>
      <c r="AE44" s="331"/>
      <c r="AF44" s="331"/>
      <c r="AG44" s="331"/>
      <c r="AH44" s="331"/>
      <c r="AI44" s="331"/>
      <c r="AJ44" s="331"/>
      <c r="AK44" s="331"/>
      <c r="AL44" s="331"/>
      <c r="AM44" s="331"/>
      <c r="AN44" s="331"/>
      <c r="AO44" s="331"/>
      <c r="AP44" s="331"/>
      <c r="AQ44" s="331"/>
      <c r="AR44" s="331"/>
      <c r="AS44" s="331"/>
      <c r="AT44" s="331"/>
      <c r="AU44" s="331"/>
    </row>
    <row r="45" spans="1:47" ht="24" customHeight="1" x14ac:dyDescent="0.25">
      <c r="A45" s="295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</row>
    <row r="46" spans="1:47" ht="24" customHeight="1" x14ac:dyDescent="0.25">
      <c r="A46" s="333" t="s">
        <v>501</v>
      </c>
      <c r="B46" s="333"/>
      <c r="C46" s="333"/>
      <c r="D46" s="333"/>
      <c r="E46" s="333"/>
      <c r="F46" s="333"/>
      <c r="G46" s="333"/>
      <c r="H46" s="333"/>
      <c r="I46" s="333"/>
      <c r="J46" s="333"/>
      <c r="K46" s="333"/>
      <c r="L46" s="333"/>
      <c r="M46" s="333"/>
      <c r="N46" s="333"/>
      <c r="O46" s="333"/>
      <c r="P46" s="333"/>
      <c r="Q46" s="333"/>
      <c r="R46" s="333"/>
      <c r="S46" s="333"/>
      <c r="T46" s="333"/>
      <c r="U46" s="333"/>
      <c r="V46" s="333"/>
      <c r="W46" s="333"/>
      <c r="X46" s="333"/>
      <c r="Y46" s="333"/>
      <c r="Z46" s="333"/>
      <c r="AA46" s="333"/>
      <c r="AB46" s="333"/>
      <c r="AC46" s="333"/>
      <c r="AD46" s="333"/>
      <c r="AE46" s="333"/>
      <c r="AF46" s="333"/>
      <c r="AG46" s="333"/>
      <c r="AH46" s="333"/>
      <c r="AI46" s="333"/>
      <c r="AJ46" s="333"/>
      <c r="AK46" s="333"/>
      <c r="AL46" s="333"/>
      <c r="AM46" s="333"/>
      <c r="AN46" s="333"/>
      <c r="AO46" s="333"/>
      <c r="AP46" s="333"/>
      <c r="AQ46" s="333"/>
      <c r="AR46" s="333"/>
      <c r="AS46" s="333"/>
      <c r="AT46" s="333"/>
      <c r="AU46" s="333"/>
    </row>
    <row r="47" spans="1:47" ht="60" customHeight="1" x14ac:dyDescent="0.25">
      <c r="A47" s="296" t="s">
        <v>502</v>
      </c>
      <c r="B47" s="392" t="s">
        <v>508</v>
      </c>
      <c r="C47" s="393"/>
      <c r="D47" s="392" t="s">
        <v>508</v>
      </c>
      <c r="E47" s="393"/>
      <c r="F47" s="392" t="s">
        <v>508</v>
      </c>
      <c r="G47" s="393"/>
      <c r="H47" s="392" t="s">
        <v>508</v>
      </c>
      <c r="I47" s="393"/>
      <c r="J47" s="392" t="s">
        <v>508</v>
      </c>
      <c r="K47" s="393"/>
      <c r="L47" s="392" t="s">
        <v>508</v>
      </c>
      <c r="M47" s="393"/>
      <c r="N47" s="392" t="s">
        <v>508</v>
      </c>
      <c r="O47" s="393"/>
      <c r="P47" s="392" t="s">
        <v>508</v>
      </c>
      <c r="Q47" s="393"/>
      <c r="R47" s="392" t="s">
        <v>508</v>
      </c>
      <c r="S47" s="393"/>
      <c r="T47" s="392" t="s">
        <v>508</v>
      </c>
      <c r="U47" s="393"/>
      <c r="V47" s="392" t="s">
        <v>508</v>
      </c>
      <c r="W47" s="393"/>
      <c r="X47" s="392" t="s">
        <v>508</v>
      </c>
      <c r="Y47" s="393"/>
      <c r="Z47" s="392" t="s">
        <v>508</v>
      </c>
      <c r="AA47" s="393"/>
      <c r="AB47" s="392" t="s">
        <v>508</v>
      </c>
      <c r="AC47" s="393"/>
      <c r="AD47" s="392" t="s">
        <v>508</v>
      </c>
      <c r="AE47" s="393"/>
      <c r="AF47" s="392" t="s">
        <v>508</v>
      </c>
      <c r="AG47" s="393"/>
      <c r="AH47" s="392" t="s">
        <v>508</v>
      </c>
      <c r="AI47" s="393"/>
      <c r="AJ47" s="392" t="s">
        <v>508</v>
      </c>
      <c r="AK47" s="393"/>
      <c r="AL47" s="392" t="s">
        <v>508</v>
      </c>
      <c r="AM47" s="393"/>
      <c r="AN47" s="392" t="s">
        <v>508</v>
      </c>
      <c r="AO47" s="393"/>
      <c r="AP47" s="392" t="s">
        <v>508</v>
      </c>
      <c r="AQ47" s="393"/>
      <c r="AR47" s="392" t="s">
        <v>508</v>
      </c>
      <c r="AS47" s="393"/>
      <c r="AT47" s="392" t="s">
        <v>508</v>
      </c>
      <c r="AU47" s="393"/>
    </row>
    <row r="48" spans="1:47" ht="24" customHeight="1" x14ac:dyDescent="0.25">
      <c r="A48" s="296" t="s">
        <v>503</v>
      </c>
      <c r="B48" s="329"/>
      <c r="C48" s="329"/>
      <c r="D48" s="329"/>
      <c r="E48" s="329"/>
      <c r="F48" s="329"/>
      <c r="G48" s="329"/>
      <c r="H48" s="329"/>
      <c r="I48" s="329"/>
      <c r="J48" s="329"/>
      <c r="K48" s="329"/>
      <c r="L48" s="329"/>
      <c r="M48" s="329"/>
      <c r="N48" s="329"/>
      <c r="O48" s="329"/>
      <c r="P48" s="329"/>
      <c r="Q48" s="329"/>
      <c r="R48" s="329"/>
      <c r="S48" s="329"/>
      <c r="T48" s="329"/>
      <c r="U48" s="329"/>
      <c r="V48" s="329"/>
      <c r="W48" s="329"/>
      <c r="X48" s="329"/>
      <c r="Y48" s="329"/>
      <c r="Z48" s="329"/>
      <c r="AA48" s="329"/>
      <c r="AB48" s="329"/>
      <c r="AC48" s="329"/>
      <c r="AD48" s="329"/>
      <c r="AE48" s="329"/>
      <c r="AF48" s="329"/>
      <c r="AG48" s="329"/>
      <c r="AH48" s="329"/>
      <c r="AI48" s="329"/>
      <c r="AJ48" s="329"/>
      <c r="AK48" s="329"/>
      <c r="AL48" s="329"/>
      <c r="AM48" s="329"/>
      <c r="AN48" s="329"/>
      <c r="AO48" s="329"/>
      <c r="AP48" s="329"/>
      <c r="AQ48" s="329"/>
      <c r="AR48" s="329"/>
      <c r="AS48" s="329"/>
      <c r="AT48" s="329"/>
      <c r="AU48" s="329"/>
    </row>
    <row r="49" spans="1:47" ht="24" customHeight="1" x14ac:dyDescent="0.25">
      <c r="A49" s="296" t="s">
        <v>504</v>
      </c>
      <c r="B49" s="329"/>
      <c r="C49" s="329"/>
      <c r="D49" s="329"/>
      <c r="E49" s="329"/>
      <c r="F49" s="329"/>
      <c r="G49" s="329"/>
      <c r="H49" s="329"/>
      <c r="I49" s="329"/>
      <c r="J49" s="329"/>
      <c r="K49" s="329"/>
      <c r="L49" s="329"/>
      <c r="M49" s="329"/>
      <c r="N49" s="329"/>
      <c r="O49" s="329"/>
      <c r="P49" s="329"/>
      <c r="Q49" s="329"/>
      <c r="R49" s="329"/>
      <c r="S49" s="329"/>
      <c r="T49" s="329"/>
      <c r="U49" s="329"/>
      <c r="V49" s="329"/>
      <c r="W49" s="329"/>
      <c r="X49" s="329"/>
      <c r="Y49" s="329"/>
      <c r="Z49" s="329"/>
      <c r="AA49" s="329"/>
      <c r="AB49" s="329"/>
      <c r="AC49" s="329"/>
      <c r="AD49" s="329"/>
      <c r="AE49" s="329"/>
      <c r="AF49" s="329"/>
      <c r="AG49" s="329"/>
      <c r="AH49" s="329"/>
      <c r="AI49" s="329"/>
      <c r="AJ49" s="329"/>
      <c r="AK49" s="329"/>
      <c r="AL49" s="329"/>
      <c r="AM49" s="329"/>
      <c r="AN49" s="329"/>
      <c r="AO49" s="329"/>
      <c r="AP49" s="329"/>
      <c r="AQ49" s="329"/>
      <c r="AR49" s="329"/>
      <c r="AS49" s="329"/>
      <c r="AT49" s="329"/>
      <c r="AU49" s="329"/>
    </row>
    <row r="50" spans="1:47" ht="24" customHeight="1" x14ac:dyDescent="0.25">
      <c r="A50" s="296" t="s">
        <v>505</v>
      </c>
      <c r="B50" s="329"/>
      <c r="C50" s="329"/>
      <c r="D50" s="329"/>
      <c r="E50" s="329"/>
      <c r="F50" s="329"/>
      <c r="G50" s="329"/>
      <c r="H50" s="329"/>
      <c r="I50" s="329"/>
      <c r="J50" s="329"/>
      <c r="K50" s="329"/>
      <c r="L50" s="329"/>
      <c r="M50" s="329"/>
      <c r="N50" s="329"/>
      <c r="O50" s="329"/>
      <c r="P50" s="329"/>
      <c r="Q50" s="329"/>
      <c r="R50" s="329"/>
      <c r="S50" s="329"/>
      <c r="T50" s="329"/>
      <c r="U50" s="329"/>
      <c r="V50" s="329"/>
      <c r="W50" s="329"/>
      <c r="X50" s="329"/>
      <c r="Y50" s="329"/>
      <c r="Z50" s="329"/>
      <c r="AA50" s="329"/>
      <c r="AB50" s="329"/>
      <c r="AC50" s="329"/>
      <c r="AD50" s="329"/>
      <c r="AE50" s="329"/>
      <c r="AF50" s="329"/>
      <c r="AG50" s="329"/>
      <c r="AH50" s="329"/>
      <c r="AI50" s="329"/>
      <c r="AJ50" s="329"/>
      <c r="AK50" s="329"/>
      <c r="AL50" s="329"/>
      <c r="AM50" s="329"/>
      <c r="AN50" s="329"/>
      <c r="AO50" s="329"/>
      <c r="AP50" s="329"/>
      <c r="AQ50" s="329"/>
      <c r="AR50" s="329"/>
      <c r="AS50" s="329"/>
      <c r="AT50" s="329"/>
      <c r="AU50" s="329"/>
    </row>
    <row r="51" spans="1:47" ht="24" customHeight="1" x14ac:dyDescent="0.25">
      <c r="A51" s="296" t="s">
        <v>506</v>
      </c>
      <c r="B51" s="329"/>
      <c r="C51" s="329"/>
      <c r="D51" s="329"/>
      <c r="E51" s="329"/>
      <c r="F51" s="329"/>
      <c r="G51" s="329"/>
      <c r="H51" s="329"/>
      <c r="I51" s="329"/>
      <c r="J51" s="329"/>
      <c r="K51" s="329"/>
      <c r="L51" s="329"/>
      <c r="M51" s="329"/>
      <c r="N51" s="329"/>
      <c r="O51" s="329"/>
      <c r="P51" s="329"/>
      <c r="Q51" s="329"/>
      <c r="R51" s="329"/>
      <c r="S51" s="329"/>
      <c r="T51" s="329"/>
      <c r="U51" s="329"/>
      <c r="V51" s="329"/>
      <c r="W51" s="329"/>
      <c r="X51" s="329"/>
      <c r="Y51" s="329"/>
      <c r="Z51" s="329"/>
      <c r="AA51" s="329"/>
      <c r="AB51" s="329"/>
      <c r="AC51" s="329"/>
      <c r="AD51" s="329"/>
      <c r="AE51" s="329"/>
      <c r="AF51" s="329"/>
      <c r="AG51" s="329"/>
      <c r="AH51" s="329"/>
      <c r="AI51" s="329"/>
      <c r="AJ51" s="329"/>
      <c r="AK51" s="329"/>
      <c r="AL51" s="329"/>
      <c r="AM51" s="329"/>
      <c r="AN51" s="329"/>
      <c r="AO51" s="329"/>
      <c r="AP51" s="329"/>
      <c r="AQ51" s="329"/>
      <c r="AR51" s="329"/>
      <c r="AS51" s="329"/>
      <c r="AT51" s="329"/>
      <c r="AU51" s="329"/>
    </row>
    <row r="52" spans="1:47" ht="24" customHeight="1" x14ac:dyDescent="0.25">
      <c r="A52" s="333" t="s">
        <v>507</v>
      </c>
      <c r="B52" s="333"/>
      <c r="C52" s="333"/>
      <c r="D52" s="333"/>
      <c r="E52" s="333"/>
      <c r="F52" s="333"/>
      <c r="G52" s="333"/>
      <c r="H52" s="333"/>
      <c r="I52" s="333"/>
      <c r="J52" s="333"/>
      <c r="K52" s="333"/>
      <c r="L52" s="333"/>
      <c r="M52" s="333"/>
      <c r="N52" s="333"/>
      <c r="O52" s="333"/>
      <c r="P52" s="333"/>
      <c r="Q52" s="333"/>
      <c r="R52" s="333"/>
      <c r="S52" s="333"/>
      <c r="T52" s="333"/>
      <c r="U52" s="333"/>
      <c r="V52" s="333"/>
      <c r="W52" s="333"/>
      <c r="X52" s="333"/>
      <c r="Y52" s="333"/>
      <c r="Z52" s="333"/>
      <c r="AA52" s="333"/>
      <c r="AB52" s="333"/>
      <c r="AC52" s="333"/>
      <c r="AD52" s="333"/>
      <c r="AE52" s="333"/>
      <c r="AF52" s="333"/>
      <c r="AG52" s="333"/>
      <c r="AH52" s="333"/>
      <c r="AI52" s="333"/>
      <c r="AJ52" s="333"/>
      <c r="AK52" s="333"/>
      <c r="AL52" s="333"/>
      <c r="AM52" s="333"/>
      <c r="AN52" s="333"/>
      <c r="AO52" s="333"/>
      <c r="AP52" s="333"/>
      <c r="AQ52" s="333"/>
      <c r="AR52" s="333"/>
      <c r="AS52" s="333"/>
      <c r="AT52" s="333"/>
      <c r="AU52" s="333"/>
    </row>
    <row r="53" spans="1:47" s="31" customFormat="1" ht="48" customHeight="1" x14ac:dyDescent="0.25">
      <c r="A53" s="297" t="s">
        <v>502</v>
      </c>
      <c r="B53" s="392" t="s">
        <v>508</v>
      </c>
      <c r="C53" s="393"/>
      <c r="D53" s="392" t="s">
        <v>508</v>
      </c>
      <c r="E53" s="393"/>
      <c r="F53" s="392" t="s">
        <v>508</v>
      </c>
      <c r="G53" s="393"/>
      <c r="H53" s="392" t="s">
        <v>508</v>
      </c>
      <c r="I53" s="393"/>
      <c r="J53" s="392" t="s">
        <v>508</v>
      </c>
      <c r="K53" s="393"/>
      <c r="L53" s="392" t="s">
        <v>508</v>
      </c>
      <c r="M53" s="393"/>
      <c r="N53" s="392" t="s">
        <v>508</v>
      </c>
      <c r="O53" s="393"/>
      <c r="P53" s="392" t="s">
        <v>508</v>
      </c>
      <c r="Q53" s="393"/>
      <c r="R53" s="392" t="s">
        <v>508</v>
      </c>
      <c r="S53" s="393"/>
      <c r="T53" s="392" t="s">
        <v>508</v>
      </c>
      <c r="U53" s="393"/>
      <c r="V53" s="392" t="s">
        <v>508</v>
      </c>
      <c r="W53" s="393"/>
      <c r="X53" s="392" t="s">
        <v>508</v>
      </c>
      <c r="Y53" s="393"/>
      <c r="Z53" s="392" t="s">
        <v>508</v>
      </c>
      <c r="AA53" s="393"/>
      <c r="AB53" s="392" t="s">
        <v>508</v>
      </c>
      <c r="AC53" s="393"/>
      <c r="AD53" s="392" t="s">
        <v>508</v>
      </c>
      <c r="AE53" s="393"/>
      <c r="AF53" s="392" t="s">
        <v>508</v>
      </c>
      <c r="AG53" s="393"/>
      <c r="AH53" s="392" t="s">
        <v>508</v>
      </c>
      <c r="AI53" s="393"/>
      <c r="AJ53" s="392" t="s">
        <v>508</v>
      </c>
      <c r="AK53" s="393"/>
      <c r="AL53" s="392" t="s">
        <v>508</v>
      </c>
      <c r="AM53" s="393"/>
      <c r="AN53" s="392" t="s">
        <v>508</v>
      </c>
      <c r="AO53" s="393"/>
      <c r="AP53" s="392" t="s">
        <v>508</v>
      </c>
      <c r="AQ53" s="393"/>
      <c r="AR53" s="392" t="s">
        <v>508</v>
      </c>
      <c r="AS53" s="393"/>
      <c r="AT53" s="392" t="s">
        <v>508</v>
      </c>
      <c r="AU53" s="393"/>
    </row>
    <row r="54" spans="1:47" ht="24" customHeight="1" x14ac:dyDescent="0.25">
      <c r="A54" s="298" t="s">
        <v>503</v>
      </c>
      <c r="B54" s="329"/>
      <c r="C54" s="329"/>
      <c r="D54" s="329"/>
      <c r="E54" s="329"/>
      <c r="F54" s="329"/>
      <c r="G54" s="329"/>
      <c r="H54" s="329"/>
      <c r="I54" s="329"/>
      <c r="J54" s="329"/>
      <c r="K54" s="329"/>
      <c r="L54" s="329"/>
      <c r="M54" s="329"/>
      <c r="N54" s="329"/>
      <c r="O54" s="329"/>
      <c r="P54" s="329"/>
      <c r="Q54" s="329"/>
      <c r="R54" s="329"/>
      <c r="S54" s="329"/>
      <c r="T54" s="329"/>
      <c r="U54" s="329"/>
      <c r="V54" s="329"/>
      <c r="W54" s="329"/>
      <c r="X54" s="329"/>
      <c r="Y54" s="329"/>
      <c r="Z54" s="329"/>
      <c r="AA54" s="329"/>
      <c r="AB54" s="329"/>
      <c r="AC54" s="329"/>
      <c r="AD54" s="329"/>
      <c r="AE54" s="329"/>
      <c r="AF54" s="329"/>
      <c r="AG54" s="329"/>
      <c r="AH54" s="329"/>
      <c r="AI54" s="329"/>
      <c r="AJ54" s="329"/>
      <c r="AK54" s="329"/>
      <c r="AL54" s="329"/>
      <c r="AM54" s="329"/>
      <c r="AN54" s="329"/>
      <c r="AO54" s="329"/>
      <c r="AP54" s="329"/>
      <c r="AQ54" s="329"/>
      <c r="AR54" s="329"/>
      <c r="AS54" s="329"/>
      <c r="AT54" s="329"/>
      <c r="AU54" s="329"/>
    </row>
    <row r="55" spans="1:47" ht="24" customHeight="1" x14ac:dyDescent="0.25">
      <c r="A55" s="298" t="s">
        <v>504</v>
      </c>
      <c r="B55" s="329"/>
      <c r="C55" s="329"/>
      <c r="D55" s="329"/>
      <c r="E55" s="329"/>
      <c r="F55" s="329"/>
      <c r="G55" s="329"/>
      <c r="H55" s="329"/>
      <c r="I55" s="329"/>
      <c r="J55" s="329"/>
      <c r="K55" s="329"/>
      <c r="L55" s="329"/>
      <c r="M55" s="329"/>
      <c r="N55" s="329"/>
      <c r="O55" s="329"/>
      <c r="P55" s="329"/>
      <c r="Q55" s="329"/>
      <c r="R55" s="329"/>
      <c r="S55" s="329"/>
      <c r="T55" s="329"/>
      <c r="U55" s="329"/>
      <c r="V55" s="329"/>
      <c r="W55" s="329"/>
      <c r="X55" s="329"/>
      <c r="Y55" s="329"/>
      <c r="Z55" s="329"/>
      <c r="AA55" s="329"/>
      <c r="AB55" s="329"/>
      <c r="AC55" s="329"/>
      <c r="AD55" s="329"/>
      <c r="AE55" s="329"/>
      <c r="AF55" s="329"/>
      <c r="AG55" s="329"/>
      <c r="AH55" s="329"/>
      <c r="AI55" s="329"/>
      <c r="AJ55" s="329"/>
      <c r="AK55" s="329"/>
      <c r="AL55" s="329"/>
      <c r="AM55" s="329"/>
      <c r="AN55" s="329"/>
      <c r="AO55" s="329"/>
      <c r="AP55" s="329"/>
      <c r="AQ55" s="329"/>
      <c r="AR55" s="329"/>
      <c r="AS55" s="329"/>
      <c r="AT55" s="329"/>
      <c r="AU55" s="329"/>
    </row>
    <row r="56" spans="1:47" ht="24" customHeight="1" x14ac:dyDescent="0.25">
      <c r="A56" s="298" t="s">
        <v>505</v>
      </c>
      <c r="B56" s="329"/>
      <c r="C56" s="329"/>
      <c r="D56" s="329"/>
      <c r="E56" s="329"/>
      <c r="F56" s="329"/>
      <c r="G56" s="329"/>
      <c r="H56" s="329"/>
      <c r="I56" s="329"/>
      <c r="J56" s="329"/>
      <c r="K56" s="329"/>
      <c r="L56" s="329"/>
      <c r="M56" s="329"/>
      <c r="N56" s="329"/>
      <c r="O56" s="329"/>
      <c r="P56" s="329"/>
      <c r="Q56" s="329"/>
      <c r="R56" s="329"/>
      <c r="S56" s="329"/>
      <c r="T56" s="329"/>
      <c r="U56" s="329"/>
      <c r="V56" s="329"/>
      <c r="W56" s="329"/>
      <c r="X56" s="329"/>
      <c r="Y56" s="329"/>
      <c r="Z56" s="329"/>
      <c r="AA56" s="329"/>
      <c r="AB56" s="329"/>
      <c r="AC56" s="329"/>
      <c r="AD56" s="329"/>
      <c r="AE56" s="329"/>
      <c r="AF56" s="329"/>
      <c r="AG56" s="329"/>
      <c r="AH56" s="329"/>
      <c r="AI56" s="329"/>
      <c r="AJ56" s="329"/>
      <c r="AK56" s="329"/>
      <c r="AL56" s="329"/>
      <c r="AM56" s="329"/>
      <c r="AN56" s="329"/>
      <c r="AO56" s="329"/>
      <c r="AP56" s="329"/>
      <c r="AQ56" s="329"/>
      <c r="AR56" s="329"/>
      <c r="AS56" s="329"/>
      <c r="AT56" s="329"/>
      <c r="AU56" s="329"/>
    </row>
    <row r="57" spans="1:47" ht="24" customHeight="1" x14ac:dyDescent="0.25">
      <c r="A57" s="298" t="s">
        <v>506</v>
      </c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9"/>
      <c r="V57" s="329"/>
      <c r="W57" s="329"/>
      <c r="X57" s="329"/>
      <c r="Y57" s="329"/>
      <c r="Z57" s="329"/>
      <c r="AA57" s="329"/>
      <c r="AB57" s="329"/>
      <c r="AC57" s="329"/>
      <c r="AD57" s="329"/>
      <c r="AE57" s="329"/>
      <c r="AF57" s="329"/>
      <c r="AG57" s="329"/>
      <c r="AH57" s="329"/>
      <c r="AI57" s="329"/>
      <c r="AJ57" s="329"/>
      <c r="AK57" s="329"/>
      <c r="AL57" s="329"/>
      <c r="AM57" s="329"/>
      <c r="AN57" s="329"/>
      <c r="AO57" s="329"/>
      <c r="AP57" s="329"/>
      <c r="AQ57" s="329"/>
      <c r="AR57" s="329"/>
      <c r="AS57" s="329"/>
      <c r="AT57" s="329"/>
      <c r="AU57" s="329"/>
    </row>
    <row r="58" spans="1:47" x14ac:dyDescent="0.25">
      <c r="A58" s="36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</row>
  </sheetData>
  <mergeCells count="479">
    <mergeCell ref="AL53:AM53"/>
    <mergeCell ref="AN53:AO53"/>
    <mergeCell ref="AP53:AQ53"/>
    <mergeCell ref="AR53:AS53"/>
    <mergeCell ref="AT53:AU53"/>
    <mergeCell ref="AJ47:AK47"/>
    <mergeCell ref="AL47:AM47"/>
    <mergeCell ref="AN47:AO47"/>
    <mergeCell ref="AP47:AQ47"/>
    <mergeCell ref="AR47:AS47"/>
    <mergeCell ref="AT47:AU47"/>
    <mergeCell ref="AT48:AU48"/>
    <mergeCell ref="AJ48:AK48"/>
    <mergeCell ref="AN48:AO48"/>
    <mergeCell ref="AP48:AQ48"/>
    <mergeCell ref="AR48:AS48"/>
    <mergeCell ref="AN49:AO49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T53:U53"/>
    <mergeCell ref="V53:W53"/>
    <mergeCell ref="X53:Y53"/>
    <mergeCell ref="Z53:AA53"/>
    <mergeCell ref="AB53:AC53"/>
    <mergeCell ref="AD53:AE53"/>
    <mergeCell ref="AF53:AG53"/>
    <mergeCell ref="AH53:AI53"/>
    <mergeCell ref="AJ53:AK53"/>
    <mergeCell ref="A1:AU1"/>
    <mergeCell ref="E2:W2"/>
    <mergeCell ref="AA5:AU5"/>
    <mergeCell ref="A10:AU10"/>
    <mergeCell ref="Y2:AU2"/>
    <mergeCell ref="A5:Y5"/>
    <mergeCell ref="AM4:AU4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F7:AG7"/>
    <mergeCell ref="AH7:AI7"/>
    <mergeCell ref="C4:M4"/>
    <mergeCell ref="AA4:AK4"/>
    <mergeCell ref="O4:Y4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AT7:AU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J7:AK7"/>
    <mergeCell ref="AL7:AM7"/>
    <mergeCell ref="AN7:AO7"/>
    <mergeCell ref="AP7:AQ7"/>
    <mergeCell ref="AR7:AS7"/>
    <mergeCell ref="Z7:AA7"/>
    <mergeCell ref="AB7:AC7"/>
    <mergeCell ref="AD7:AE7"/>
    <mergeCell ref="AP8:AQ8"/>
    <mergeCell ref="AR8:AS8"/>
    <mergeCell ref="AT8:AU8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F8:AG8"/>
    <mergeCell ref="AH8:AI8"/>
    <mergeCell ref="AJ8:AK8"/>
    <mergeCell ref="AL8:AM8"/>
    <mergeCell ref="AN8:AO8"/>
    <mergeCell ref="AL28:AM28"/>
    <mergeCell ref="AN28:AO28"/>
    <mergeCell ref="AP28:AQ28"/>
    <mergeCell ref="AR28:AS28"/>
    <mergeCell ref="AT28:AU28"/>
    <mergeCell ref="AB28:AC28"/>
    <mergeCell ref="AD28:AE28"/>
    <mergeCell ref="AF28:AG28"/>
    <mergeCell ref="AH28:AI28"/>
    <mergeCell ref="AJ28:AK28"/>
    <mergeCell ref="AB29:AC29"/>
    <mergeCell ref="AD29:AE29"/>
    <mergeCell ref="AP29:AQ29"/>
    <mergeCell ref="AR29:AS29"/>
    <mergeCell ref="AT29:AU29"/>
    <mergeCell ref="L29:M29"/>
    <mergeCell ref="N29:O29"/>
    <mergeCell ref="P29:Q29"/>
    <mergeCell ref="R29:S29"/>
    <mergeCell ref="T29:U29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F29:AG29"/>
    <mergeCell ref="AH29:AI29"/>
    <mergeCell ref="AJ29:AK29"/>
    <mergeCell ref="AL29:AM29"/>
    <mergeCell ref="AN29:AO29"/>
    <mergeCell ref="V29:W29"/>
    <mergeCell ref="X29:Y29"/>
    <mergeCell ref="Z29:AA29"/>
    <mergeCell ref="AL30:AM30"/>
    <mergeCell ref="AN30:AO30"/>
    <mergeCell ref="AP30:AQ30"/>
    <mergeCell ref="AR30:AS30"/>
    <mergeCell ref="AT30:AU30"/>
    <mergeCell ref="AB30:AC30"/>
    <mergeCell ref="AD30:AE30"/>
    <mergeCell ref="AF30:AG30"/>
    <mergeCell ref="AH30:AI30"/>
    <mergeCell ref="AJ30:AK30"/>
    <mergeCell ref="AB31:AC31"/>
    <mergeCell ref="AD31:AE31"/>
    <mergeCell ref="AP31:AQ31"/>
    <mergeCell ref="AR31:AS31"/>
    <mergeCell ref="AT31:AU31"/>
    <mergeCell ref="AF31:AG31"/>
    <mergeCell ref="AH31:AI31"/>
    <mergeCell ref="AJ31:AK31"/>
    <mergeCell ref="AL31:AM31"/>
    <mergeCell ref="AN31:AO31"/>
    <mergeCell ref="L31:M31"/>
    <mergeCell ref="N31:O31"/>
    <mergeCell ref="P31:Q31"/>
    <mergeCell ref="R31:S31"/>
    <mergeCell ref="T31:U31"/>
    <mergeCell ref="B31:C31"/>
    <mergeCell ref="D31:E31"/>
    <mergeCell ref="F31:G31"/>
    <mergeCell ref="H31:I31"/>
    <mergeCell ref="J31:K31"/>
    <mergeCell ref="V31:W31"/>
    <mergeCell ref="X31:Y31"/>
    <mergeCell ref="Z31:AA31"/>
    <mergeCell ref="AL32:AM32"/>
    <mergeCell ref="AN32:AO32"/>
    <mergeCell ref="AP32:AQ32"/>
    <mergeCell ref="AR32:AS32"/>
    <mergeCell ref="AT32:AU32"/>
    <mergeCell ref="AB32:AC32"/>
    <mergeCell ref="AD32:AE32"/>
    <mergeCell ref="AF32:AG32"/>
    <mergeCell ref="AH32:AI32"/>
    <mergeCell ref="AJ32:AK32"/>
    <mergeCell ref="T32:U32"/>
    <mergeCell ref="V32:W32"/>
    <mergeCell ref="X32:Y32"/>
    <mergeCell ref="Z32:AA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AP33:AQ33"/>
    <mergeCell ref="AR33:AS33"/>
    <mergeCell ref="AT33:AU33"/>
    <mergeCell ref="T34:U34"/>
    <mergeCell ref="V34:W34"/>
    <mergeCell ref="X34:Y34"/>
    <mergeCell ref="Z34:AA34"/>
    <mergeCell ref="V33:W33"/>
    <mergeCell ref="X33:Y33"/>
    <mergeCell ref="Z33:AA33"/>
    <mergeCell ref="AN33:AO33"/>
    <mergeCell ref="AB33:AC33"/>
    <mergeCell ref="AD33:AE33"/>
    <mergeCell ref="AF33:AG33"/>
    <mergeCell ref="AH33:AI33"/>
    <mergeCell ref="AJ33:AK33"/>
    <mergeCell ref="AL33:AM33"/>
    <mergeCell ref="AE35:AF35"/>
    <mergeCell ref="AG35:AH35"/>
    <mergeCell ref="AI35:AJ35"/>
    <mergeCell ref="AK35:AL35"/>
    <mergeCell ref="AM35:AN35"/>
    <mergeCell ref="AO35:AP35"/>
    <mergeCell ref="AC35:AD35"/>
    <mergeCell ref="AL34:AM34"/>
    <mergeCell ref="AN34:AO34"/>
    <mergeCell ref="AP34:AQ34"/>
    <mergeCell ref="AQ35:AR35"/>
    <mergeCell ref="AR34:AS34"/>
    <mergeCell ref="AS35:AT35"/>
    <mergeCell ref="AT34:AU34"/>
    <mergeCell ref="AB34:AC34"/>
    <mergeCell ref="AD34:AE34"/>
    <mergeCell ref="AF34:AG34"/>
    <mergeCell ref="AH34:AI34"/>
    <mergeCell ref="AJ34:AK34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E36:F36"/>
    <mergeCell ref="G36:H36"/>
    <mergeCell ref="I36:J36"/>
    <mergeCell ref="K36:L36"/>
    <mergeCell ref="AL37:AM37"/>
    <mergeCell ref="AN37:AO37"/>
    <mergeCell ref="AP37:AQ37"/>
    <mergeCell ref="AR37:AS37"/>
    <mergeCell ref="AT37:AU37"/>
    <mergeCell ref="AB37:AC37"/>
    <mergeCell ref="AD37:AE37"/>
    <mergeCell ref="AF37:AG37"/>
    <mergeCell ref="AH37:AI37"/>
    <mergeCell ref="AJ37:AK37"/>
    <mergeCell ref="T37:U37"/>
    <mergeCell ref="V37:W37"/>
    <mergeCell ref="X37:Y37"/>
    <mergeCell ref="Z37:AA37"/>
    <mergeCell ref="AS36:AT36"/>
    <mergeCell ref="B40:AU40"/>
    <mergeCell ref="B41:AU41"/>
    <mergeCell ref="B42:AU42"/>
    <mergeCell ref="B43:AU43"/>
    <mergeCell ref="B44:AU44"/>
    <mergeCell ref="AQ36:AR36"/>
    <mergeCell ref="B38:AU38"/>
    <mergeCell ref="AG36:AH36"/>
    <mergeCell ref="AI36:AJ36"/>
    <mergeCell ref="AK36:AL36"/>
    <mergeCell ref="AM36:AN36"/>
    <mergeCell ref="AO36:AP36"/>
    <mergeCell ref="W36:X36"/>
    <mergeCell ref="Y36:Z36"/>
    <mergeCell ref="AA36:AB36"/>
    <mergeCell ref="AC36:AD36"/>
    <mergeCell ref="AE36:AF36"/>
    <mergeCell ref="M36:N36"/>
    <mergeCell ref="O36:P36"/>
    <mergeCell ref="Q36:R36"/>
    <mergeCell ref="S36:T36"/>
    <mergeCell ref="U36:V36"/>
    <mergeCell ref="C36:D36"/>
    <mergeCell ref="A39:AU39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D49:E49"/>
    <mergeCell ref="F49:G49"/>
    <mergeCell ref="H49:I49"/>
    <mergeCell ref="J49:K49"/>
    <mergeCell ref="AL48:AM48"/>
    <mergeCell ref="AL49:AM49"/>
    <mergeCell ref="V49:W49"/>
    <mergeCell ref="X49:Y49"/>
    <mergeCell ref="Z49:AA49"/>
    <mergeCell ref="AB49:AC49"/>
    <mergeCell ref="AD49:AE49"/>
    <mergeCell ref="L49:M49"/>
    <mergeCell ref="N49:O49"/>
    <mergeCell ref="P49:Q49"/>
    <mergeCell ref="R49:S49"/>
    <mergeCell ref="T49:U49"/>
    <mergeCell ref="AB48:AC48"/>
    <mergeCell ref="AD48:AE48"/>
    <mergeCell ref="AF48:AG48"/>
    <mergeCell ref="AH48:AI48"/>
    <mergeCell ref="AH50:AI50"/>
    <mergeCell ref="AJ50:AK50"/>
    <mergeCell ref="AP49:AQ49"/>
    <mergeCell ref="AR49:AS49"/>
    <mergeCell ref="AT49:AU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V50:W50"/>
    <mergeCell ref="X50:Y50"/>
    <mergeCell ref="Z50:AA50"/>
    <mergeCell ref="AF49:AG49"/>
    <mergeCell ref="AH49:AI49"/>
    <mergeCell ref="AJ49:AK49"/>
    <mergeCell ref="B49:C49"/>
    <mergeCell ref="AB54:AC54"/>
    <mergeCell ref="AD54:AE54"/>
    <mergeCell ref="L54:M54"/>
    <mergeCell ref="N54:O54"/>
    <mergeCell ref="P54:Q54"/>
    <mergeCell ref="R54:S54"/>
    <mergeCell ref="T54:U54"/>
    <mergeCell ref="B54:C54"/>
    <mergeCell ref="D54:E54"/>
    <mergeCell ref="F54:G54"/>
    <mergeCell ref="H54:I54"/>
    <mergeCell ref="J54:K54"/>
    <mergeCell ref="AP54:AQ54"/>
    <mergeCell ref="AR54:AS54"/>
    <mergeCell ref="AT54:AU54"/>
    <mergeCell ref="B55:C55"/>
    <mergeCell ref="D55:E55"/>
    <mergeCell ref="F55:G55"/>
    <mergeCell ref="H55:I55"/>
    <mergeCell ref="J55:K55"/>
    <mergeCell ref="L55:M55"/>
    <mergeCell ref="N55:O55"/>
    <mergeCell ref="P55:Q55"/>
    <mergeCell ref="R55:S55"/>
    <mergeCell ref="T55:U55"/>
    <mergeCell ref="V55:W55"/>
    <mergeCell ref="X55:Y55"/>
    <mergeCell ref="Z55:AA55"/>
    <mergeCell ref="AF54:AG54"/>
    <mergeCell ref="AH54:AI54"/>
    <mergeCell ref="AJ54:AK54"/>
    <mergeCell ref="AL54:AM54"/>
    <mergeCell ref="AN54:AO54"/>
    <mergeCell ref="V54:W54"/>
    <mergeCell ref="X54:Y54"/>
    <mergeCell ref="Z54:AA54"/>
    <mergeCell ref="AL55:AM55"/>
    <mergeCell ref="AN55:AO55"/>
    <mergeCell ref="AP55:AQ55"/>
    <mergeCell ref="AR55:AS55"/>
    <mergeCell ref="AT55:AU55"/>
    <mergeCell ref="AB55:AC55"/>
    <mergeCell ref="AD55:AE55"/>
    <mergeCell ref="AF55:AG55"/>
    <mergeCell ref="AH55:AI55"/>
    <mergeCell ref="AJ55:AK55"/>
    <mergeCell ref="B57:AU57"/>
    <mergeCell ref="AP56:AQ56"/>
    <mergeCell ref="AR56:AS56"/>
    <mergeCell ref="AT56:AU56"/>
    <mergeCell ref="AF56:AG56"/>
    <mergeCell ref="AH56:AI56"/>
    <mergeCell ref="AJ56:AK56"/>
    <mergeCell ref="AL56:AM56"/>
    <mergeCell ref="AN56:AO56"/>
    <mergeCell ref="V56:W56"/>
    <mergeCell ref="X56:Y56"/>
    <mergeCell ref="Z56:AA56"/>
    <mergeCell ref="AB56:AC56"/>
    <mergeCell ref="AD56:AE56"/>
    <mergeCell ref="L56:M56"/>
    <mergeCell ref="N56:O56"/>
    <mergeCell ref="P56:Q56"/>
    <mergeCell ref="R56:S56"/>
    <mergeCell ref="T56:U56"/>
    <mergeCell ref="B56:C56"/>
    <mergeCell ref="D56:E56"/>
    <mergeCell ref="F56:G56"/>
    <mergeCell ref="H56:I56"/>
    <mergeCell ref="J56:K56"/>
    <mergeCell ref="A46:AU46"/>
    <mergeCell ref="A52:AU52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B35"/>
    <mergeCell ref="B51:AU51"/>
    <mergeCell ref="AL50:AM50"/>
    <mergeCell ref="AN50:AO50"/>
    <mergeCell ref="AP50:AQ50"/>
    <mergeCell ref="AR50:AS50"/>
    <mergeCell ref="AT50:AU50"/>
    <mergeCell ref="AB50:AC50"/>
    <mergeCell ref="AD50:AE50"/>
    <mergeCell ref="AF50:AG50"/>
  </mergeCells>
  <conditionalFormatting sqref="B36">
    <cfRule type="cellIs" dxfId="96" priority="1" operator="greaterThan">
      <formula>1000</formula>
    </cfRule>
  </conditionalFormatting>
  <conditionalFormatting sqref="C36">
    <cfRule type="cellIs" dxfId="95" priority="68" stopIfTrue="1" operator="greaterThan">
      <formula>1000</formula>
    </cfRule>
  </conditionalFormatting>
  <conditionalFormatting sqref="E36">
    <cfRule type="cellIs" dxfId="94" priority="69" stopIfTrue="1" operator="greaterThan">
      <formula>1000</formula>
    </cfRule>
  </conditionalFormatting>
  <conditionalFormatting sqref="G36">
    <cfRule type="cellIs" dxfId="93" priority="70" stopIfTrue="1" operator="greaterThan">
      <formula>1000</formula>
    </cfRule>
  </conditionalFormatting>
  <conditionalFormatting sqref="I36">
    <cfRule type="cellIs" dxfId="92" priority="71" stopIfTrue="1" operator="greaterThan">
      <formula>1000</formula>
    </cfRule>
  </conditionalFormatting>
  <conditionalFormatting sqref="K36">
    <cfRule type="cellIs" dxfId="91" priority="72" stopIfTrue="1" operator="greaterThan">
      <formula>1000</formula>
    </cfRule>
  </conditionalFormatting>
  <conditionalFormatting sqref="M36">
    <cfRule type="cellIs" dxfId="90" priority="73" stopIfTrue="1" operator="greaterThan">
      <formula>1000</formula>
    </cfRule>
  </conditionalFormatting>
  <conditionalFormatting sqref="O36">
    <cfRule type="cellIs" dxfId="89" priority="74" stopIfTrue="1" operator="greaterThan">
      <formula>1000</formula>
    </cfRule>
  </conditionalFormatting>
  <conditionalFormatting sqref="Q36">
    <cfRule type="cellIs" dxfId="88" priority="75" stopIfTrue="1" operator="greaterThan">
      <formula>1000</formula>
    </cfRule>
  </conditionalFormatting>
  <conditionalFormatting sqref="S36">
    <cfRule type="cellIs" dxfId="87" priority="76" stopIfTrue="1" operator="greaterThan">
      <formula>1000</formula>
    </cfRule>
  </conditionalFormatting>
  <conditionalFormatting sqref="U36">
    <cfRule type="cellIs" dxfId="86" priority="77" stopIfTrue="1" operator="greaterThan">
      <formula>1000</formula>
    </cfRule>
  </conditionalFormatting>
  <conditionalFormatting sqref="W36">
    <cfRule type="cellIs" dxfId="85" priority="78" stopIfTrue="1" operator="greaterThan">
      <formula>1000</formula>
    </cfRule>
  </conditionalFormatting>
  <conditionalFormatting sqref="Y36">
    <cfRule type="cellIs" dxfId="84" priority="79" stopIfTrue="1" operator="greaterThan">
      <formula>1000</formula>
    </cfRule>
  </conditionalFormatting>
  <conditionalFormatting sqref="AA36">
    <cfRule type="cellIs" dxfId="83" priority="80" stopIfTrue="1" operator="greaterThan">
      <formula>1000</formula>
    </cfRule>
  </conditionalFormatting>
  <conditionalFormatting sqref="AC36">
    <cfRule type="cellIs" dxfId="82" priority="81" stopIfTrue="1" operator="greaterThan">
      <formula>1000</formula>
    </cfRule>
  </conditionalFormatting>
  <conditionalFormatting sqref="AE36">
    <cfRule type="cellIs" dxfId="81" priority="82" stopIfTrue="1" operator="greaterThan">
      <formula>1000</formula>
    </cfRule>
  </conditionalFormatting>
  <conditionalFormatting sqref="AG36">
    <cfRule type="cellIs" dxfId="80" priority="83" stopIfTrue="1" operator="greaterThan">
      <formula>1000</formula>
    </cfRule>
  </conditionalFormatting>
  <conditionalFormatting sqref="AI36">
    <cfRule type="cellIs" dxfId="79" priority="84" stopIfTrue="1" operator="greaterThan">
      <formula>1000</formula>
    </cfRule>
  </conditionalFormatting>
  <conditionalFormatting sqref="AK36">
    <cfRule type="cellIs" dxfId="78" priority="85" stopIfTrue="1" operator="greaterThan">
      <formula>1000</formula>
    </cfRule>
  </conditionalFormatting>
  <conditionalFormatting sqref="AM36">
    <cfRule type="cellIs" dxfId="77" priority="86" stopIfTrue="1" operator="greaterThan">
      <formula>1000</formula>
    </cfRule>
  </conditionalFormatting>
  <conditionalFormatting sqref="AO36">
    <cfRule type="cellIs" dxfId="76" priority="87" stopIfTrue="1" operator="greaterThan">
      <formula>1000</formula>
    </cfRule>
  </conditionalFormatting>
  <conditionalFormatting sqref="AQ36">
    <cfRule type="cellIs" dxfId="75" priority="88" stopIfTrue="1" operator="greaterThan">
      <formula>1000</formula>
    </cfRule>
  </conditionalFormatting>
  <conditionalFormatting sqref="AS36">
    <cfRule type="cellIs" dxfId="74" priority="89" stopIfTrue="1" operator="greaterThan">
      <formula>1000</formula>
    </cfRule>
  </conditionalFormatting>
  <printOptions horizontalCentered="1"/>
  <pageMargins left="0.19685039370078738" right="0.19685039370078738" top="0.23622047244094485" bottom="0.23622047244094485" header="0.5" footer="0.5"/>
  <pageSetup paperSize="8" orientation="landscape" r:id="rId1"/>
  <headerFooter>
    <oddFooter>&amp;C&amp;8 23842B1 · TIRATA 1 · Pagina &amp;P di 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 fitToPage="1"/>
  </sheetPr>
  <dimension ref="A1:AM58"/>
  <sheetViews>
    <sheetView showGridLines="0" topLeftCell="A4" zoomScale="70" zoomScaleNormal="70" workbookViewId="0">
      <selection activeCell="AP26" sqref="AP26"/>
    </sheetView>
  </sheetViews>
  <sheetFormatPr baseColWidth="10" defaultColWidth="9.140625" defaultRowHeight="15" x14ac:dyDescent="0.25"/>
  <cols>
    <col min="1" max="1" width="24.42578125" customWidth="1"/>
    <col min="2" max="39" width="5" customWidth="1"/>
  </cols>
  <sheetData>
    <row r="1" spans="1:39" ht="30" customHeight="1" x14ac:dyDescent="0.25">
      <c r="A1" s="323" t="s">
        <v>120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4"/>
      <c r="AC1" s="324"/>
      <c r="AD1" s="324"/>
      <c r="AE1" s="324"/>
      <c r="AF1" s="324"/>
      <c r="AG1" s="324"/>
      <c r="AH1" s="324"/>
      <c r="AI1" s="324"/>
      <c r="AJ1" s="324"/>
      <c r="AK1" s="324"/>
      <c r="AL1" s="324"/>
      <c r="AM1" s="32"/>
    </row>
    <row r="2" spans="1:39" ht="33.75" customHeight="1" x14ac:dyDescent="0.25">
      <c r="A2" s="1"/>
      <c r="B2" s="1"/>
      <c r="C2" s="1"/>
      <c r="D2" s="352" t="s">
        <v>1</v>
      </c>
      <c r="E2" s="353"/>
      <c r="F2" s="353"/>
      <c r="G2" s="353"/>
      <c r="H2" s="353"/>
      <c r="I2" s="353"/>
      <c r="J2" s="353"/>
      <c r="K2" s="353"/>
      <c r="L2" s="353"/>
      <c r="M2" s="353"/>
      <c r="N2" s="353"/>
      <c r="O2" s="353"/>
      <c r="P2" s="353"/>
      <c r="Q2" s="353"/>
      <c r="R2" s="353"/>
      <c r="S2" s="22"/>
      <c r="T2" s="353" t="s">
        <v>2</v>
      </c>
      <c r="U2" s="354"/>
      <c r="V2" s="355"/>
      <c r="W2" s="356"/>
      <c r="X2" s="356"/>
      <c r="Y2" s="356"/>
      <c r="Z2" s="356"/>
      <c r="AA2" s="356"/>
      <c r="AB2" s="356"/>
      <c r="AC2" s="356"/>
      <c r="AD2" s="356"/>
      <c r="AE2" s="356"/>
      <c r="AF2" s="356"/>
      <c r="AG2" s="356"/>
      <c r="AH2" s="356"/>
      <c r="AI2" s="356"/>
      <c r="AJ2" s="356"/>
      <c r="AK2" s="356"/>
      <c r="AL2" s="356"/>
      <c r="AM2" s="23"/>
    </row>
    <row r="3" spans="1:3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x14ac:dyDescent="0.25">
      <c r="A4" s="2" t="s">
        <v>3</v>
      </c>
      <c r="B4" s="339" t="s">
        <v>121</v>
      </c>
      <c r="C4" s="340"/>
      <c r="D4" s="340"/>
      <c r="E4" s="340"/>
      <c r="F4" s="340"/>
      <c r="G4" s="340"/>
      <c r="H4" s="340"/>
      <c r="I4" s="340"/>
      <c r="J4" s="340"/>
      <c r="K4" s="29"/>
      <c r="L4" s="340" t="s">
        <v>122</v>
      </c>
      <c r="M4" s="341"/>
      <c r="N4" s="339"/>
      <c r="O4" s="340"/>
      <c r="P4" s="340"/>
      <c r="Q4" s="340"/>
      <c r="R4" s="340"/>
      <c r="S4" s="340"/>
      <c r="T4" s="340"/>
      <c r="U4" s="29"/>
      <c r="V4" s="340" t="s">
        <v>123</v>
      </c>
      <c r="W4" s="340"/>
      <c r="X4" s="340"/>
      <c r="Y4" s="341"/>
      <c r="Z4" s="339"/>
      <c r="AA4" s="340"/>
      <c r="AB4" s="340"/>
      <c r="AC4" s="340"/>
      <c r="AD4" s="340"/>
      <c r="AE4" s="29"/>
      <c r="AF4" s="340" t="s">
        <v>7</v>
      </c>
      <c r="AG4" s="340"/>
      <c r="AH4" s="340"/>
      <c r="AI4" s="340"/>
      <c r="AJ4" s="340"/>
      <c r="AK4" s="341"/>
      <c r="AL4" s="394"/>
      <c r="AM4" s="30"/>
    </row>
    <row r="5" spans="1:39" ht="33.950000000000003" customHeight="1" x14ac:dyDescent="0.25">
      <c r="A5" s="388" t="s">
        <v>124</v>
      </c>
      <c r="B5" s="334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5"/>
      <c r="O5" s="335"/>
      <c r="P5" s="335"/>
      <c r="Q5" s="335"/>
      <c r="R5" s="335"/>
      <c r="S5" s="335"/>
      <c r="T5" s="335"/>
      <c r="U5" s="41"/>
      <c r="V5" s="335" t="s">
        <v>125</v>
      </c>
      <c r="W5" s="336"/>
      <c r="X5" s="337"/>
      <c r="Y5" s="338"/>
      <c r="Z5" s="338"/>
      <c r="AA5" s="338"/>
      <c r="AB5" s="338"/>
      <c r="AC5" s="338"/>
      <c r="AD5" s="338"/>
      <c r="AE5" s="338"/>
      <c r="AF5" s="338"/>
      <c r="AG5" s="338"/>
      <c r="AH5" s="338"/>
      <c r="AI5" s="338"/>
      <c r="AJ5" s="338"/>
      <c r="AK5" s="338"/>
      <c r="AL5" s="338"/>
      <c r="AM5" s="28"/>
    </row>
    <row r="6" spans="1:39" x14ac:dyDescent="0.25">
      <c r="A6" s="1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</row>
    <row r="7" spans="1:39" ht="15.75" customHeight="1" x14ac:dyDescent="0.25">
      <c r="A7" s="2" t="s">
        <v>10</v>
      </c>
      <c r="B7" s="383" t="s">
        <v>126</v>
      </c>
      <c r="C7" s="384"/>
      <c r="D7" s="383" t="s">
        <v>127</v>
      </c>
      <c r="E7" s="384"/>
      <c r="F7" s="383" t="s">
        <v>128</v>
      </c>
      <c r="G7" s="384"/>
      <c r="H7" s="383" t="s">
        <v>129</v>
      </c>
      <c r="I7" s="384"/>
      <c r="J7" s="383" t="s">
        <v>130</v>
      </c>
      <c r="K7" s="384"/>
      <c r="L7" s="383" t="s">
        <v>131</v>
      </c>
      <c r="M7" s="384"/>
      <c r="N7" s="383" t="s">
        <v>132</v>
      </c>
      <c r="O7" s="384"/>
      <c r="P7" s="383" t="s">
        <v>133</v>
      </c>
      <c r="Q7" s="384"/>
      <c r="R7" s="383" t="s">
        <v>134</v>
      </c>
      <c r="S7" s="384"/>
      <c r="T7" s="383" t="s">
        <v>135</v>
      </c>
      <c r="U7" s="384"/>
      <c r="V7" s="383" t="s">
        <v>136</v>
      </c>
      <c r="W7" s="384"/>
      <c r="X7" s="383" t="s">
        <v>137</v>
      </c>
      <c r="Y7" s="384"/>
      <c r="Z7" s="383" t="s">
        <v>138</v>
      </c>
      <c r="AA7" s="384"/>
      <c r="AB7" s="383" t="s">
        <v>139</v>
      </c>
      <c r="AC7" s="384"/>
      <c r="AD7" s="383" t="s">
        <v>140</v>
      </c>
      <c r="AE7" s="384"/>
      <c r="AF7" s="383" t="s">
        <v>141</v>
      </c>
      <c r="AG7" s="384"/>
      <c r="AH7" s="383" t="s">
        <v>142</v>
      </c>
      <c r="AI7" s="384"/>
      <c r="AJ7" s="383" t="s">
        <v>143</v>
      </c>
      <c r="AK7" s="384"/>
      <c r="AL7" s="383" t="s">
        <v>31</v>
      </c>
      <c r="AM7" s="384"/>
    </row>
    <row r="8" spans="1:39" ht="72" customHeight="1" x14ac:dyDescent="0.25">
      <c r="A8" s="10" t="s">
        <v>32</v>
      </c>
      <c r="B8" s="378" t="str">
        <f>IFERROR(INDEX('04 Interferencias'!$D:$D,MATCH(SUBSTITUTE(B7,"–","-"),'04 Interferencias'!$A:$A,0)),"—")</f>
        <v>BT in cavo BT  IP.2SC Str. Privata</v>
      </c>
      <c r="C8" s="379"/>
      <c r="D8" s="378" t="str">
        <f>IFERROR(INDEX('04 Interferencias'!$D:$D,MATCH(SUBSTITUTE(D7,"–","-"),'04 Interferencias'!$A:$A,0)),"—")</f>
        <v>—</v>
      </c>
      <c r="E8" s="379"/>
      <c r="F8" s="378" t="str">
        <f>IFERROR(INDEX('04 Interferencias'!$D:$D,MATCH(SUBSTITUTE(F7,"–","-"),'04 Interferencias'!$A:$A,0)),"—")</f>
        <v>—</v>
      </c>
      <c r="G8" s="379"/>
      <c r="H8" s="378" t="str">
        <f>IFERROR(INDEX('04 Interferencias'!$D:$D,MATCH(SUBSTITUTE(H7,"–","-"),'04 Interferencias'!$A:$A,0)),"—")</f>
        <v>—</v>
      </c>
      <c r="I8" s="379"/>
      <c r="J8" s="378" t="str">
        <f>IFERROR(INDEX('04 Interferencias'!$D:$D,MATCH(SUBSTITUTE(J7,"–","-"),'04 Interferencias'!$A:$A,0)),"—")</f>
        <v>SC.</v>
      </c>
      <c r="K8" s="379"/>
      <c r="L8" s="378" t="str">
        <f>IFERROR(INDEX('04 Interferencias'!$D:$D,MATCH(SUBSTITUTE(L7,"–","-"),'04 Interferencias'!$A:$A,0)),"—")</f>
        <v>—</v>
      </c>
      <c r="M8" s="379"/>
      <c r="N8" s="378" t="str">
        <f>IFERROR(INDEX('04 Interferencias'!$D:$D,MATCH(SUBSTITUTE(N7,"–","-"),'04 Interferencias'!$A:$A,0)),"—")</f>
        <v>—</v>
      </c>
      <c r="O8" s="379"/>
      <c r="P8" s="378" t="str">
        <f>IFERROR(INDEX('04 Interferencias'!$D:$D,MATCH(SUBSTITUTE(P7,"–","-"),'04 Interferencias'!$A:$A,0)),"—")</f>
        <v>—</v>
      </c>
      <c r="Q8" s="379"/>
      <c r="R8" s="378" t="str">
        <f>IFERROR(INDEX('04 Interferencias'!$D:$D,MATCH(SUBSTITUTE(R7,"–","-"),'04 Interferencias'!$A:$A,0)),"—")</f>
        <v>2BT in cavo 2BT. IP. SC. Baracca</v>
      </c>
      <c r="S8" s="379"/>
      <c r="T8" s="378" t="str">
        <f>IFERROR(INDEX('04 Interferencias'!$D:$D,MATCH(SUBSTITUTE(T7,"–","-"),'04 Interferencias'!$A:$A,0)),"—")</f>
        <v>BT.  IP. SP. Per S. Alberto</v>
      </c>
      <c r="U8" s="379"/>
      <c r="V8" s="378" t="str">
        <f>IFERROR(INDEX('04 Interferencias'!$D:$D,MATCH(SUBSTITUTE(V7,"–","-"),'04 Interferencias'!$A:$A,0)),"—")</f>
        <v>15 kV.</v>
      </c>
      <c r="W8" s="379"/>
      <c r="X8" s="378" t="str">
        <f>IFERROR(INDEX('04 Interferencias'!$D:$D,MATCH(SUBSTITUTE(X7,"–","-"),'04 Interferencias'!$A:$A,0)),"—")</f>
        <v>—</v>
      </c>
      <c r="Y8" s="379"/>
      <c r="Z8" s="378" t="str">
        <f>IFERROR(INDEX('04 Interferencias'!$D:$D,MATCH(SUBSTITUTE(Z7,"–","-"),'04 Interferencias'!$A:$A,0)),"—")</f>
        <v>—</v>
      </c>
      <c r="AA8" s="379"/>
      <c r="AB8" s="378" t="str">
        <f>IFERROR(INDEX('04 Interferencias'!$D:$D,MATCH(SUBSTITUTE(AB7,"–","-"),'04 Interferencias'!$A:$A,0)),"—")</f>
        <v>—</v>
      </c>
      <c r="AC8" s="379"/>
      <c r="AD8" s="378" t="str">
        <f>IFERROR(INDEX('04 Interferencias'!$D:$D,MATCH(SUBSTITUTE(AD7,"–","-"),'04 Interferencias'!$A:$A,0)),"—")</f>
        <v>15 kV precordato</v>
      </c>
      <c r="AE8" s="379"/>
      <c r="AF8" s="378" t="str">
        <f>IFERROR(INDEX('04 Interferencias'!$D:$D,MATCH(SUBSTITUTE(AF7,"–","-"),'04 Interferencias'!$A:$A,0)),"—")</f>
        <v>BT.</v>
      </c>
      <c r="AG8" s="379"/>
      <c r="AH8" s="378" t="str">
        <f>IFERROR(INDEX('04 Interferencias'!$D:$D,MATCH(SUBSTITUTE(AH7,"–","-"),'04 Interferencias'!$A:$A,0)),"—")</f>
        <v>BT.</v>
      </c>
      <c r="AI8" s="379"/>
      <c r="AJ8" s="378" t="str">
        <f>IFERROR(INDEX('04 Interferencias'!$D:$D,MATCH(SUBSTITUTE(AJ7,"–","-"),'04 Interferencias'!$A:$A,0)),"—")</f>
        <v>SS. N° 45</v>
      </c>
      <c r="AK8" s="379"/>
      <c r="AL8" s="378" t="str">
        <f>IFERROR(INDEX('04 Interferencias'!$D:$D,MATCH(SUBSTITUTE(AL7,"–","-"),'04 Interferencias'!$A:$A,0)),"—")</f>
        <v>—</v>
      </c>
      <c r="AM8" s="379"/>
    </row>
    <row r="9" spans="1:39" x14ac:dyDescent="0.25">
      <c r="A9" s="1"/>
      <c r="B9" s="12"/>
      <c r="C9" s="20"/>
      <c r="D9" s="12"/>
      <c r="E9" s="20"/>
      <c r="F9" s="12"/>
      <c r="G9" s="20"/>
      <c r="H9" s="12"/>
      <c r="I9" s="20"/>
      <c r="J9" s="12"/>
      <c r="K9" s="20"/>
      <c r="L9" s="12"/>
      <c r="M9" s="20"/>
      <c r="N9" s="12"/>
      <c r="O9" s="20"/>
      <c r="P9" s="12"/>
      <c r="Q9" s="20"/>
      <c r="R9" s="12"/>
      <c r="S9" s="20"/>
      <c r="T9" s="12"/>
      <c r="U9" s="20"/>
      <c r="V9" s="12"/>
      <c r="W9" s="20"/>
      <c r="X9" s="12"/>
      <c r="Y9" s="20"/>
      <c r="Z9" s="12"/>
      <c r="AA9" s="20"/>
      <c r="AB9" s="12"/>
      <c r="AC9" s="20"/>
      <c r="AD9" s="12"/>
      <c r="AE9" s="20"/>
      <c r="AF9" s="12"/>
      <c r="AG9" s="20"/>
      <c r="AH9" s="12"/>
      <c r="AI9" s="20"/>
      <c r="AJ9" s="12"/>
      <c r="AK9" s="20"/>
      <c r="AL9" s="12"/>
      <c r="AM9" s="20"/>
    </row>
    <row r="10" spans="1:39" x14ac:dyDescent="0.25">
      <c r="A10" s="325" t="s">
        <v>34</v>
      </c>
      <c r="B10" s="326"/>
      <c r="C10" s="326"/>
      <c r="D10" s="326"/>
      <c r="E10" s="326"/>
      <c r="F10" s="326"/>
      <c r="G10" s="326"/>
      <c r="H10" s="326"/>
      <c r="I10" s="326"/>
      <c r="J10" s="326"/>
      <c r="K10" s="326"/>
      <c r="L10" s="326"/>
      <c r="M10" s="326"/>
      <c r="N10" s="326"/>
      <c r="O10" s="326"/>
      <c r="P10" s="326"/>
      <c r="Q10" s="326"/>
      <c r="R10" s="326"/>
      <c r="S10" s="326"/>
      <c r="T10" s="326"/>
      <c r="U10" s="326"/>
      <c r="V10" s="326"/>
      <c r="W10" s="326"/>
      <c r="X10" s="326"/>
      <c r="Y10" s="326"/>
      <c r="Z10" s="326"/>
      <c r="AA10" s="326"/>
      <c r="AB10" s="326"/>
      <c r="AC10" s="326"/>
      <c r="AD10" s="326"/>
      <c r="AE10" s="326"/>
      <c r="AF10" s="326"/>
      <c r="AG10" s="326"/>
      <c r="AH10" s="326"/>
      <c r="AI10" s="326"/>
      <c r="AJ10" s="326"/>
      <c r="AK10" s="326"/>
      <c r="AL10" s="326"/>
      <c r="AM10" s="34"/>
    </row>
    <row r="11" spans="1:39" ht="20.100000000000001" customHeight="1" x14ac:dyDescent="0.25">
      <c r="A11" s="12"/>
      <c r="B11" s="42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</row>
    <row r="12" spans="1:39" ht="20.100000000000001" customHeight="1" x14ac:dyDescent="0.25">
      <c r="A12" s="12"/>
      <c r="B12" s="45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</row>
    <row r="13" spans="1:39" ht="20.100000000000001" customHeight="1" x14ac:dyDescent="0.25">
      <c r="A13" s="12"/>
      <c r="B13" s="45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</row>
    <row r="14" spans="1:39" ht="20.100000000000001" customHeight="1" x14ac:dyDescent="0.25">
      <c r="A14" s="12"/>
      <c r="B14" s="45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</row>
    <row r="15" spans="1:39" ht="20.100000000000001" customHeight="1" x14ac:dyDescent="0.25">
      <c r="A15" s="12"/>
      <c r="B15" s="45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</row>
    <row r="16" spans="1:39" ht="20.100000000000001" customHeight="1" x14ac:dyDescent="0.25">
      <c r="A16" s="12"/>
      <c r="B16" s="45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</row>
    <row r="17" spans="1:39" ht="20.100000000000001" customHeight="1" x14ac:dyDescent="0.25">
      <c r="A17" s="12"/>
      <c r="B17" s="45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</row>
    <row r="18" spans="1:39" ht="20.100000000000001" customHeight="1" x14ac:dyDescent="0.25">
      <c r="A18" s="12"/>
      <c r="B18" s="45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</row>
    <row r="19" spans="1:39" ht="20.100000000000001" customHeight="1" x14ac:dyDescent="0.25">
      <c r="A19" s="12"/>
      <c r="B19" s="45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</row>
    <row r="20" spans="1:39" ht="20.100000000000001" customHeight="1" x14ac:dyDescent="0.25">
      <c r="A20" s="12"/>
      <c r="B20" s="45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</row>
    <row r="21" spans="1:39" ht="20.100000000000001" customHeight="1" x14ac:dyDescent="0.25">
      <c r="A21" s="12"/>
      <c r="B21" s="45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</row>
    <row r="22" spans="1:39" ht="20.100000000000001" customHeight="1" x14ac:dyDescent="0.25">
      <c r="A22" s="12"/>
      <c r="B22" s="45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</row>
    <row r="23" spans="1:39" ht="20.100000000000001" customHeight="1" x14ac:dyDescent="0.25">
      <c r="A23" s="12"/>
      <c r="B23" s="45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</row>
    <row r="24" spans="1:39" ht="20.100000000000001" customHeight="1" x14ac:dyDescent="0.25">
      <c r="A24" s="12"/>
      <c r="B24" s="45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</row>
    <row r="25" spans="1:39" ht="20.100000000000001" customHeight="1" x14ac:dyDescent="0.25">
      <c r="A25" s="12"/>
      <c r="B25" s="45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</row>
    <row r="26" spans="1:39" ht="20.100000000000001" customHeight="1" x14ac:dyDescent="0.25">
      <c r="A26" s="12"/>
      <c r="B26" s="45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</row>
    <row r="27" spans="1:39" x14ac:dyDescent="0.25">
      <c r="A27" s="13"/>
      <c r="B27" s="45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</row>
    <row r="28" spans="1:39" ht="24" customHeight="1" x14ac:dyDescent="0.25">
      <c r="A28" s="293" t="s">
        <v>35</v>
      </c>
      <c r="B28" s="374">
        <v>267</v>
      </c>
      <c r="C28" s="371"/>
      <c r="D28" s="370">
        <v>268</v>
      </c>
      <c r="E28" s="371"/>
      <c r="F28" s="370">
        <v>269</v>
      </c>
      <c r="G28" s="371"/>
      <c r="H28" s="370">
        <v>270</v>
      </c>
      <c r="I28" s="371"/>
      <c r="J28" s="370">
        <v>271</v>
      </c>
      <c r="K28" s="371"/>
      <c r="L28" s="370">
        <v>272</v>
      </c>
      <c r="M28" s="371"/>
      <c r="N28" s="370">
        <v>273</v>
      </c>
      <c r="O28" s="371"/>
      <c r="P28" s="370">
        <v>274</v>
      </c>
      <c r="Q28" s="371"/>
      <c r="R28" s="370">
        <v>275</v>
      </c>
      <c r="S28" s="371"/>
      <c r="T28" s="370">
        <v>276</v>
      </c>
      <c r="U28" s="371"/>
      <c r="V28" s="370">
        <v>277</v>
      </c>
      <c r="W28" s="371"/>
      <c r="X28" s="370">
        <v>278</v>
      </c>
      <c r="Y28" s="371"/>
      <c r="Z28" s="370">
        <v>279</v>
      </c>
      <c r="AA28" s="371"/>
      <c r="AB28" s="370">
        <v>280</v>
      </c>
      <c r="AC28" s="371"/>
      <c r="AD28" s="370">
        <v>281</v>
      </c>
      <c r="AE28" s="371"/>
      <c r="AF28" s="370">
        <v>282</v>
      </c>
      <c r="AG28" s="371"/>
      <c r="AH28" s="370">
        <v>283</v>
      </c>
      <c r="AI28" s="371"/>
      <c r="AJ28" s="370">
        <v>284</v>
      </c>
      <c r="AK28" s="371"/>
      <c r="AL28" s="370">
        <v>285</v>
      </c>
      <c r="AM28" s="371"/>
    </row>
    <row r="29" spans="1:39" ht="24" customHeight="1" x14ac:dyDescent="0.25">
      <c r="A29" s="292" t="s">
        <v>57</v>
      </c>
      <c r="B29" s="372" t="s">
        <v>58</v>
      </c>
      <c r="C29" s="361"/>
      <c r="D29" s="360" t="s">
        <v>58</v>
      </c>
      <c r="E29" s="361"/>
      <c r="F29" s="360" t="s">
        <v>58</v>
      </c>
      <c r="G29" s="361"/>
      <c r="H29" s="365" t="s">
        <v>59</v>
      </c>
      <c r="I29" s="366"/>
      <c r="J29" s="360" t="s">
        <v>58</v>
      </c>
      <c r="K29" s="361"/>
      <c r="L29" s="360" t="s">
        <v>58</v>
      </c>
      <c r="M29" s="361"/>
      <c r="N29" s="365" t="s">
        <v>58</v>
      </c>
      <c r="O29" s="366"/>
      <c r="P29" s="360" t="s">
        <v>58</v>
      </c>
      <c r="Q29" s="361"/>
      <c r="R29" s="365" t="s">
        <v>58</v>
      </c>
      <c r="S29" s="366"/>
      <c r="T29" s="365" t="s">
        <v>59</v>
      </c>
      <c r="U29" s="366"/>
      <c r="V29" s="360" t="s">
        <v>58</v>
      </c>
      <c r="W29" s="361"/>
      <c r="X29" s="365" t="s">
        <v>59</v>
      </c>
      <c r="Y29" s="366"/>
      <c r="Z29" s="360" t="s">
        <v>58</v>
      </c>
      <c r="AA29" s="361"/>
      <c r="AB29" s="365" t="s">
        <v>59</v>
      </c>
      <c r="AC29" s="366"/>
      <c r="AD29" s="365" t="s">
        <v>59</v>
      </c>
      <c r="AE29" s="366"/>
      <c r="AF29" s="360" t="s">
        <v>59</v>
      </c>
      <c r="AG29" s="361"/>
      <c r="AH29" s="360" t="s">
        <v>58</v>
      </c>
      <c r="AI29" s="361"/>
      <c r="AJ29" s="360" t="s">
        <v>58</v>
      </c>
      <c r="AK29" s="361"/>
      <c r="AL29" s="360" t="s">
        <v>58</v>
      </c>
      <c r="AM29" s="361"/>
    </row>
    <row r="30" spans="1:39" ht="24" customHeight="1" x14ac:dyDescent="0.25">
      <c r="A30" s="38" t="s">
        <v>60</v>
      </c>
      <c r="B30" s="320">
        <v>35.5</v>
      </c>
      <c r="C30" s="321"/>
      <c r="D30" s="322">
        <v>30.9</v>
      </c>
      <c r="E30" s="321"/>
      <c r="F30" s="322">
        <v>22.6</v>
      </c>
      <c r="G30" s="321"/>
      <c r="H30" s="322">
        <v>25.4</v>
      </c>
      <c r="I30" s="321"/>
      <c r="J30" s="322">
        <v>25.2</v>
      </c>
      <c r="K30" s="321"/>
      <c r="L30" s="322">
        <v>26.2</v>
      </c>
      <c r="M30" s="321"/>
      <c r="N30" s="322">
        <v>23.9</v>
      </c>
      <c r="O30" s="321"/>
      <c r="P30" s="322">
        <v>29.5</v>
      </c>
      <c r="Q30" s="321"/>
      <c r="R30" s="322">
        <v>23.1</v>
      </c>
      <c r="S30" s="321"/>
      <c r="T30" s="322">
        <v>22.5</v>
      </c>
      <c r="U30" s="321"/>
      <c r="V30" s="322">
        <v>23.4</v>
      </c>
      <c r="W30" s="321"/>
      <c r="X30" s="322">
        <v>24.8</v>
      </c>
      <c r="Y30" s="321"/>
      <c r="Z30" s="322">
        <v>24.8</v>
      </c>
      <c r="AA30" s="321"/>
      <c r="AB30" s="322">
        <v>22.4</v>
      </c>
      <c r="AC30" s="321"/>
      <c r="AD30" s="322">
        <v>22.5</v>
      </c>
      <c r="AE30" s="321"/>
      <c r="AF30" s="322">
        <v>22.4</v>
      </c>
      <c r="AG30" s="321"/>
      <c r="AH30" s="322">
        <v>29.6</v>
      </c>
      <c r="AI30" s="321"/>
      <c r="AJ30" s="322">
        <v>25.9</v>
      </c>
      <c r="AK30" s="321"/>
      <c r="AL30" s="322">
        <v>23.5</v>
      </c>
      <c r="AM30" s="321"/>
    </row>
    <row r="31" spans="1:39" ht="24" customHeight="1" x14ac:dyDescent="0.25">
      <c r="A31" s="38" t="s">
        <v>61</v>
      </c>
      <c r="B31" s="359">
        <v>343.34</v>
      </c>
      <c r="C31" s="314"/>
      <c r="D31" s="314">
        <v>368.32</v>
      </c>
      <c r="E31" s="314"/>
      <c r="F31" s="314">
        <v>347.3</v>
      </c>
      <c r="G31" s="314"/>
      <c r="H31" s="314">
        <v>416.97</v>
      </c>
      <c r="I31" s="314"/>
      <c r="J31" s="314">
        <v>494.2</v>
      </c>
      <c r="K31" s="314"/>
      <c r="L31" s="314">
        <v>539.75</v>
      </c>
      <c r="M31" s="314"/>
      <c r="N31" s="314">
        <v>569.01</v>
      </c>
      <c r="O31" s="314"/>
      <c r="P31" s="314">
        <v>668.83</v>
      </c>
      <c r="Q31" s="314"/>
      <c r="R31" s="314">
        <v>720.95</v>
      </c>
      <c r="S31" s="314"/>
      <c r="T31" s="314">
        <v>682.51</v>
      </c>
      <c r="U31" s="314"/>
      <c r="V31" s="314">
        <v>626.73</v>
      </c>
      <c r="W31" s="314"/>
      <c r="X31" s="314">
        <v>604.9</v>
      </c>
      <c r="Y31" s="314"/>
      <c r="Z31" s="314">
        <v>599.52</v>
      </c>
      <c r="AA31" s="314"/>
      <c r="AB31" s="314">
        <v>514.28</v>
      </c>
      <c r="AC31" s="314"/>
      <c r="AD31" s="314">
        <v>480.1</v>
      </c>
      <c r="AE31" s="314"/>
      <c r="AF31" s="314">
        <v>450.78</v>
      </c>
      <c r="AG31" s="314"/>
      <c r="AH31" s="314">
        <v>420.4</v>
      </c>
      <c r="AI31" s="314"/>
      <c r="AJ31" s="314">
        <v>378.7</v>
      </c>
      <c r="AK31" s="314"/>
      <c r="AL31" s="314">
        <v>344.01</v>
      </c>
      <c r="AM31" s="314"/>
    </row>
    <row r="32" spans="1:39" ht="24" customHeight="1" x14ac:dyDescent="0.25">
      <c r="A32" s="38" t="s">
        <v>62</v>
      </c>
      <c r="B32" s="350">
        <v>135.01</v>
      </c>
      <c r="C32" s="351"/>
      <c r="D32" s="312">
        <v>172.18</v>
      </c>
      <c r="E32" s="313"/>
      <c r="F32" s="312">
        <v>162.57</v>
      </c>
      <c r="G32" s="313"/>
      <c r="H32" s="312">
        <v>179.57</v>
      </c>
      <c r="I32" s="313"/>
      <c r="J32" s="312">
        <v>179.99</v>
      </c>
      <c r="K32" s="313"/>
      <c r="L32" s="312">
        <v>179.98</v>
      </c>
      <c r="M32" s="313"/>
      <c r="N32" s="312">
        <v>176.15</v>
      </c>
      <c r="O32" s="313"/>
      <c r="P32" s="312">
        <v>179.94</v>
      </c>
      <c r="Q32" s="313"/>
      <c r="R32" s="312">
        <v>179.77</v>
      </c>
      <c r="S32" s="313"/>
      <c r="T32" s="312">
        <v>179.78</v>
      </c>
      <c r="U32" s="313"/>
      <c r="V32" s="312">
        <v>175.29</v>
      </c>
      <c r="W32" s="313"/>
      <c r="X32" s="312">
        <v>179.98</v>
      </c>
      <c r="Y32" s="313"/>
      <c r="Z32" s="312">
        <v>179.97</v>
      </c>
      <c r="AA32" s="313"/>
      <c r="AB32" s="312">
        <v>179.92</v>
      </c>
      <c r="AC32" s="313"/>
      <c r="AD32" s="312">
        <v>179.94</v>
      </c>
      <c r="AE32" s="313"/>
      <c r="AF32" s="312">
        <v>179.74</v>
      </c>
      <c r="AG32" s="313"/>
      <c r="AH32" s="312">
        <v>179.9</v>
      </c>
      <c r="AI32" s="313"/>
      <c r="AJ32" s="312">
        <v>179.91</v>
      </c>
      <c r="AK32" s="313"/>
      <c r="AL32" s="312">
        <v>179.99</v>
      </c>
      <c r="AM32" s="313"/>
    </row>
    <row r="33" spans="1:39" ht="24" customHeight="1" x14ac:dyDescent="0.25">
      <c r="A33" s="38" t="s">
        <v>86</v>
      </c>
      <c r="B33" s="357">
        <v>510075.86</v>
      </c>
      <c r="C33" s="344"/>
      <c r="D33" s="343">
        <v>509861.33</v>
      </c>
      <c r="E33" s="344"/>
      <c r="F33" s="343">
        <v>509710.43</v>
      </c>
      <c r="G33" s="344"/>
      <c r="H33" s="343">
        <v>509516.96</v>
      </c>
      <c r="I33" s="344"/>
      <c r="J33" s="343">
        <v>509278.05</v>
      </c>
      <c r="K33" s="344"/>
      <c r="L33" s="343">
        <v>509197.73</v>
      </c>
      <c r="M33" s="344"/>
      <c r="N33" s="343">
        <v>508887.06</v>
      </c>
      <c r="O33" s="344"/>
      <c r="P33" s="343">
        <v>508599.08</v>
      </c>
      <c r="Q33" s="344"/>
      <c r="R33" s="343">
        <v>508519.71</v>
      </c>
      <c r="S33" s="344"/>
      <c r="T33" s="343">
        <v>508402.48</v>
      </c>
      <c r="U33" s="344"/>
      <c r="V33" s="343">
        <v>508230.52</v>
      </c>
      <c r="W33" s="344"/>
      <c r="X33" s="343">
        <v>508030.67</v>
      </c>
      <c r="Y33" s="344"/>
      <c r="Z33" s="343">
        <v>507894.46</v>
      </c>
      <c r="AA33" s="344"/>
      <c r="AB33" s="343">
        <v>507519.76</v>
      </c>
      <c r="AC33" s="344"/>
      <c r="AD33" s="343">
        <v>507392.85</v>
      </c>
      <c r="AE33" s="344"/>
      <c r="AF33" s="343">
        <v>507208.36</v>
      </c>
      <c r="AG33" s="344"/>
      <c r="AH33" s="343">
        <v>507007.29</v>
      </c>
      <c r="AI33" s="344"/>
      <c r="AJ33" s="343">
        <v>506899.46</v>
      </c>
      <c r="AK33" s="344"/>
      <c r="AL33" s="343">
        <v>506819.99</v>
      </c>
      <c r="AM33" s="344"/>
    </row>
    <row r="34" spans="1:39" ht="24" customHeight="1" x14ac:dyDescent="0.25">
      <c r="A34" s="38" t="s">
        <v>87</v>
      </c>
      <c r="B34" s="357">
        <v>4920544.1100000003</v>
      </c>
      <c r="C34" s="344"/>
      <c r="D34" s="343">
        <v>4920522.32</v>
      </c>
      <c r="E34" s="344"/>
      <c r="F34" s="343">
        <v>4920485.75</v>
      </c>
      <c r="G34" s="344"/>
      <c r="H34" s="343">
        <v>4920498.6100000003</v>
      </c>
      <c r="I34" s="344"/>
      <c r="J34" s="343">
        <v>4920512.6900000004</v>
      </c>
      <c r="K34" s="344"/>
      <c r="L34" s="343">
        <v>4920517.4400000004</v>
      </c>
      <c r="M34" s="344"/>
      <c r="N34" s="343">
        <v>4920535.9000000004</v>
      </c>
      <c r="O34" s="344"/>
      <c r="P34" s="343">
        <v>4920572.5599999996</v>
      </c>
      <c r="Q34" s="344"/>
      <c r="R34" s="343">
        <v>4920582.75</v>
      </c>
      <c r="S34" s="344"/>
      <c r="T34" s="343">
        <v>4920597.32</v>
      </c>
      <c r="U34" s="344"/>
      <c r="V34" s="343">
        <v>4920619.3499999996</v>
      </c>
      <c r="W34" s="344"/>
      <c r="X34" s="343">
        <v>4920661.8499999996</v>
      </c>
      <c r="Y34" s="344"/>
      <c r="Z34" s="343">
        <v>4920690.76</v>
      </c>
      <c r="AA34" s="344"/>
      <c r="AB34" s="343">
        <v>4920770.46</v>
      </c>
      <c r="AC34" s="344"/>
      <c r="AD34" s="343">
        <v>4920797.26</v>
      </c>
      <c r="AE34" s="344"/>
      <c r="AF34" s="343">
        <v>4920836.0199999996</v>
      </c>
      <c r="AG34" s="344"/>
      <c r="AH34" s="343">
        <v>4920879.22</v>
      </c>
      <c r="AI34" s="344"/>
      <c r="AJ34" s="343">
        <v>4920902.2</v>
      </c>
      <c r="AK34" s="344"/>
      <c r="AL34" s="343">
        <v>4920919</v>
      </c>
      <c r="AM34" s="344"/>
    </row>
    <row r="35" spans="1:39" ht="24" customHeight="1" x14ac:dyDescent="0.25">
      <c r="A35" s="38" t="s">
        <v>63</v>
      </c>
      <c r="B35" s="47"/>
      <c r="C35" s="311">
        <v>215.63</v>
      </c>
      <c r="D35" s="311"/>
      <c r="E35" s="311">
        <v>155.27000000000001</v>
      </c>
      <c r="F35" s="311"/>
      <c r="G35" s="311">
        <v>193.9</v>
      </c>
      <c r="H35" s="311"/>
      <c r="I35" s="311">
        <v>239.32</v>
      </c>
      <c r="J35" s="311"/>
      <c r="K35" s="311">
        <v>80.459999999999994</v>
      </c>
      <c r="L35" s="311"/>
      <c r="M35" s="311">
        <v>311.22000000000003</v>
      </c>
      <c r="N35" s="311"/>
      <c r="O35" s="311">
        <v>290.3</v>
      </c>
      <c r="P35" s="311"/>
      <c r="Q35" s="311">
        <v>80.02</v>
      </c>
      <c r="R35" s="311"/>
      <c r="S35" s="311">
        <v>118.13</v>
      </c>
      <c r="T35" s="311"/>
      <c r="U35" s="311">
        <v>173.37</v>
      </c>
      <c r="V35" s="311"/>
      <c r="W35" s="311">
        <v>204.32</v>
      </c>
      <c r="X35" s="311"/>
      <c r="Y35" s="311">
        <v>139.24</v>
      </c>
      <c r="Z35" s="311"/>
      <c r="AA35" s="311">
        <v>383.08</v>
      </c>
      <c r="AB35" s="311"/>
      <c r="AC35" s="311">
        <v>129.71</v>
      </c>
      <c r="AD35" s="311"/>
      <c r="AE35" s="311">
        <v>188.52</v>
      </c>
      <c r="AF35" s="311"/>
      <c r="AG35" s="311">
        <v>205.66</v>
      </c>
      <c r="AH35" s="311"/>
      <c r="AI35" s="311">
        <v>110.25</v>
      </c>
      <c r="AJ35" s="311"/>
      <c r="AK35" s="311">
        <v>81.23</v>
      </c>
      <c r="AL35" s="311"/>
      <c r="AM35" s="35"/>
    </row>
    <row r="36" spans="1:39" ht="24" customHeight="1" x14ac:dyDescent="0.25">
      <c r="A36" s="38" t="s">
        <v>493</v>
      </c>
      <c r="B36" s="47"/>
      <c r="C36" s="318">
        <f>TESATURA_NORMALIZADA!G48</f>
        <v>381</v>
      </c>
      <c r="D36" s="319"/>
      <c r="E36" s="318">
        <f>TESATURA_NORMALIZADA!G49</f>
        <v>462</v>
      </c>
      <c r="F36" s="319"/>
      <c r="G36" s="318">
        <f>TESATURA_NORMALIZADA!G50</f>
        <v>332</v>
      </c>
      <c r="H36" s="319"/>
      <c r="I36" s="318">
        <f>TESATURA_NORMALIZADA!G51</f>
        <v>450</v>
      </c>
      <c r="J36" s="319"/>
      <c r="K36" s="318">
        <f>TESATURA_NORMALIZADA!G52</f>
        <v>1013</v>
      </c>
      <c r="L36" s="319"/>
      <c r="M36" s="318">
        <f>TESATURA_NORMALIZADA!G53</f>
        <v>423</v>
      </c>
      <c r="N36" s="319"/>
      <c r="O36" s="318">
        <f>TESATURA_NORMALIZADA!G54</f>
        <v>400</v>
      </c>
      <c r="P36" s="319"/>
      <c r="Q36" s="318">
        <f>TESATURA_NORMALIZADA!G55</f>
        <v>2390</v>
      </c>
      <c r="R36" s="319"/>
      <c r="S36" s="318">
        <f>TESATURA_NORMALIZADA!G56</f>
        <v>429</v>
      </c>
      <c r="T36" s="319"/>
      <c r="U36" s="318">
        <f>TESATURA_NORMALIZADA!G57</f>
        <v>460</v>
      </c>
      <c r="V36" s="319"/>
      <c r="W36" s="318">
        <f>TESATURA_NORMALIZADA!G58</f>
        <v>410</v>
      </c>
      <c r="X36" s="319"/>
      <c r="Y36" s="318">
        <f>TESATURA_NORMALIZADA!G59</f>
        <v>388</v>
      </c>
      <c r="Z36" s="319"/>
      <c r="AA36" s="318">
        <f>TESATURA_NORMALIZADA!G60</f>
        <v>409</v>
      </c>
      <c r="AB36" s="319"/>
      <c r="AC36" s="318">
        <f>TESATURA_NORMALIZADA!G61</f>
        <v>617</v>
      </c>
      <c r="AD36" s="319"/>
      <c r="AE36" s="318">
        <f>TESATURA_NORMALIZADA!G62</f>
        <v>444</v>
      </c>
      <c r="AF36" s="319"/>
      <c r="AG36" s="318">
        <f>TESATURA_NORMALIZADA!G63</f>
        <v>467</v>
      </c>
      <c r="AH36" s="319"/>
      <c r="AI36" s="318">
        <f>TESATURA_NORMALIZADA!G64</f>
        <v>509</v>
      </c>
      <c r="AJ36" s="319"/>
      <c r="AK36" s="303" t="s">
        <v>496</v>
      </c>
      <c r="AL36" s="304"/>
      <c r="AM36" s="35"/>
    </row>
    <row r="37" spans="1:39" ht="24" customHeight="1" x14ac:dyDescent="0.25">
      <c r="A37" s="38" t="s">
        <v>65</v>
      </c>
      <c r="B37" s="358">
        <v>0</v>
      </c>
      <c r="C37" s="313"/>
      <c r="D37" s="312">
        <v>215.63</v>
      </c>
      <c r="E37" s="313"/>
      <c r="F37" s="312">
        <v>370.9</v>
      </c>
      <c r="G37" s="313"/>
      <c r="H37" s="312">
        <v>564.79999999999995</v>
      </c>
      <c r="I37" s="313"/>
      <c r="J37" s="312">
        <v>804.12</v>
      </c>
      <c r="K37" s="313"/>
      <c r="L37" s="312">
        <v>884.58</v>
      </c>
      <c r="M37" s="313"/>
      <c r="N37" s="312">
        <v>1195.8</v>
      </c>
      <c r="O37" s="313"/>
      <c r="P37" s="312">
        <v>1486.11</v>
      </c>
      <c r="Q37" s="313"/>
      <c r="R37" s="312">
        <v>1566.13</v>
      </c>
      <c r="S37" s="313"/>
      <c r="T37" s="312">
        <v>1684.26</v>
      </c>
      <c r="U37" s="313"/>
      <c r="V37" s="312">
        <v>1857.62</v>
      </c>
      <c r="W37" s="313"/>
      <c r="X37" s="312">
        <v>2061.94</v>
      </c>
      <c r="Y37" s="313"/>
      <c r="Z37" s="312">
        <v>2201.19</v>
      </c>
      <c r="AA37" s="313"/>
      <c r="AB37" s="312">
        <v>2584.27</v>
      </c>
      <c r="AC37" s="313"/>
      <c r="AD37" s="312">
        <v>2713.98</v>
      </c>
      <c r="AE37" s="313"/>
      <c r="AF37" s="312">
        <v>2902.5</v>
      </c>
      <c r="AG37" s="313"/>
      <c r="AH37" s="312">
        <v>3108.16</v>
      </c>
      <c r="AI37" s="313"/>
      <c r="AJ37" s="312">
        <v>3218.41</v>
      </c>
      <c r="AK37" s="313"/>
      <c r="AL37" s="312">
        <v>3299.63</v>
      </c>
      <c r="AM37" s="313"/>
    </row>
    <row r="38" spans="1:39" ht="24" customHeight="1" x14ac:dyDescent="0.25">
      <c r="A38" s="38" t="s">
        <v>509</v>
      </c>
      <c r="B38" s="315">
        <f>SUM(C35:AK35)</f>
        <v>3299.63</v>
      </c>
      <c r="C38" s="316"/>
      <c r="D38" s="316"/>
      <c r="E38" s="316"/>
      <c r="F38" s="316"/>
      <c r="G38" s="316"/>
      <c r="H38" s="316"/>
      <c r="I38" s="316"/>
      <c r="J38" s="316"/>
      <c r="K38" s="316"/>
      <c r="L38" s="316"/>
      <c r="M38" s="316"/>
      <c r="N38" s="316"/>
      <c r="O38" s="316"/>
      <c r="P38" s="316"/>
      <c r="Q38" s="316"/>
      <c r="R38" s="316"/>
      <c r="S38" s="316"/>
      <c r="T38" s="316"/>
      <c r="U38" s="316"/>
      <c r="V38" s="316"/>
      <c r="W38" s="316"/>
      <c r="X38" s="316"/>
      <c r="Y38" s="316"/>
      <c r="Z38" s="316"/>
      <c r="AA38" s="316"/>
      <c r="AB38" s="316"/>
      <c r="AC38" s="316"/>
      <c r="AD38" s="316"/>
      <c r="AE38" s="316"/>
      <c r="AF38" s="316"/>
      <c r="AG38" s="316"/>
      <c r="AH38" s="316"/>
      <c r="AI38" s="316"/>
      <c r="AJ38" s="316"/>
      <c r="AK38" s="316"/>
      <c r="AL38" s="316"/>
      <c r="AM38" s="49"/>
    </row>
    <row r="39" spans="1:39" ht="24" customHeight="1" x14ac:dyDescent="0.25">
      <c r="A39" s="385" t="s">
        <v>494</v>
      </c>
      <c r="B39" s="333"/>
      <c r="C39" s="333"/>
      <c r="D39" s="333"/>
      <c r="E39" s="333"/>
      <c r="F39" s="333"/>
      <c r="G39" s="333"/>
      <c r="H39" s="333"/>
      <c r="I39" s="333"/>
      <c r="J39" s="333"/>
      <c r="K39" s="333"/>
      <c r="L39" s="333"/>
      <c r="M39" s="333"/>
      <c r="N39" s="333"/>
      <c r="O39" s="333"/>
      <c r="P39" s="333"/>
      <c r="Q39" s="333"/>
      <c r="R39" s="333"/>
      <c r="S39" s="333"/>
      <c r="T39" s="333"/>
      <c r="U39" s="333"/>
      <c r="V39" s="333"/>
      <c r="W39" s="333"/>
      <c r="X39" s="333"/>
      <c r="Y39" s="333"/>
      <c r="Z39" s="333"/>
      <c r="AA39" s="333"/>
      <c r="AB39" s="333"/>
      <c r="AC39" s="333"/>
      <c r="AD39" s="333"/>
      <c r="AE39" s="333"/>
      <c r="AF39" s="333"/>
      <c r="AG39" s="333"/>
      <c r="AH39" s="333"/>
      <c r="AI39" s="333"/>
      <c r="AJ39" s="333"/>
      <c r="AK39" s="333"/>
      <c r="AL39" s="333"/>
      <c r="AM39" s="333"/>
    </row>
    <row r="40" spans="1:39" ht="24" customHeight="1" x14ac:dyDescent="0.25">
      <c r="A40" s="295" t="s">
        <v>495</v>
      </c>
      <c r="B40" s="330" t="s">
        <v>496</v>
      </c>
      <c r="C40" s="330"/>
      <c r="D40" s="330"/>
      <c r="E40" s="330"/>
      <c r="F40" s="330"/>
      <c r="G40" s="330"/>
      <c r="H40" s="330"/>
      <c r="I40" s="330"/>
      <c r="J40" s="330"/>
      <c r="K40" s="330"/>
      <c r="L40" s="330"/>
      <c r="M40" s="330"/>
      <c r="N40" s="330"/>
      <c r="O40" s="330"/>
      <c r="P40" s="330"/>
      <c r="Q40" s="330"/>
      <c r="R40" s="330"/>
      <c r="S40" s="330"/>
      <c r="T40" s="330"/>
      <c r="U40" s="330"/>
      <c r="V40" s="330"/>
      <c r="W40" s="330"/>
      <c r="X40" s="330"/>
      <c r="Y40" s="330"/>
      <c r="Z40" s="330"/>
      <c r="AA40" s="330"/>
      <c r="AB40" s="330"/>
      <c r="AC40" s="330"/>
      <c r="AD40" s="330"/>
      <c r="AE40" s="330"/>
      <c r="AF40" s="330"/>
      <c r="AG40" s="330"/>
      <c r="AH40" s="330"/>
      <c r="AI40" s="330"/>
      <c r="AJ40" s="330"/>
      <c r="AK40" s="330"/>
      <c r="AL40" s="330"/>
      <c r="AM40" s="330"/>
    </row>
    <row r="41" spans="1:39" ht="24" customHeight="1" x14ac:dyDescent="0.25">
      <c r="A41" s="295" t="s">
        <v>497</v>
      </c>
      <c r="B41" s="330" t="s">
        <v>496</v>
      </c>
      <c r="C41" s="330"/>
      <c r="D41" s="330"/>
      <c r="E41" s="330"/>
      <c r="F41" s="330"/>
      <c r="G41" s="330"/>
      <c r="H41" s="330"/>
      <c r="I41" s="330"/>
      <c r="J41" s="330"/>
      <c r="K41" s="330"/>
      <c r="L41" s="330"/>
      <c r="M41" s="330"/>
      <c r="N41" s="330"/>
      <c r="O41" s="330"/>
      <c r="P41" s="330"/>
      <c r="Q41" s="330"/>
      <c r="R41" s="330"/>
      <c r="S41" s="330"/>
      <c r="T41" s="330"/>
      <c r="U41" s="330"/>
      <c r="V41" s="330"/>
      <c r="W41" s="330"/>
      <c r="X41" s="330"/>
      <c r="Y41" s="330"/>
      <c r="Z41" s="330"/>
      <c r="AA41" s="330"/>
      <c r="AB41" s="330"/>
      <c r="AC41" s="330"/>
      <c r="AD41" s="330"/>
      <c r="AE41" s="330"/>
      <c r="AF41" s="330"/>
      <c r="AG41" s="330"/>
      <c r="AH41" s="330"/>
      <c r="AI41" s="330"/>
      <c r="AJ41" s="330"/>
      <c r="AK41" s="330"/>
      <c r="AL41" s="330"/>
      <c r="AM41" s="330"/>
    </row>
    <row r="42" spans="1:39" ht="24" customHeight="1" x14ac:dyDescent="0.25">
      <c r="A42" s="295" t="s">
        <v>498</v>
      </c>
      <c r="B42" s="331" t="s">
        <v>88</v>
      </c>
      <c r="C42" s="331"/>
      <c r="D42" s="331"/>
      <c r="E42" s="331"/>
      <c r="F42" s="331"/>
      <c r="G42" s="331"/>
      <c r="H42" s="331"/>
      <c r="I42" s="331"/>
      <c r="J42" s="331"/>
      <c r="K42" s="331"/>
      <c r="L42" s="331"/>
      <c r="M42" s="331"/>
      <c r="N42" s="331"/>
      <c r="O42" s="331"/>
      <c r="P42" s="331"/>
      <c r="Q42" s="331"/>
      <c r="R42" s="331"/>
      <c r="S42" s="331"/>
      <c r="T42" s="331"/>
      <c r="U42" s="331"/>
      <c r="V42" s="331"/>
      <c r="W42" s="331"/>
      <c r="X42" s="331"/>
      <c r="Y42" s="331"/>
      <c r="Z42" s="331"/>
      <c r="AA42" s="331"/>
      <c r="AB42" s="331"/>
      <c r="AC42" s="331"/>
      <c r="AD42" s="331"/>
      <c r="AE42" s="331"/>
      <c r="AF42" s="331"/>
      <c r="AG42" s="331"/>
      <c r="AH42" s="331"/>
      <c r="AI42" s="331"/>
      <c r="AJ42" s="331"/>
      <c r="AK42" s="331"/>
      <c r="AL42" s="331"/>
      <c r="AM42" s="331"/>
    </row>
    <row r="43" spans="1:39" ht="24" customHeight="1" x14ac:dyDescent="0.25">
      <c r="A43" s="295" t="s">
        <v>499</v>
      </c>
      <c r="B43" s="331" t="s">
        <v>145</v>
      </c>
      <c r="C43" s="331"/>
      <c r="D43" s="331"/>
      <c r="E43" s="331"/>
      <c r="F43" s="331"/>
      <c r="G43" s="331"/>
      <c r="H43" s="331"/>
      <c r="I43" s="331"/>
      <c r="J43" s="331"/>
      <c r="K43" s="331"/>
      <c r="L43" s="331"/>
      <c r="M43" s="331"/>
      <c r="N43" s="331"/>
      <c r="O43" s="331"/>
      <c r="P43" s="331"/>
      <c r="Q43" s="331"/>
      <c r="R43" s="331"/>
      <c r="S43" s="331"/>
      <c r="T43" s="331"/>
      <c r="U43" s="331"/>
      <c r="V43" s="331"/>
      <c r="W43" s="331"/>
      <c r="X43" s="331"/>
      <c r="Y43" s="331"/>
      <c r="Z43" s="331"/>
      <c r="AA43" s="331"/>
      <c r="AB43" s="331"/>
      <c r="AC43" s="331"/>
      <c r="AD43" s="331"/>
      <c r="AE43" s="331"/>
      <c r="AF43" s="331"/>
      <c r="AG43" s="331"/>
      <c r="AH43" s="331"/>
      <c r="AI43" s="331"/>
      <c r="AJ43" s="331"/>
      <c r="AK43" s="331"/>
      <c r="AL43" s="331"/>
      <c r="AM43" s="331"/>
    </row>
    <row r="44" spans="1:39" ht="24" customHeight="1" x14ac:dyDescent="0.25">
      <c r="A44" s="295" t="s">
        <v>500</v>
      </c>
      <c r="B44" s="331" t="s">
        <v>496</v>
      </c>
      <c r="C44" s="331"/>
      <c r="D44" s="331"/>
      <c r="E44" s="331"/>
      <c r="F44" s="331"/>
      <c r="G44" s="331"/>
      <c r="H44" s="331"/>
      <c r="I44" s="331"/>
      <c r="J44" s="331"/>
      <c r="K44" s="331"/>
      <c r="L44" s="331"/>
      <c r="M44" s="331"/>
      <c r="N44" s="331"/>
      <c r="O44" s="331"/>
      <c r="P44" s="331"/>
      <c r="Q44" s="331"/>
      <c r="R44" s="331"/>
      <c r="S44" s="331"/>
      <c r="T44" s="331"/>
      <c r="U44" s="331"/>
      <c r="V44" s="331"/>
      <c r="W44" s="331"/>
      <c r="X44" s="331"/>
      <c r="Y44" s="331"/>
      <c r="Z44" s="331"/>
      <c r="AA44" s="331"/>
      <c r="AB44" s="331"/>
      <c r="AC44" s="331"/>
      <c r="AD44" s="331"/>
      <c r="AE44" s="331"/>
      <c r="AF44" s="331"/>
      <c r="AG44" s="331"/>
      <c r="AH44" s="331"/>
      <c r="AI44" s="331"/>
      <c r="AJ44" s="331"/>
      <c r="AK44" s="331"/>
      <c r="AL44" s="331"/>
      <c r="AM44" s="331"/>
    </row>
    <row r="45" spans="1:39" ht="24" customHeight="1" x14ac:dyDescent="0.25">
      <c r="A45" s="295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</row>
    <row r="46" spans="1:39" ht="24" customHeight="1" x14ac:dyDescent="0.25">
      <c r="A46" s="333" t="s">
        <v>501</v>
      </c>
      <c r="B46" s="333"/>
      <c r="C46" s="333"/>
      <c r="D46" s="333"/>
      <c r="E46" s="333"/>
      <c r="F46" s="333"/>
      <c r="G46" s="333"/>
      <c r="H46" s="333"/>
      <c r="I46" s="333"/>
      <c r="J46" s="333"/>
      <c r="K46" s="333"/>
      <c r="L46" s="333"/>
      <c r="M46" s="333"/>
      <c r="N46" s="333"/>
      <c r="O46" s="333"/>
      <c r="P46" s="333"/>
      <c r="Q46" s="333"/>
      <c r="R46" s="333"/>
      <c r="S46" s="333"/>
      <c r="T46" s="333"/>
      <c r="U46" s="333"/>
      <c r="V46" s="333"/>
      <c r="W46" s="333"/>
      <c r="X46" s="333"/>
      <c r="Y46" s="333"/>
      <c r="Z46" s="333"/>
      <c r="AA46" s="333"/>
      <c r="AB46" s="333"/>
      <c r="AC46" s="333"/>
      <c r="AD46" s="333"/>
      <c r="AE46" s="333"/>
      <c r="AF46" s="333"/>
      <c r="AG46" s="333"/>
      <c r="AH46" s="333"/>
      <c r="AI46" s="333"/>
      <c r="AJ46" s="333"/>
      <c r="AK46" s="333"/>
      <c r="AL46" s="333"/>
      <c r="AM46" s="333"/>
    </row>
    <row r="47" spans="1:39" ht="60" customHeight="1" x14ac:dyDescent="0.25">
      <c r="A47" s="296" t="s">
        <v>502</v>
      </c>
      <c r="B47" s="332" t="s">
        <v>508</v>
      </c>
      <c r="C47" s="332"/>
      <c r="D47" s="332" t="s">
        <v>508</v>
      </c>
      <c r="E47" s="332"/>
      <c r="F47" s="332" t="s">
        <v>508</v>
      </c>
      <c r="G47" s="332"/>
      <c r="H47" s="332" t="s">
        <v>508</v>
      </c>
      <c r="I47" s="332"/>
      <c r="J47" s="332" t="s">
        <v>508</v>
      </c>
      <c r="K47" s="332"/>
      <c r="L47" s="332" t="s">
        <v>508</v>
      </c>
      <c r="M47" s="332"/>
      <c r="N47" s="332" t="s">
        <v>508</v>
      </c>
      <c r="O47" s="332"/>
      <c r="P47" s="332" t="s">
        <v>508</v>
      </c>
      <c r="Q47" s="332"/>
      <c r="R47" s="332" t="s">
        <v>508</v>
      </c>
      <c r="S47" s="332"/>
      <c r="T47" s="332" t="s">
        <v>508</v>
      </c>
      <c r="U47" s="332"/>
      <c r="V47" s="332" t="s">
        <v>508</v>
      </c>
      <c r="W47" s="332"/>
      <c r="X47" s="332" t="s">
        <v>508</v>
      </c>
      <c r="Y47" s="332"/>
      <c r="Z47" s="332" t="s">
        <v>508</v>
      </c>
      <c r="AA47" s="332"/>
      <c r="AB47" s="332" t="s">
        <v>508</v>
      </c>
      <c r="AC47" s="332"/>
      <c r="AD47" s="332" t="s">
        <v>508</v>
      </c>
      <c r="AE47" s="332"/>
      <c r="AF47" s="332" t="s">
        <v>508</v>
      </c>
      <c r="AG47" s="332"/>
      <c r="AH47" s="332" t="s">
        <v>508</v>
      </c>
      <c r="AI47" s="332"/>
      <c r="AJ47" s="332" t="s">
        <v>508</v>
      </c>
      <c r="AK47" s="332"/>
      <c r="AL47" s="332" t="s">
        <v>508</v>
      </c>
      <c r="AM47" s="332"/>
    </row>
    <row r="48" spans="1:39" ht="24" customHeight="1" x14ac:dyDescent="0.25">
      <c r="A48" s="296" t="s">
        <v>503</v>
      </c>
      <c r="B48" s="329"/>
      <c r="C48" s="329"/>
      <c r="D48" s="329"/>
      <c r="E48" s="329"/>
      <c r="F48" s="329"/>
      <c r="G48" s="329"/>
      <c r="H48" s="329"/>
      <c r="I48" s="329"/>
      <c r="J48" s="329"/>
      <c r="K48" s="329"/>
      <c r="L48" s="329"/>
      <c r="M48" s="329"/>
      <c r="N48" s="329"/>
      <c r="O48" s="329"/>
      <c r="P48" s="329"/>
      <c r="Q48" s="329"/>
      <c r="R48" s="329"/>
      <c r="S48" s="329"/>
      <c r="T48" s="329"/>
      <c r="U48" s="329"/>
      <c r="V48" s="329"/>
      <c r="W48" s="329"/>
      <c r="X48" s="329"/>
      <c r="Y48" s="329"/>
      <c r="Z48" s="329"/>
      <c r="AA48" s="329"/>
      <c r="AB48" s="329"/>
      <c r="AC48" s="329"/>
      <c r="AD48" s="329"/>
      <c r="AE48" s="329"/>
      <c r="AF48" s="329"/>
      <c r="AG48" s="329"/>
      <c r="AH48" s="329"/>
      <c r="AI48" s="329"/>
      <c r="AJ48" s="329"/>
      <c r="AK48" s="329"/>
      <c r="AL48" s="329"/>
      <c r="AM48" s="329"/>
    </row>
    <row r="49" spans="1:39" ht="24" customHeight="1" x14ac:dyDescent="0.25">
      <c r="A49" s="296" t="s">
        <v>504</v>
      </c>
      <c r="B49" s="329"/>
      <c r="C49" s="329"/>
      <c r="D49" s="329"/>
      <c r="E49" s="329"/>
      <c r="F49" s="329"/>
      <c r="G49" s="329"/>
      <c r="H49" s="329"/>
      <c r="I49" s="329"/>
      <c r="J49" s="329"/>
      <c r="K49" s="329"/>
      <c r="L49" s="329"/>
      <c r="M49" s="329"/>
      <c r="N49" s="329"/>
      <c r="O49" s="329"/>
      <c r="P49" s="329"/>
      <c r="Q49" s="329"/>
      <c r="R49" s="329"/>
      <c r="S49" s="329"/>
      <c r="T49" s="329"/>
      <c r="U49" s="329"/>
      <c r="V49" s="329"/>
      <c r="W49" s="329"/>
      <c r="X49" s="329"/>
      <c r="Y49" s="329"/>
      <c r="Z49" s="329"/>
      <c r="AA49" s="329"/>
      <c r="AB49" s="329"/>
      <c r="AC49" s="329"/>
      <c r="AD49" s="329"/>
      <c r="AE49" s="329"/>
      <c r="AF49" s="329"/>
      <c r="AG49" s="329"/>
      <c r="AH49" s="329"/>
      <c r="AI49" s="329"/>
      <c r="AJ49" s="329"/>
      <c r="AK49" s="329"/>
      <c r="AL49" s="329"/>
      <c r="AM49" s="329"/>
    </row>
    <row r="50" spans="1:39" ht="24" customHeight="1" x14ac:dyDescent="0.25">
      <c r="A50" s="296" t="s">
        <v>505</v>
      </c>
      <c r="B50" s="329"/>
      <c r="C50" s="329"/>
      <c r="D50" s="329"/>
      <c r="E50" s="329"/>
      <c r="F50" s="329"/>
      <c r="G50" s="329"/>
      <c r="H50" s="329"/>
      <c r="I50" s="329"/>
      <c r="J50" s="329"/>
      <c r="K50" s="329"/>
      <c r="L50" s="329"/>
      <c r="M50" s="329"/>
      <c r="N50" s="329"/>
      <c r="O50" s="329"/>
      <c r="P50" s="329"/>
      <c r="Q50" s="329"/>
      <c r="R50" s="329"/>
      <c r="S50" s="329"/>
      <c r="T50" s="329"/>
      <c r="U50" s="329"/>
      <c r="V50" s="329"/>
      <c r="W50" s="329"/>
      <c r="X50" s="329"/>
      <c r="Y50" s="329"/>
      <c r="Z50" s="329"/>
      <c r="AA50" s="329"/>
      <c r="AB50" s="329"/>
      <c r="AC50" s="329"/>
      <c r="AD50" s="329"/>
      <c r="AE50" s="329"/>
      <c r="AF50" s="329"/>
      <c r="AG50" s="329"/>
      <c r="AH50" s="329"/>
      <c r="AI50" s="329"/>
      <c r="AJ50" s="329"/>
      <c r="AK50" s="329"/>
      <c r="AL50" s="329"/>
      <c r="AM50" s="329"/>
    </row>
    <row r="51" spans="1:39" ht="24" customHeight="1" x14ac:dyDescent="0.25">
      <c r="A51" s="296" t="s">
        <v>506</v>
      </c>
      <c r="B51" s="329"/>
      <c r="C51" s="329"/>
      <c r="D51" s="329"/>
      <c r="E51" s="329"/>
      <c r="F51" s="329"/>
      <c r="G51" s="329"/>
      <c r="H51" s="329"/>
      <c r="I51" s="329"/>
      <c r="J51" s="329"/>
      <c r="K51" s="329"/>
      <c r="L51" s="329"/>
      <c r="M51" s="329"/>
      <c r="N51" s="329"/>
      <c r="O51" s="329"/>
      <c r="P51" s="329"/>
      <c r="Q51" s="329"/>
      <c r="R51" s="329"/>
      <c r="S51" s="329"/>
      <c r="T51" s="329"/>
      <c r="U51" s="329"/>
      <c r="V51" s="329"/>
      <c r="W51" s="329"/>
      <c r="X51" s="329"/>
      <c r="Y51" s="329"/>
      <c r="Z51" s="329"/>
      <c r="AA51" s="329"/>
      <c r="AB51" s="329"/>
      <c r="AC51" s="329"/>
      <c r="AD51" s="329"/>
      <c r="AE51" s="329"/>
      <c r="AF51" s="329"/>
      <c r="AG51" s="329"/>
      <c r="AH51" s="329"/>
      <c r="AI51" s="329"/>
      <c r="AJ51" s="329"/>
      <c r="AK51" s="329"/>
      <c r="AL51" s="329"/>
      <c r="AM51" s="329"/>
    </row>
    <row r="52" spans="1:39" ht="24" customHeight="1" x14ac:dyDescent="0.25">
      <c r="A52" s="333" t="s">
        <v>507</v>
      </c>
      <c r="B52" s="333"/>
      <c r="C52" s="333"/>
      <c r="D52" s="333"/>
      <c r="E52" s="333"/>
      <c r="F52" s="333"/>
      <c r="G52" s="333"/>
      <c r="H52" s="333"/>
      <c r="I52" s="333"/>
      <c r="J52" s="333"/>
      <c r="K52" s="333"/>
      <c r="L52" s="333"/>
      <c r="M52" s="333"/>
      <c r="N52" s="333"/>
      <c r="O52" s="333"/>
      <c r="P52" s="333"/>
      <c r="Q52" s="333"/>
      <c r="R52" s="333"/>
      <c r="S52" s="333"/>
      <c r="T52" s="333"/>
      <c r="U52" s="333"/>
      <c r="V52" s="333"/>
      <c r="W52" s="333"/>
      <c r="X52" s="333"/>
      <c r="Y52" s="333"/>
      <c r="Z52" s="333"/>
      <c r="AA52" s="333"/>
      <c r="AB52" s="333"/>
      <c r="AC52" s="333"/>
      <c r="AD52" s="333"/>
      <c r="AE52" s="333"/>
      <c r="AF52" s="333"/>
      <c r="AG52" s="333"/>
      <c r="AH52" s="333"/>
      <c r="AI52" s="333"/>
      <c r="AJ52" s="333"/>
      <c r="AK52" s="333"/>
      <c r="AL52" s="333"/>
      <c r="AM52" s="333"/>
    </row>
    <row r="53" spans="1:39" s="31" customFormat="1" ht="48" customHeight="1" x14ac:dyDescent="0.25">
      <c r="A53" s="297" t="s">
        <v>502</v>
      </c>
      <c r="B53" s="332" t="s">
        <v>508</v>
      </c>
      <c r="C53" s="332"/>
      <c r="D53" s="332" t="s">
        <v>508</v>
      </c>
      <c r="E53" s="332"/>
      <c r="F53" s="332" t="s">
        <v>508</v>
      </c>
      <c r="G53" s="332"/>
      <c r="H53" s="332" t="s">
        <v>508</v>
      </c>
      <c r="I53" s="332"/>
      <c r="J53" s="332" t="s">
        <v>508</v>
      </c>
      <c r="K53" s="332"/>
      <c r="L53" s="332" t="s">
        <v>508</v>
      </c>
      <c r="M53" s="332"/>
      <c r="N53" s="332" t="s">
        <v>508</v>
      </c>
      <c r="O53" s="332"/>
      <c r="P53" s="332" t="s">
        <v>508</v>
      </c>
      <c r="Q53" s="332"/>
      <c r="R53" s="332" t="s">
        <v>508</v>
      </c>
      <c r="S53" s="332"/>
      <c r="T53" s="332" t="s">
        <v>508</v>
      </c>
      <c r="U53" s="332"/>
      <c r="V53" s="332" t="s">
        <v>508</v>
      </c>
      <c r="W53" s="332"/>
      <c r="X53" s="332" t="s">
        <v>508</v>
      </c>
      <c r="Y53" s="332"/>
      <c r="Z53" s="332" t="s">
        <v>508</v>
      </c>
      <c r="AA53" s="332"/>
      <c r="AB53" s="332" t="s">
        <v>508</v>
      </c>
      <c r="AC53" s="332"/>
      <c r="AD53" s="332" t="s">
        <v>508</v>
      </c>
      <c r="AE53" s="332"/>
      <c r="AF53" s="332" t="s">
        <v>508</v>
      </c>
      <c r="AG53" s="332"/>
      <c r="AH53" s="332" t="s">
        <v>508</v>
      </c>
      <c r="AI53" s="332"/>
      <c r="AJ53" s="332" t="s">
        <v>508</v>
      </c>
      <c r="AK53" s="332"/>
      <c r="AL53" s="332" t="s">
        <v>508</v>
      </c>
      <c r="AM53" s="332"/>
    </row>
    <row r="54" spans="1:39" ht="24" customHeight="1" x14ac:dyDescent="0.25">
      <c r="A54" s="298" t="s">
        <v>503</v>
      </c>
      <c r="B54" s="329"/>
      <c r="C54" s="329"/>
      <c r="D54" s="329"/>
      <c r="E54" s="329"/>
      <c r="F54" s="329"/>
      <c r="G54" s="329"/>
      <c r="H54" s="329"/>
      <c r="I54" s="329"/>
      <c r="J54" s="329"/>
      <c r="K54" s="329"/>
      <c r="L54" s="329"/>
      <c r="M54" s="329"/>
      <c r="N54" s="329"/>
      <c r="O54" s="329"/>
      <c r="P54" s="329"/>
      <c r="Q54" s="329"/>
      <c r="R54" s="329"/>
      <c r="S54" s="329"/>
      <c r="T54" s="329"/>
      <c r="U54" s="329"/>
      <c r="V54" s="329"/>
      <c r="W54" s="329"/>
      <c r="X54" s="329"/>
      <c r="Y54" s="329"/>
      <c r="Z54" s="329"/>
      <c r="AA54" s="329"/>
      <c r="AB54" s="329"/>
      <c r="AC54" s="329"/>
      <c r="AD54" s="329"/>
      <c r="AE54" s="329"/>
      <c r="AF54" s="329"/>
      <c r="AG54" s="329"/>
      <c r="AH54" s="329"/>
      <c r="AI54" s="329"/>
      <c r="AJ54" s="329"/>
      <c r="AK54" s="329"/>
      <c r="AL54" s="329"/>
      <c r="AM54" s="329"/>
    </row>
    <row r="55" spans="1:39" ht="24" customHeight="1" x14ac:dyDescent="0.25">
      <c r="A55" s="298" t="s">
        <v>504</v>
      </c>
      <c r="B55" s="329"/>
      <c r="C55" s="329"/>
      <c r="D55" s="329"/>
      <c r="E55" s="329"/>
      <c r="F55" s="329"/>
      <c r="G55" s="329"/>
      <c r="H55" s="329"/>
      <c r="I55" s="329"/>
      <c r="J55" s="329"/>
      <c r="K55" s="329"/>
      <c r="L55" s="329"/>
      <c r="M55" s="329"/>
      <c r="N55" s="329"/>
      <c r="O55" s="329"/>
      <c r="P55" s="329"/>
      <c r="Q55" s="329"/>
      <c r="R55" s="329"/>
      <c r="S55" s="329"/>
      <c r="T55" s="329"/>
      <c r="U55" s="329"/>
      <c r="V55" s="329"/>
      <c r="W55" s="329"/>
      <c r="X55" s="329"/>
      <c r="Y55" s="329"/>
      <c r="Z55" s="329"/>
      <c r="AA55" s="329"/>
      <c r="AB55" s="329"/>
      <c r="AC55" s="329"/>
      <c r="AD55" s="329"/>
      <c r="AE55" s="329"/>
      <c r="AF55" s="329"/>
      <c r="AG55" s="329"/>
      <c r="AH55" s="329"/>
      <c r="AI55" s="329"/>
      <c r="AJ55" s="329"/>
      <c r="AK55" s="329"/>
      <c r="AL55" s="329"/>
      <c r="AM55" s="329"/>
    </row>
    <row r="56" spans="1:39" ht="24" customHeight="1" x14ac:dyDescent="0.25">
      <c r="A56" s="298" t="s">
        <v>505</v>
      </c>
      <c r="B56" s="329"/>
      <c r="C56" s="329"/>
      <c r="D56" s="329"/>
      <c r="E56" s="329"/>
      <c r="F56" s="329"/>
      <c r="G56" s="329"/>
      <c r="H56" s="329"/>
      <c r="I56" s="329"/>
      <c r="J56" s="329"/>
      <c r="K56" s="329"/>
      <c r="L56" s="329"/>
      <c r="M56" s="329"/>
      <c r="N56" s="329"/>
      <c r="O56" s="329"/>
      <c r="P56" s="329"/>
      <c r="Q56" s="329"/>
      <c r="R56" s="329"/>
      <c r="S56" s="329"/>
      <c r="T56" s="329"/>
      <c r="U56" s="329"/>
      <c r="V56" s="329"/>
      <c r="W56" s="329"/>
      <c r="X56" s="329"/>
      <c r="Y56" s="329"/>
      <c r="Z56" s="329"/>
      <c r="AA56" s="329"/>
      <c r="AB56" s="329"/>
      <c r="AC56" s="329"/>
      <c r="AD56" s="329"/>
      <c r="AE56" s="329"/>
      <c r="AF56" s="329"/>
      <c r="AG56" s="329"/>
      <c r="AH56" s="329"/>
      <c r="AI56" s="329"/>
      <c r="AJ56" s="329"/>
      <c r="AK56" s="329"/>
      <c r="AL56" s="329"/>
      <c r="AM56" s="329"/>
    </row>
    <row r="57" spans="1:39" ht="24" customHeight="1" x14ac:dyDescent="0.25">
      <c r="A57" s="298" t="s">
        <v>506</v>
      </c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9"/>
      <c r="V57" s="329"/>
      <c r="W57" s="329"/>
      <c r="X57" s="329"/>
      <c r="Y57" s="329"/>
      <c r="Z57" s="329"/>
      <c r="AA57" s="329"/>
      <c r="AB57" s="329"/>
      <c r="AC57" s="329"/>
      <c r="AD57" s="329"/>
      <c r="AE57" s="329"/>
      <c r="AF57" s="329"/>
      <c r="AG57" s="329"/>
      <c r="AH57" s="329"/>
      <c r="AI57" s="329"/>
      <c r="AJ57" s="329"/>
      <c r="AK57" s="329"/>
      <c r="AL57" s="329"/>
      <c r="AM57" s="329"/>
    </row>
    <row r="58" spans="1:39" x14ac:dyDescent="0.25">
      <c r="A58" s="36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</row>
  </sheetData>
  <mergeCells count="399">
    <mergeCell ref="AJ8:AK8"/>
    <mergeCell ref="AL8:AM8"/>
    <mergeCell ref="AJ7:AK7"/>
    <mergeCell ref="AL7:AM7"/>
    <mergeCell ref="AI36:AJ36"/>
    <mergeCell ref="AK36:AL36"/>
    <mergeCell ref="A1:AL1"/>
    <mergeCell ref="V4:AD4"/>
    <mergeCell ref="D2:R2"/>
    <mergeCell ref="A5:T5"/>
    <mergeCell ref="L4:T4"/>
    <mergeCell ref="AF4:AL4"/>
    <mergeCell ref="A10:AL10"/>
    <mergeCell ref="T2:AL2"/>
    <mergeCell ref="B4:J4"/>
    <mergeCell ref="AF7:AG7"/>
    <mergeCell ref="AH7:AI7"/>
    <mergeCell ref="V5:AL5"/>
    <mergeCell ref="B7:C7"/>
    <mergeCell ref="D7:E7"/>
    <mergeCell ref="F7:G7"/>
    <mergeCell ref="H7:I7"/>
    <mergeCell ref="J7:K7"/>
    <mergeCell ref="L7:M7"/>
    <mergeCell ref="Z7:AA7"/>
    <mergeCell ref="AB7:AC7"/>
    <mergeCell ref="AD7:AE7"/>
    <mergeCell ref="N28:O28"/>
    <mergeCell ref="P28:Q28"/>
    <mergeCell ref="R28:S28"/>
    <mergeCell ref="T28:U28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V7:W7"/>
    <mergeCell ref="X7:Y7"/>
    <mergeCell ref="AD8:AE8"/>
    <mergeCell ref="N7:O7"/>
    <mergeCell ref="P7:Q7"/>
    <mergeCell ref="R7:S7"/>
    <mergeCell ref="T7:U7"/>
    <mergeCell ref="J28:K28"/>
    <mergeCell ref="AF29:AG29"/>
    <mergeCell ref="AH29:AI29"/>
    <mergeCell ref="AF28:AG28"/>
    <mergeCell ref="AH28:AI28"/>
    <mergeCell ref="T8:U8"/>
    <mergeCell ref="V8:W8"/>
    <mergeCell ref="X8:Y8"/>
    <mergeCell ref="Z8:AA8"/>
    <mergeCell ref="AB8:AC8"/>
    <mergeCell ref="AF8:AG8"/>
    <mergeCell ref="AH8:AI8"/>
    <mergeCell ref="AJ28:AK28"/>
    <mergeCell ref="AL28:AM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V28:W28"/>
    <mergeCell ref="X28:Y28"/>
    <mergeCell ref="Z28:AA28"/>
    <mergeCell ref="AB28:AC28"/>
    <mergeCell ref="AD28:AE28"/>
    <mergeCell ref="L28:M28"/>
    <mergeCell ref="B28:C28"/>
    <mergeCell ref="D28:E28"/>
    <mergeCell ref="F28:G28"/>
    <mergeCell ref="H28:I28"/>
    <mergeCell ref="AD30:AE30"/>
    <mergeCell ref="AF30:AG30"/>
    <mergeCell ref="AH30:AI30"/>
    <mergeCell ref="AJ30:AK30"/>
    <mergeCell ref="AL30:AM30"/>
    <mergeCell ref="AJ29:AK29"/>
    <mergeCell ref="AL29:AM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Z29:AA29"/>
    <mergeCell ref="AB29:AC29"/>
    <mergeCell ref="AD29:AE29"/>
    <mergeCell ref="N31:O31"/>
    <mergeCell ref="P31:Q31"/>
    <mergeCell ref="R31:S31"/>
    <mergeCell ref="T31:U31"/>
    <mergeCell ref="B31:C31"/>
    <mergeCell ref="D31:E31"/>
    <mergeCell ref="F31:G31"/>
    <mergeCell ref="H31:I31"/>
    <mergeCell ref="J31:K31"/>
    <mergeCell ref="AF32:AG32"/>
    <mergeCell ref="AH32:AI32"/>
    <mergeCell ref="AF31:AG31"/>
    <mergeCell ref="AH31:AI31"/>
    <mergeCell ref="AJ31:AK31"/>
    <mergeCell ref="AL31:AM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V31:W31"/>
    <mergeCell ref="X31:Y31"/>
    <mergeCell ref="Z31:AA31"/>
    <mergeCell ref="AB31:AC31"/>
    <mergeCell ref="AD31:AE31"/>
    <mergeCell ref="L31:M31"/>
    <mergeCell ref="AD33:AE33"/>
    <mergeCell ref="AF33:AG33"/>
    <mergeCell ref="AH33:AI33"/>
    <mergeCell ref="AJ33:AK33"/>
    <mergeCell ref="AL33:AM33"/>
    <mergeCell ref="AJ32:AK32"/>
    <mergeCell ref="AL32:AM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Z32:AA32"/>
    <mergeCell ref="AB32:AC32"/>
    <mergeCell ref="AD32:AE32"/>
    <mergeCell ref="L34:M34"/>
    <mergeCell ref="N34:O34"/>
    <mergeCell ref="P34:Q34"/>
    <mergeCell ref="R34:S34"/>
    <mergeCell ref="T34:U34"/>
    <mergeCell ref="B34:C34"/>
    <mergeCell ref="D34:E34"/>
    <mergeCell ref="F34:G34"/>
    <mergeCell ref="H34:I34"/>
    <mergeCell ref="J34:K34"/>
    <mergeCell ref="AE35:AF35"/>
    <mergeCell ref="AG35:AH35"/>
    <mergeCell ref="AI35:AJ35"/>
    <mergeCell ref="AF34:AG34"/>
    <mergeCell ref="AH34:AI34"/>
    <mergeCell ref="AJ34:AK34"/>
    <mergeCell ref="AL34:AM34"/>
    <mergeCell ref="V34:W34"/>
    <mergeCell ref="X34:Y34"/>
    <mergeCell ref="Z34:AA34"/>
    <mergeCell ref="AB34:AC34"/>
    <mergeCell ref="AD34:AE34"/>
    <mergeCell ref="AK35:AL35"/>
    <mergeCell ref="AJ37:AK37"/>
    <mergeCell ref="AL37:AM37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AG36:AH36"/>
    <mergeCell ref="B38:AL38"/>
    <mergeCell ref="B40:AM40"/>
    <mergeCell ref="B41:AM41"/>
    <mergeCell ref="B42:AM42"/>
    <mergeCell ref="A39:AM39"/>
    <mergeCell ref="W36:X36"/>
    <mergeCell ref="Y36:Z36"/>
    <mergeCell ref="AA36:AB36"/>
    <mergeCell ref="AC36:AD36"/>
    <mergeCell ref="AE36:AF36"/>
    <mergeCell ref="M36:N36"/>
    <mergeCell ref="O36:P36"/>
    <mergeCell ref="Q36:R36"/>
    <mergeCell ref="S36:T36"/>
    <mergeCell ref="U36:V36"/>
    <mergeCell ref="C36:D36"/>
    <mergeCell ref="E36:F36"/>
    <mergeCell ref="G36:H36"/>
    <mergeCell ref="I36:J36"/>
    <mergeCell ref="K36:L36"/>
    <mergeCell ref="AD37:AE37"/>
    <mergeCell ref="AF37:AG37"/>
    <mergeCell ref="AH37:AI37"/>
    <mergeCell ref="B43:AM43"/>
    <mergeCell ref="B44:AM44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AB47:AC47"/>
    <mergeCell ref="A46:AM46"/>
    <mergeCell ref="D48:E48"/>
    <mergeCell ref="F48:G48"/>
    <mergeCell ref="H48:I48"/>
    <mergeCell ref="J48:K48"/>
    <mergeCell ref="AD47:AE47"/>
    <mergeCell ref="AF47:AG47"/>
    <mergeCell ref="AH47:AI47"/>
    <mergeCell ref="AJ47:AK47"/>
    <mergeCell ref="AL47:AM47"/>
    <mergeCell ref="AL48:AM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X49:Y49"/>
    <mergeCell ref="V48:W48"/>
    <mergeCell ref="X48:Y48"/>
    <mergeCell ref="Z48:AA48"/>
    <mergeCell ref="AB48:AC48"/>
    <mergeCell ref="AD48:AE48"/>
    <mergeCell ref="L48:M48"/>
    <mergeCell ref="N48:O48"/>
    <mergeCell ref="P48:Q48"/>
    <mergeCell ref="R48:S48"/>
    <mergeCell ref="T48:U48"/>
    <mergeCell ref="Z49:AA49"/>
    <mergeCell ref="X53:Y53"/>
    <mergeCell ref="B51:AM51"/>
    <mergeCell ref="AD50:AE50"/>
    <mergeCell ref="AF50:AG50"/>
    <mergeCell ref="AH50:AI50"/>
    <mergeCell ref="AJ50:AK50"/>
    <mergeCell ref="AL50:AM50"/>
    <mergeCell ref="AJ49:AK49"/>
    <mergeCell ref="AL49:AM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V50:W50"/>
    <mergeCell ref="X50:Y50"/>
    <mergeCell ref="Z50:AA50"/>
    <mergeCell ref="AB50:AC50"/>
    <mergeCell ref="T49:U49"/>
    <mergeCell ref="F53:G53"/>
    <mergeCell ref="H53:I53"/>
    <mergeCell ref="J53:K53"/>
    <mergeCell ref="L53:M53"/>
    <mergeCell ref="N53:O53"/>
    <mergeCell ref="P53:Q53"/>
    <mergeCell ref="R53:S53"/>
    <mergeCell ref="T53:U53"/>
    <mergeCell ref="V53:W53"/>
    <mergeCell ref="AL54:AM54"/>
    <mergeCell ref="AJ53:AK53"/>
    <mergeCell ref="AL53:AM53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  <mergeCell ref="V54:W54"/>
    <mergeCell ref="X54:Y54"/>
    <mergeCell ref="Z54:AA54"/>
    <mergeCell ref="AB54:AC54"/>
    <mergeCell ref="Z53:AA53"/>
    <mergeCell ref="AB53:AC53"/>
    <mergeCell ref="AD53:AE53"/>
    <mergeCell ref="AF53:AG53"/>
    <mergeCell ref="AH53:AI53"/>
    <mergeCell ref="B53:C53"/>
    <mergeCell ref="D53:E53"/>
    <mergeCell ref="B55:C55"/>
    <mergeCell ref="D55:E55"/>
    <mergeCell ref="F55:G55"/>
    <mergeCell ref="H55:I55"/>
    <mergeCell ref="J55:K55"/>
    <mergeCell ref="AD54:AE54"/>
    <mergeCell ref="AF54:AG54"/>
    <mergeCell ref="AH54:AI54"/>
    <mergeCell ref="AJ54:AK54"/>
    <mergeCell ref="V55:W55"/>
    <mergeCell ref="X55:Y55"/>
    <mergeCell ref="Z55:AA55"/>
    <mergeCell ref="AB55:AC55"/>
    <mergeCell ref="AD55:AE55"/>
    <mergeCell ref="L55:M55"/>
    <mergeCell ref="N55:O55"/>
    <mergeCell ref="P55:Q55"/>
    <mergeCell ref="R55:S55"/>
    <mergeCell ref="T55:U55"/>
    <mergeCell ref="B57:AM57"/>
    <mergeCell ref="AJ56:AK56"/>
    <mergeCell ref="AL56:AM56"/>
    <mergeCell ref="Z56:AA56"/>
    <mergeCell ref="AB56:AC56"/>
    <mergeCell ref="AD56:AE56"/>
    <mergeCell ref="AF56:AG56"/>
    <mergeCell ref="AH56:AI56"/>
    <mergeCell ref="AF55:AG55"/>
    <mergeCell ref="AH55:AI55"/>
    <mergeCell ref="AJ55:AK55"/>
    <mergeCell ref="AL55:AM55"/>
    <mergeCell ref="B56:C56"/>
    <mergeCell ref="D56:E56"/>
    <mergeCell ref="F56:G56"/>
    <mergeCell ref="H56:I56"/>
    <mergeCell ref="J56:K56"/>
    <mergeCell ref="L56:M56"/>
    <mergeCell ref="N56:O56"/>
    <mergeCell ref="P56:Q56"/>
    <mergeCell ref="R56:S56"/>
    <mergeCell ref="T56:U56"/>
    <mergeCell ref="V56:W56"/>
    <mergeCell ref="X56:Y56"/>
    <mergeCell ref="A52:AM52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B35"/>
    <mergeCell ref="AC35:AD35"/>
    <mergeCell ref="AB49:AC49"/>
    <mergeCell ref="AD49:AE49"/>
    <mergeCell ref="AF49:AG49"/>
    <mergeCell ref="AH49:AI49"/>
    <mergeCell ref="AF48:AG48"/>
    <mergeCell ref="AH48:AI48"/>
    <mergeCell ref="AJ48:AK48"/>
    <mergeCell ref="B48:C48"/>
    <mergeCell ref="V49:W49"/>
  </mergeCells>
  <conditionalFormatting sqref="B8 D8 F8 H8 J8 L8 N8 P8 R8 T8 V8 X8 Z8 AB8 AD8 AF8 AH8 AJ8 AL8">
    <cfRule type="expression" dxfId="73" priority="1">
      <formula>B8="—"</formula>
    </cfRule>
    <cfRule type="expression" dxfId="72" priority="2">
      <formula>B8&lt;&gt;"—"</formula>
    </cfRule>
  </conditionalFormatting>
  <conditionalFormatting sqref="B36">
    <cfRule type="cellIs" dxfId="71" priority="3" operator="greaterThan">
      <formula>1000</formula>
    </cfRule>
  </conditionalFormatting>
  <conditionalFormatting sqref="C36">
    <cfRule type="cellIs" dxfId="70" priority="58" stopIfTrue="1" operator="greaterThan">
      <formula>1000</formula>
    </cfRule>
  </conditionalFormatting>
  <conditionalFormatting sqref="E36">
    <cfRule type="cellIs" dxfId="69" priority="59" stopIfTrue="1" operator="greaterThan">
      <formula>1000</formula>
    </cfRule>
  </conditionalFormatting>
  <conditionalFormatting sqref="G36">
    <cfRule type="cellIs" dxfId="68" priority="60" stopIfTrue="1" operator="greaterThan">
      <formula>1000</formula>
    </cfRule>
  </conditionalFormatting>
  <conditionalFormatting sqref="I36">
    <cfRule type="cellIs" dxfId="67" priority="61" stopIfTrue="1" operator="greaterThan">
      <formula>1000</formula>
    </cfRule>
  </conditionalFormatting>
  <conditionalFormatting sqref="K36">
    <cfRule type="cellIs" dxfId="66" priority="62" stopIfTrue="1" operator="greaterThan">
      <formula>1000</formula>
    </cfRule>
  </conditionalFormatting>
  <conditionalFormatting sqref="M36">
    <cfRule type="cellIs" dxfId="65" priority="63" stopIfTrue="1" operator="greaterThan">
      <formula>1000</formula>
    </cfRule>
  </conditionalFormatting>
  <conditionalFormatting sqref="O36">
    <cfRule type="cellIs" dxfId="64" priority="64" stopIfTrue="1" operator="greaterThan">
      <formula>1000</formula>
    </cfRule>
  </conditionalFormatting>
  <conditionalFormatting sqref="Q36">
    <cfRule type="cellIs" dxfId="63" priority="65" stopIfTrue="1" operator="greaterThan">
      <formula>1000</formula>
    </cfRule>
  </conditionalFormatting>
  <conditionalFormatting sqref="S36">
    <cfRule type="cellIs" dxfId="62" priority="66" stopIfTrue="1" operator="greaterThan">
      <formula>1000</formula>
    </cfRule>
  </conditionalFormatting>
  <conditionalFormatting sqref="U36">
    <cfRule type="cellIs" dxfId="61" priority="67" stopIfTrue="1" operator="greaterThan">
      <formula>1000</formula>
    </cfRule>
  </conditionalFormatting>
  <conditionalFormatting sqref="W36">
    <cfRule type="cellIs" dxfId="60" priority="68" stopIfTrue="1" operator="greaterThan">
      <formula>1000</formula>
    </cfRule>
  </conditionalFormatting>
  <conditionalFormatting sqref="Y36">
    <cfRule type="cellIs" dxfId="59" priority="69" stopIfTrue="1" operator="greaterThan">
      <formula>1000</formula>
    </cfRule>
  </conditionalFormatting>
  <conditionalFormatting sqref="AA36">
    <cfRule type="cellIs" dxfId="58" priority="70" stopIfTrue="1" operator="greaterThan">
      <formula>1000</formula>
    </cfRule>
  </conditionalFormatting>
  <conditionalFormatting sqref="AC36">
    <cfRule type="cellIs" dxfId="57" priority="71" stopIfTrue="1" operator="greaterThan">
      <formula>1000</formula>
    </cfRule>
  </conditionalFormatting>
  <conditionalFormatting sqref="AE36">
    <cfRule type="cellIs" dxfId="56" priority="72" stopIfTrue="1" operator="greaterThan">
      <formula>1000</formula>
    </cfRule>
  </conditionalFormatting>
  <conditionalFormatting sqref="AG36">
    <cfRule type="cellIs" dxfId="55" priority="73" stopIfTrue="1" operator="greaterThan">
      <formula>1000</formula>
    </cfRule>
  </conditionalFormatting>
  <conditionalFormatting sqref="AI36">
    <cfRule type="cellIs" dxfId="54" priority="74" stopIfTrue="1" operator="greaterThan">
      <formula>1000</formula>
    </cfRule>
  </conditionalFormatting>
  <conditionalFormatting sqref="AK36">
    <cfRule type="cellIs" dxfId="53" priority="75" stopIfTrue="1" operator="greaterThan">
      <formula>1000</formula>
    </cfRule>
  </conditionalFormatting>
  <printOptions horizontalCentered="1"/>
  <pageMargins left="0.19685039370078738" right="0.19685039370078738" top="0.23622047244094485" bottom="0.23622047244094485" header="0.5" footer="0.5"/>
  <pageSetup paperSize="8" orientation="landscape" r:id="rId1"/>
  <headerFooter>
    <oddFooter>&amp;C&amp;8 23842B1 · TIRATA 1 · Pagina &amp;P di &amp;N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 fitToPage="1"/>
  </sheetPr>
  <dimension ref="A1:AO58"/>
  <sheetViews>
    <sheetView showGridLines="0" tabSelected="1" zoomScale="85" zoomScaleNormal="85" workbookViewId="0">
      <selection activeCell="AP17" sqref="AP17"/>
    </sheetView>
  </sheetViews>
  <sheetFormatPr baseColWidth="10" defaultColWidth="9.140625" defaultRowHeight="15" x14ac:dyDescent="0.25"/>
  <cols>
    <col min="1" max="1" width="24.42578125" customWidth="1"/>
    <col min="2" max="41" width="5" customWidth="1"/>
  </cols>
  <sheetData>
    <row r="1" spans="1:41" ht="30" customHeight="1" x14ac:dyDescent="0.25">
      <c r="A1" s="323" t="s">
        <v>146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4"/>
      <c r="AC1" s="324"/>
      <c r="AD1" s="324"/>
      <c r="AE1" s="324"/>
      <c r="AF1" s="324"/>
      <c r="AG1" s="324"/>
      <c r="AH1" s="324"/>
      <c r="AI1" s="324"/>
      <c r="AJ1" s="324"/>
      <c r="AK1" s="324"/>
      <c r="AL1" s="324"/>
      <c r="AM1" s="324"/>
      <c r="AN1" s="324"/>
      <c r="AO1" s="32"/>
    </row>
    <row r="2" spans="1:41" ht="33.75" customHeight="1" x14ac:dyDescent="0.25">
      <c r="A2" s="1"/>
      <c r="B2" s="1"/>
      <c r="C2" s="1"/>
      <c r="D2" s="352" t="s">
        <v>1</v>
      </c>
      <c r="E2" s="353"/>
      <c r="F2" s="353"/>
      <c r="G2" s="353"/>
      <c r="H2" s="353"/>
      <c r="I2" s="353"/>
      <c r="J2" s="353"/>
      <c r="K2" s="353"/>
      <c r="L2" s="353"/>
      <c r="M2" s="353"/>
      <c r="N2" s="353"/>
      <c r="O2" s="353"/>
      <c r="P2" s="353"/>
      <c r="Q2" s="353"/>
      <c r="R2" s="353"/>
      <c r="S2" s="22"/>
      <c r="T2" s="353" t="s">
        <v>2</v>
      </c>
      <c r="U2" s="354"/>
      <c r="V2" s="355"/>
      <c r="W2" s="356"/>
      <c r="X2" s="356"/>
      <c r="Y2" s="356"/>
      <c r="Z2" s="356"/>
      <c r="AA2" s="356"/>
      <c r="AB2" s="356"/>
      <c r="AC2" s="356"/>
      <c r="AD2" s="356"/>
      <c r="AE2" s="356"/>
      <c r="AF2" s="356"/>
      <c r="AG2" s="356"/>
      <c r="AH2" s="356"/>
      <c r="AI2" s="356"/>
      <c r="AJ2" s="356"/>
      <c r="AK2" s="356"/>
      <c r="AL2" s="356"/>
      <c r="AM2" s="356"/>
      <c r="AN2" s="356"/>
      <c r="AO2" s="23"/>
    </row>
    <row r="3" spans="1:4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x14ac:dyDescent="0.25">
      <c r="A4" s="2" t="s">
        <v>3</v>
      </c>
      <c r="B4" s="339" t="s">
        <v>147</v>
      </c>
      <c r="C4" s="340"/>
      <c r="D4" s="340"/>
      <c r="E4" s="340"/>
      <c r="F4" s="340"/>
      <c r="G4" s="340"/>
      <c r="H4" s="340"/>
      <c r="I4" s="340"/>
      <c r="J4" s="340"/>
      <c r="K4" s="29"/>
      <c r="L4" s="340" t="s">
        <v>148</v>
      </c>
      <c r="M4" s="341"/>
      <c r="N4" s="339"/>
      <c r="O4" s="340"/>
      <c r="P4" s="340"/>
      <c r="Q4" s="340"/>
      <c r="R4" s="340"/>
      <c r="S4" s="340"/>
      <c r="T4" s="340"/>
      <c r="U4" s="29"/>
      <c r="V4" s="340" t="s">
        <v>149</v>
      </c>
      <c r="W4" s="340"/>
      <c r="X4" s="340"/>
      <c r="Y4" s="341"/>
      <c r="Z4" s="339"/>
      <c r="AA4" s="340"/>
      <c r="AB4" s="340"/>
      <c r="AC4" s="340"/>
      <c r="AD4" s="340"/>
      <c r="AE4" s="29"/>
      <c r="AF4" s="340" t="s">
        <v>7</v>
      </c>
      <c r="AG4" s="340"/>
      <c r="AH4" s="340"/>
      <c r="AI4" s="340"/>
      <c r="AJ4" s="340"/>
      <c r="AK4" s="341"/>
      <c r="AL4" s="394"/>
      <c r="AM4" s="395"/>
      <c r="AN4" s="395"/>
      <c r="AO4" s="30"/>
    </row>
    <row r="5" spans="1:41" ht="33.950000000000003" customHeight="1" x14ac:dyDescent="0.25">
      <c r="A5" s="388" t="s">
        <v>150</v>
      </c>
      <c r="B5" s="334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5"/>
      <c r="O5" s="335"/>
      <c r="P5" s="335"/>
      <c r="Q5" s="335"/>
      <c r="R5" s="335"/>
      <c r="S5" s="335"/>
      <c r="T5" s="335"/>
      <c r="U5" s="41"/>
      <c r="V5" s="335" t="s">
        <v>151</v>
      </c>
      <c r="W5" s="336"/>
      <c r="X5" s="337"/>
      <c r="Y5" s="338"/>
      <c r="Z5" s="338"/>
      <c r="AA5" s="338"/>
      <c r="AB5" s="338"/>
      <c r="AC5" s="338"/>
      <c r="AD5" s="338"/>
      <c r="AE5" s="338"/>
      <c r="AF5" s="338"/>
      <c r="AG5" s="338"/>
      <c r="AH5" s="338"/>
      <c r="AI5" s="338"/>
      <c r="AJ5" s="338"/>
      <c r="AK5" s="338"/>
      <c r="AL5" s="338"/>
      <c r="AM5" s="338"/>
      <c r="AN5" s="338"/>
      <c r="AO5" s="28"/>
    </row>
    <row r="6" spans="1:41" x14ac:dyDescent="0.25">
      <c r="A6" s="1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</row>
    <row r="7" spans="1:41" ht="15.75" customHeight="1" x14ac:dyDescent="0.25">
      <c r="A7" s="2" t="s">
        <v>10</v>
      </c>
      <c r="B7" s="383" t="s">
        <v>152</v>
      </c>
      <c r="C7" s="384"/>
      <c r="D7" s="383" t="s">
        <v>153</v>
      </c>
      <c r="E7" s="384"/>
      <c r="F7" s="383" t="s">
        <v>154</v>
      </c>
      <c r="G7" s="384"/>
      <c r="H7" s="383" t="s">
        <v>155</v>
      </c>
      <c r="I7" s="384"/>
      <c r="J7" s="383" t="s">
        <v>156</v>
      </c>
      <c r="K7" s="384"/>
      <c r="L7" s="383" t="s">
        <v>157</v>
      </c>
      <c r="M7" s="384"/>
      <c r="N7" s="383" t="s">
        <v>158</v>
      </c>
      <c r="O7" s="384"/>
      <c r="P7" s="383" t="s">
        <v>159</v>
      </c>
      <c r="Q7" s="384"/>
      <c r="R7" s="383" t="s">
        <v>160</v>
      </c>
      <c r="S7" s="384"/>
      <c r="T7" s="383" t="s">
        <v>161</v>
      </c>
      <c r="U7" s="384"/>
      <c r="V7" s="383" t="s">
        <v>162</v>
      </c>
      <c r="W7" s="384"/>
      <c r="X7" s="383" t="s">
        <v>163</v>
      </c>
      <c r="Y7" s="384"/>
      <c r="Z7" s="383" t="s">
        <v>164</v>
      </c>
      <c r="AA7" s="384"/>
      <c r="AB7" s="383" t="s">
        <v>165</v>
      </c>
      <c r="AC7" s="384"/>
      <c r="AD7" s="383" t="s">
        <v>166</v>
      </c>
      <c r="AE7" s="384"/>
      <c r="AF7" s="383" t="s">
        <v>167</v>
      </c>
      <c r="AG7" s="384"/>
      <c r="AH7" s="383" t="s">
        <v>168</v>
      </c>
      <c r="AI7" s="384"/>
      <c r="AJ7" s="383" t="s">
        <v>169</v>
      </c>
      <c r="AK7" s="384"/>
      <c r="AL7" s="383" t="s">
        <v>170</v>
      </c>
      <c r="AM7" s="384"/>
      <c r="AN7" s="383" t="s">
        <v>31</v>
      </c>
      <c r="AO7" s="384"/>
    </row>
    <row r="8" spans="1:41" ht="72" customHeight="1" x14ac:dyDescent="0.25">
      <c r="A8" s="10" t="s">
        <v>32</v>
      </c>
      <c r="B8" s="378" t="str">
        <f>IFERROR(INDEX('04 Interferencias'!$D:$D,MATCH(SUBSTITUTE(B7,"–","-"),'04 Interferencias'!$A:$A,0)),"—")</f>
        <v>Pallorcio</v>
      </c>
      <c r="C8" s="379"/>
      <c r="D8" s="378" t="str">
        <f>IFERROR(INDEX('04 Interferencias'!$D:$D,MATCH(SUBSTITUTE(D7,"–","-"),'04 Interferencias'!$A:$A,0)),"—")</f>
        <v>15 kV.</v>
      </c>
      <c r="E8" s="379"/>
      <c r="F8" s="378" t="str">
        <f>IFERROR(INDEX('04 Interferencias'!$D:$D,MATCH(SUBSTITUTE(F7,"–","-"),'04 Interferencias'!$A:$A,0)),"—")</f>
        <v>—</v>
      </c>
      <c r="G8" s="379"/>
      <c r="H8" s="378" t="str">
        <f>IFERROR(INDEX('04 Interferencias'!$D:$D,MATCH(SUBSTITUTE(H7,"–","-"),'04 Interferencias'!$A:$A,0)),"—")</f>
        <v>—</v>
      </c>
      <c r="I8" s="379"/>
      <c r="J8" s="378" t="str">
        <f>IFERROR(INDEX('04 Interferencias'!$D:$D,MATCH(SUBSTITUTE(J7,"–","-"),'04 Interferencias'!$A:$A,0)),"—")</f>
        <v>—</v>
      </c>
      <c r="K8" s="379"/>
      <c r="L8" s="378" t="str">
        <f>IFERROR(INDEX('04 Interferencias'!$D:$D,MATCH(SUBSTITUTE(L7,"–","-"),'04 Interferencias'!$A:$A,0)),"—")</f>
        <v>—</v>
      </c>
      <c r="M8" s="379"/>
      <c r="N8" s="378" t="str">
        <f>IFERROR(INDEX('04 Interferencias'!$D:$D,MATCH(SUBSTITUTE(N7,"–","-"),'04 Interferencias'!$A:$A,0)),"—")</f>
        <v>—</v>
      </c>
      <c r="O8" s="379"/>
      <c r="P8" s="378" t="str">
        <f>IFERROR(INDEX('04 Interferencias'!$D:$D,MATCH(SUBSTITUTE(P7,"–","-"),'04 Interferencias'!$A:$A,0)),"—")</f>
        <v>Rustico Telefonica</v>
      </c>
      <c r="Q8" s="379"/>
      <c r="R8" s="378" t="str">
        <f>IFERROR(INDEX('04 Interferencias'!$D:$D,MATCH(SUBSTITUTE(R7,"–","-"),'04 Interferencias'!$A:$A,0)),"—")</f>
        <v>3 MT precordato  2Baracche</v>
      </c>
      <c r="S8" s="379"/>
      <c r="T8" s="378" t="str">
        <f>IFERROR(INDEX('04 Interferencias'!$D:$D,MATCH(SUBSTITUTE(T7,"–","-"),'04 Interferencias'!$A:$A,0)),"—")</f>
        <v>Pallorcio e Rustico</v>
      </c>
      <c r="U8" s="379"/>
      <c r="V8" s="378" t="str">
        <f>IFERROR(INDEX('04 Interferencias'!$D:$D,MATCH(SUBSTITUTE(V7,"–","-"),'04 Interferencias'!$A:$A,0)),"—")</f>
        <v>SP. Per Cavassolo</v>
      </c>
      <c r="W8" s="379"/>
      <c r="X8" s="378" t="str">
        <f>IFERROR(INDEX('04 Interferencias'!$D:$D,MATCH(SUBSTITUTE(X7,"–","-"),'04 Interferencias'!$A:$A,0)),"—")</f>
        <v>—</v>
      </c>
      <c r="Y8" s="379"/>
      <c r="Z8" s="378" t="str">
        <f>IFERROR(INDEX('04 Interferencias'!$D:$D,MATCH(SUBSTITUTE(Z7,"–","-"),'04 Interferencias'!$A:$A,0)),"—")</f>
        <v>—</v>
      </c>
      <c r="AA8" s="379"/>
      <c r="AB8" s="378" t="str">
        <f>IFERROR(INDEX('04 Interferencias'!$D:$D,MATCH(SUBSTITUTE(AB7,"–","-"),'04 Interferencias'!$A:$A,0)),"—")</f>
        <v>Sovrapassa Falk</v>
      </c>
      <c r="AC8" s="379"/>
      <c r="AD8" s="378" t="str">
        <f>IFERROR(INDEX('04 Interferencias'!$D:$D,MATCH(SUBSTITUTE(AD7,"–","-"),'04 Interferencias'!$A:$A,0)),"—")</f>
        <v>BT.</v>
      </c>
      <c r="AE8" s="379"/>
      <c r="AF8" s="378" t="str">
        <f>IFERROR(INDEX('04 Interferencias'!$D:$D,MATCH(SUBSTITUTE(AF7,"–","-"),'04 Interferencias'!$A:$A,0)),"—")</f>
        <v>Baracca BT. Aerea  SC. SV. - Btrame</v>
      </c>
      <c r="AG8" s="379"/>
      <c r="AH8" s="378" t="str">
        <f>IFERROR(INDEX('04 Interferencias'!$D:$D,MATCH(SUBSTITUTE(AH7,"–","-"),'04 Interferencias'!$A:$A,0)),"—")</f>
        <v>SP. 15 kV precordato. BT in Cavo</v>
      </c>
      <c r="AI8" s="379"/>
      <c r="AJ8" s="378" t="str">
        <f>IFERROR(INDEX('04 Interferencias'!$D:$D,MATCH(SUBSTITUTE(AJ7,"–","-"),'04 Interferencias'!$A:$A,0)),"—")</f>
        <v>SP. Cavassolo Davagna</v>
      </c>
      <c r="AK8" s="379"/>
      <c r="AL8" s="378" t="str">
        <f>IFERROR(INDEX('04 Interferencias'!$D:$D,MATCH(SUBSTITUTE(AL7,"–","-"),'04 Interferencias'!$A:$A,0)),"—")</f>
        <v>2 MT. BT. Casa SP.</v>
      </c>
      <c r="AM8" s="379"/>
      <c r="AN8" s="378" t="str">
        <f>IFERROR(INDEX('04 Interferencias'!$D:$D,MATCH(SUBSTITUTE(AN7,"–","-"),'04 Interferencias'!$A:$A,0)),"—")</f>
        <v>—</v>
      </c>
      <c r="AO8" s="380"/>
    </row>
    <row r="9" spans="1:41" x14ac:dyDescent="0.25">
      <c r="A9" s="1"/>
      <c r="B9" s="12"/>
      <c r="C9" s="20"/>
      <c r="D9" s="12"/>
      <c r="E9" s="20"/>
      <c r="F9" s="12"/>
      <c r="G9" s="20"/>
      <c r="H9" s="12"/>
      <c r="I9" s="20"/>
      <c r="J9" s="12"/>
      <c r="K9" s="20"/>
      <c r="L9" s="12"/>
      <c r="M9" s="20"/>
      <c r="N9" s="12"/>
      <c r="O9" s="20"/>
      <c r="P9" s="12"/>
      <c r="Q9" s="20"/>
      <c r="R9" s="12"/>
      <c r="S9" s="20"/>
      <c r="T9" s="12"/>
      <c r="U9" s="20"/>
      <c r="V9" s="12"/>
      <c r="W9" s="20"/>
      <c r="X9" s="12"/>
      <c r="Y9" s="20"/>
      <c r="Z9" s="12"/>
      <c r="AA9" s="20"/>
      <c r="AB9" s="12"/>
      <c r="AC9" s="20"/>
      <c r="AD9" s="12"/>
      <c r="AE9" s="20"/>
      <c r="AF9" s="12"/>
      <c r="AG9" s="20"/>
      <c r="AH9" s="12"/>
      <c r="AI9" s="20"/>
      <c r="AJ9" s="12"/>
      <c r="AK9" s="20"/>
      <c r="AL9" s="12"/>
      <c r="AM9" s="20"/>
      <c r="AN9" s="12"/>
      <c r="AO9" s="33"/>
    </row>
    <row r="10" spans="1:41" x14ac:dyDescent="0.25">
      <c r="A10" s="325" t="s">
        <v>34</v>
      </c>
      <c r="B10" s="326"/>
      <c r="C10" s="326"/>
      <c r="D10" s="326"/>
      <c r="E10" s="326"/>
      <c r="F10" s="326"/>
      <c r="G10" s="326"/>
      <c r="H10" s="326"/>
      <c r="I10" s="326"/>
      <c r="J10" s="326"/>
      <c r="K10" s="326"/>
      <c r="L10" s="326"/>
      <c r="M10" s="326"/>
      <c r="N10" s="326"/>
      <c r="O10" s="326"/>
      <c r="P10" s="326"/>
      <c r="Q10" s="326"/>
      <c r="R10" s="326"/>
      <c r="S10" s="326"/>
      <c r="T10" s="326"/>
      <c r="U10" s="326"/>
      <c r="V10" s="326"/>
      <c r="W10" s="326"/>
      <c r="X10" s="326"/>
      <c r="Y10" s="326"/>
      <c r="Z10" s="326"/>
      <c r="AA10" s="326"/>
      <c r="AB10" s="326"/>
      <c r="AC10" s="326"/>
      <c r="AD10" s="326"/>
      <c r="AE10" s="326"/>
      <c r="AF10" s="326"/>
      <c r="AG10" s="326"/>
      <c r="AH10" s="326"/>
      <c r="AI10" s="326"/>
      <c r="AJ10" s="326"/>
      <c r="AK10" s="326"/>
      <c r="AL10" s="326"/>
      <c r="AM10" s="326"/>
      <c r="AN10" s="326"/>
      <c r="AO10" s="34"/>
    </row>
    <row r="11" spans="1:41" ht="20.100000000000001" customHeight="1" x14ac:dyDescent="0.25">
      <c r="A11" s="12"/>
      <c r="B11" s="42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</row>
    <row r="12" spans="1:41" ht="20.100000000000001" customHeight="1" x14ac:dyDescent="0.25">
      <c r="A12" s="12"/>
      <c r="B12" s="45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</row>
    <row r="13" spans="1:41" ht="20.100000000000001" customHeight="1" x14ac:dyDescent="0.25">
      <c r="A13" s="12"/>
      <c r="B13" s="45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</row>
    <row r="14" spans="1:41" ht="20.100000000000001" customHeight="1" x14ac:dyDescent="0.25">
      <c r="A14" s="12"/>
      <c r="B14" s="45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</row>
    <row r="15" spans="1:41" ht="20.100000000000001" customHeight="1" x14ac:dyDescent="0.25">
      <c r="A15" s="12"/>
      <c r="B15" s="45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</row>
    <row r="16" spans="1:41" ht="20.100000000000001" customHeight="1" x14ac:dyDescent="0.25">
      <c r="A16" s="12"/>
      <c r="B16" s="45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</row>
    <row r="17" spans="1:41" ht="20.100000000000001" customHeight="1" x14ac:dyDescent="0.25">
      <c r="A17" s="12"/>
      <c r="B17" s="45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</row>
    <row r="18" spans="1:41" ht="20.100000000000001" customHeight="1" x14ac:dyDescent="0.25">
      <c r="A18" s="12"/>
      <c r="B18" s="45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</row>
    <row r="19" spans="1:41" ht="20.100000000000001" customHeight="1" x14ac:dyDescent="0.25">
      <c r="A19" s="12"/>
      <c r="B19" s="45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</row>
    <row r="20" spans="1:41" ht="20.100000000000001" customHeight="1" x14ac:dyDescent="0.25">
      <c r="A20" s="12"/>
      <c r="B20" s="45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</row>
    <row r="21" spans="1:41" ht="20.100000000000001" customHeight="1" x14ac:dyDescent="0.25">
      <c r="A21" s="12"/>
      <c r="B21" s="45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</row>
    <row r="22" spans="1:41" ht="20.100000000000001" customHeight="1" x14ac:dyDescent="0.25">
      <c r="A22" s="12"/>
      <c r="B22" s="45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</row>
    <row r="23" spans="1:41" ht="20.100000000000001" customHeight="1" x14ac:dyDescent="0.25">
      <c r="A23" s="12"/>
      <c r="B23" s="45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</row>
    <row r="24" spans="1:41" ht="20.100000000000001" customHeight="1" x14ac:dyDescent="0.25">
      <c r="A24" s="12"/>
      <c r="B24" s="45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</row>
    <row r="25" spans="1:41" ht="20.100000000000001" customHeight="1" x14ac:dyDescent="0.25">
      <c r="A25" s="12"/>
      <c r="B25" s="45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</row>
    <row r="26" spans="1:41" ht="20.100000000000001" customHeight="1" x14ac:dyDescent="0.25">
      <c r="A26" s="12"/>
      <c r="B26" s="45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</row>
    <row r="27" spans="1:41" x14ac:dyDescent="0.25">
      <c r="A27" s="13"/>
      <c r="B27" s="45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</row>
    <row r="28" spans="1:41" ht="24" customHeight="1" x14ac:dyDescent="0.25">
      <c r="A28" s="293" t="s">
        <v>35</v>
      </c>
      <c r="B28" s="374">
        <v>285</v>
      </c>
      <c r="C28" s="371"/>
      <c r="D28" s="370">
        <v>286</v>
      </c>
      <c r="E28" s="371"/>
      <c r="F28" s="370">
        <v>287</v>
      </c>
      <c r="G28" s="371"/>
      <c r="H28" s="370">
        <v>288</v>
      </c>
      <c r="I28" s="371"/>
      <c r="J28" s="370">
        <v>289</v>
      </c>
      <c r="K28" s="371"/>
      <c r="L28" s="370">
        <v>290</v>
      </c>
      <c r="M28" s="371"/>
      <c r="N28" s="370">
        <v>291</v>
      </c>
      <c r="O28" s="371"/>
      <c r="P28" s="370">
        <v>292</v>
      </c>
      <c r="Q28" s="371"/>
      <c r="R28" s="370">
        <v>293</v>
      </c>
      <c r="S28" s="371"/>
      <c r="T28" s="370">
        <v>294</v>
      </c>
      <c r="U28" s="371"/>
      <c r="V28" s="370">
        <v>295</v>
      </c>
      <c r="W28" s="371"/>
      <c r="X28" s="370">
        <v>296</v>
      </c>
      <c r="Y28" s="371"/>
      <c r="Z28" s="370">
        <v>297</v>
      </c>
      <c r="AA28" s="371"/>
      <c r="AB28" s="370">
        <v>298</v>
      </c>
      <c r="AC28" s="371"/>
      <c r="AD28" s="370">
        <v>299</v>
      </c>
      <c r="AE28" s="371"/>
      <c r="AF28" s="370">
        <v>300</v>
      </c>
      <c r="AG28" s="371"/>
      <c r="AH28" s="370">
        <v>301</v>
      </c>
      <c r="AI28" s="371"/>
      <c r="AJ28" s="370">
        <v>302</v>
      </c>
      <c r="AK28" s="371"/>
      <c r="AL28" s="370">
        <v>303</v>
      </c>
      <c r="AM28" s="371"/>
      <c r="AN28" s="370">
        <v>304</v>
      </c>
      <c r="AO28" s="371"/>
    </row>
    <row r="29" spans="1:41" ht="24" customHeight="1" x14ac:dyDescent="0.25">
      <c r="A29" s="292" t="s">
        <v>57</v>
      </c>
      <c r="B29" s="372" t="s">
        <v>58</v>
      </c>
      <c r="C29" s="361"/>
      <c r="D29" s="360" t="s">
        <v>58</v>
      </c>
      <c r="E29" s="361"/>
      <c r="F29" s="360" t="s">
        <v>58</v>
      </c>
      <c r="G29" s="361"/>
      <c r="H29" s="365" t="s">
        <v>59</v>
      </c>
      <c r="I29" s="366"/>
      <c r="J29" s="360" t="s">
        <v>59</v>
      </c>
      <c r="K29" s="361"/>
      <c r="L29" s="360" t="s">
        <v>58</v>
      </c>
      <c r="M29" s="361"/>
      <c r="N29" s="365" t="s">
        <v>58</v>
      </c>
      <c r="O29" s="366"/>
      <c r="P29" s="360" t="s">
        <v>59</v>
      </c>
      <c r="Q29" s="361"/>
      <c r="R29" s="365" t="s">
        <v>58</v>
      </c>
      <c r="S29" s="366"/>
      <c r="T29" s="365" t="s">
        <v>58</v>
      </c>
      <c r="U29" s="366"/>
      <c r="V29" s="360" t="s">
        <v>58</v>
      </c>
      <c r="W29" s="361"/>
      <c r="X29" s="365" t="s">
        <v>58</v>
      </c>
      <c r="Y29" s="366"/>
      <c r="Z29" s="360" t="s">
        <v>59</v>
      </c>
      <c r="AA29" s="361"/>
      <c r="AB29" s="365" t="s">
        <v>58</v>
      </c>
      <c r="AC29" s="366"/>
      <c r="AD29" s="365" t="s">
        <v>59</v>
      </c>
      <c r="AE29" s="366"/>
      <c r="AF29" s="360" t="s">
        <v>58</v>
      </c>
      <c r="AG29" s="361"/>
      <c r="AH29" s="360" t="s">
        <v>58</v>
      </c>
      <c r="AI29" s="361"/>
      <c r="AJ29" s="360" t="s">
        <v>58</v>
      </c>
      <c r="AK29" s="361"/>
      <c r="AL29" s="360" t="s">
        <v>58</v>
      </c>
      <c r="AM29" s="361"/>
      <c r="AN29" s="360" t="s">
        <v>58</v>
      </c>
      <c r="AO29" s="362"/>
    </row>
    <row r="30" spans="1:41" ht="24" customHeight="1" x14ac:dyDescent="0.25">
      <c r="A30" s="38" t="s">
        <v>60</v>
      </c>
      <c r="B30" s="320">
        <v>23.5</v>
      </c>
      <c r="C30" s="321"/>
      <c r="D30" s="322">
        <v>26.9</v>
      </c>
      <c r="E30" s="321"/>
      <c r="F30" s="322">
        <v>27.2</v>
      </c>
      <c r="G30" s="321"/>
      <c r="H30" s="322">
        <v>23.4</v>
      </c>
      <c r="I30" s="321"/>
      <c r="J30" s="322">
        <v>26.9</v>
      </c>
      <c r="K30" s="321"/>
      <c r="L30" s="322">
        <v>29.2</v>
      </c>
      <c r="M30" s="321"/>
      <c r="N30" s="322">
        <v>22.3</v>
      </c>
      <c r="O30" s="321"/>
      <c r="P30" s="322">
        <v>22.3</v>
      </c>
      <c r="Q30" s="321"/>
      <c r="R30" s="322">
        <v>29.1</v>
      </c>
      <c r="S30" s="321"/>
      <c r="T30" s="322">
        <v>29.1</v>
      </c>
      <c r="U30" s="321"/>
      <c r="V30" s="322">
        <v>29</v>
      </c>
      <c r="W30" s="321"/>
      <c r="X30" s="322">
        <v>23.5</v>
      </c>
      <c r="Y30" s="321"/>
      <c r="Z30" s="322">
        <v>26.3</v>
      </c>
      <c r="AA30" s="321"/>
      <c r="AB30" s="322">
        <v>22.3</v>
      </c>
      <c r="AC30" s="321"/>
      <c r="AD30" s="322">
        <v>22.4</v>
      </c>
      <c r="AE30" s="321"/>
      <c r="AF30" s="322">
        <v>24.8</v>
      </c>
      <c r="AG30" s="321"/>
      <c r="AH30" s="322">
        <v>22.3</v>
      </c>
      <c r="AI30" s="321"/>
      <c r="AJ30" s="322">
        <v>21.7</v>
      </c>
      <c r="AK30" s="321"/>
      <c r="AL30" s="322">
        <v>22.3</v>
      </c>
      <c r="AM30" s="321"/>
      <c r="AN30" s="322">
        <v>22.8</v>
      </c>
      <c r="AO30" s="367"/>
    </row>
    <row r="31" spans="1:41" ht="24" customHeight="1" x14ac:dyDescent="0.25">
      <c r="A31" s="38" t="s">
        <v>61</v>
      </c>
      <c r="B31" s="359">
        <v>344.01</v>
      </c>
      <c r="C31" s="314"/>
      <c r="D31" s="314">
        <v>350.27</v>
      </c>
      <c r="E31" s="314"/>
      <c r="F31" s="314">
        <v>454.85</v>
      </c>
      <c r="G31" s="314"/>
      <c r="H31" s="314">
        <v>427.41</v>
      </c>
      <c r="I31" s="314"/>
      <c r="J31" s="314">
        <v>424.77</v>
      </c>
      <c r="K31" s="314"/>
      <c r="L31" s="314">
        <v>427.29</v>
      </c>
      <c r="M31" s="314"/>
      <c r="N31" s="314">
        <v>402.44</v>
      </c>
      <c r="O31" s="314"/>
      <c r="P31" s="314">
        <v>370.52</v>
      </c>
      <c r="Q31" s="314"/>
      <c r="R31" s="314">
        <v>418.31</v>
      </c>
      <c r="S31" s="314"/>
      <c r="T31" s="314">
        <v>406.43</v>
      </c>
      <c r="U31" s="314"/>
      <c r="V31" s="314">
        <v>378.76</v>
      </c>
      <c r="W31" s="314"/>
      <c r="X31" s="314">
        <v>435.35</v>
      </c>
      <c r="Y31" s="314"/>
      <c r="Z31" s="314">
        <v>544.39</v>
      </c>
      <c r="AA31" s="314"/>
      <c r="AB31" s="314">
        <v>517.04</v>
      </c>
      <c r="AC31" s="314"/>
      <c r="AD31" s="314">
        <v>499.63</v>
      </c>
      <c r="AE31" s="314"/>
      <c r="AF31" s="314">
        <v>436.5</v>
      </c>
      <c r="AG31" s="314"/>
      <c r="AH31" s="314">
        <v>407.52</v>
      </c>
      <c r="AI31" s="314"/>
      <c r="AJ31" s="314">
        <v>332.46</v>
      </c>
      <c r="AK31" s="314"/>
      <c r="AL31" s="314">
        <v>307.77</v>
      </c>
      <c r="AM31" s="314"/>
      <c r="AN31" s="314">
        <v>262.10000000000002</v>
      </c>
      <c r="AO31" s="314"/>
    </row>
    <row r="32" spans="1:41" ht="24" customHeight="1" x14ac:dyDescent="0.25">
      <c r="A32" s="38" t="s">
        <v>62</v>
      </c>
      <c r="B32" s="350">
        <v>179.99</v>
      </c>
      <c r="C32" s="351"/>
      <c r="D32" s="312">
        <v>179.89</v>
      </c>
      <c r="E32" s="313"/>
      <c r="F32" s="312">
        <v>175.74</v>
      </c>
      <c r="G32" s="313"/>
      <c r="H32" s="312">
        <v>180</v>
      </c>
      <c r="I32" s="313"/>
      <c r="J32" s="312">
        <v>179.99</v>
      </c>
      <c r="K32" s="313"/>
      <c r="L32" s="312">
        <v>167.2</v>
      </c>
      <c r="M32" s="313"/>
      <c r="N32" s="312">
        <v>179.88</v>
      </c>
      <c r="O32" s="313"/>
      <c r="P32" s="312">
        <v>179.48</v>
      </c>
      <c r="Q32" s="313"/>
      <c r="R32" s="312">
        <v>167.32</v>
      </c>
      <c r="S32" s="313"/>
      <c r="T32" s="312">
        <v>178.24</v>
      </c>
      <c r="U32" s="313"/>
      <c r="V32" s="312">
        <v>179.98</v>
      </c>
      <c r="W32" s="313"/>
      <c r="X32" s="312">
        <v>179.95</v>
      </c>
      <c r="Y32" s="313"/>
      <c r="Z32" s="312">
        <v>179.9</v>
      </c>
      <c r="AA32" s="313"/>
      <c r="AB32" s="312">
        <v>164.53</v>
      </c>
      <c r="AC32" s="313"/>
      <c r="AD32" s="312">
        <v>179.77</v>
      </c>
      <c r="AE32" s="313"/>
      <c r="AF32" s="312">
        <v>179.87</v>
      </c>
      <c r="AG32" s="313"/>
      <c r="AH32" s="312">
        <v>179.95</v>
      </c>
      <c r="AI32" s="313"/>
      <c r="AJ32" s="312">
        <v>164.11</v>
      </c>
      <c r="AK32" s="313"/>
      <c r="AL32" s="312">
        <v>179.84</v>
      </c>
      <c r="AM32" s="313"/>
      <c r="AN32" s="312">
        <v>179.94</v>
      </c>
      <c r="AO32" s="347"/>
    </row>
    <row r="33" spans="1:41" ht="24" customHeight="1" x14ac:dyDescent="0.25">
      <c r="A33" s="38" t="s">
        <v>86</v>
      </c>
      <c r="B33" s="357">
        <v>506819.99</v>
      </c>
      <c r="C33" s="344"/>
      <c r="D33" s="343">
        <v>506465.05</v>
      </c>
      <c r="E33" s="344"/>
      <c r="F33" s="343">
        <v>506287.35999999999</v>
      </c>
      <c r="G33" s="344"/>
      <c r="H33" s="343">
        <v>505959.08</v>
      </c>
      <c r="I33" s="344"/>
      <c r="J33" s="343">
        <v>505752.8</v>
      </c>
      <c r="K33" s="344"/>
      <c r="L33" s="343">
        <v>505513.22</v>
      </c>
      <c r="M33" s="344"/>
      <c r="N33" s="343">
        <v>505434.99</v>
      </c>
      <c r="O33" s="344"/>
      <c r="P33" s="343">
        <v>505126.31</v>
      </c>
      <c r="Q33" s="344"/>
      <c r="R33" s="343">
        <v>504893.2</v>
      </c>
      <c r="S33" s="344"/>
      <c r="T33" s="343">
        <v>504723.84</v>
      </c>
      <c r="U33" s="344"/>
      <c r="V33" s="343">
        <v>504576.53</v>
      </c>
      <c r="W33" s="344"/>
      <c r="X33" s="343">
        <v>504347.73</v>
      </c>
      <c r="Y33" s="344"/>
      <c r="Z33" s="343">
        <v>504055.65</v>
      </c>
      <c r="AA33" s="344"/>
      <c r="AB33" s="343">
        <v>503919.63</v>
      </c>
      <c r="AC33" s="344"/>
      <c r="AD33" s="343">
        <v>503857.18</v>
      </c>
      <c r="AE33" s="344"/>
      <c r="AF33" s="343">
        <v>503676.08</v>
      </c>
      <c r="AG33" s="344"/>
      <c r="AH33" s="343">
        <v>503477.48</v>
      </c>
      <c r="AI33" s="344"/>
      <c r="AJ33" s="343">
        <v>503215.19</v>
      </c>
      <c r="AK33" s="344"/>
      <c r="AL33" s="343">
        <v>503137.73</v>
      </c>
      <c r="AM33" s="344"/>
      <c r="AN33" s="343">
        <v>503039.72</v>
      </c>
      <c r="AO33" s="345"/>
    </row>
    <row r="34" spans="1:41" ht="24" customHeight="1" x14ac:dyDescent="0.25">
      <c r="A34" s="38" t="s">
        <v>87</v>
      </c>
      <c r="B34" s="357">
        <v>4920919</v>
      </c>
      <c r="C34" s="344"/>
      <c r="D34" s="343">
        <v>4920994.1100000003</v>
      </c>
      <c r="E34" s="344"/>
      <c r="F34" s="343">
        <v>4921032.08</v>
      </c>
      <c r="G34" s="344"/>
      <c r="H34" s="343">
        <v>4921128.24</v>
      </c>
      <c r="I34" s="344"/>
      <c r="J34" s="343">
        <v>4921188.68</v>
      </c>
      <c r="K34" s="344"/>
      <c r="L34" s="343">
        <v>4921258.91</v>
      </c>
      <c r="M34" s="344"/>
      <c r="N34" s="343">
        <v>4921263.74</v>
      </c>
      <c r="O34" s="344"/>
      <c r="P34" s="343">
        <v>4921282.13</v>
      </c>
      <c r="Q34" s="344"/>
      <c r="R34" s="343">
        <v>4921298.13</v>
      </c>
      <c r="S34" s="344"/>
      <c r="T34" s="343">
        <v>4921348.6399999997</v>
      </c>
      <c r="U34" s="344"/>
      <c r="V34" s="343">
        <v>4921397.5599999996</v>
      </c>
      <c r="W34" s="344"/>
      <c r="X34" s="343">
        <v>4921473.62</v>
      </c>
      <c r="Y34" s="344"/>
      <c r="Z34" s="343">
        <v>4921570.4400000004</v>
      </c>
      <c r="AA34" s="344"/>
      <c r="AB34" s="343">
        <v>4921615.8</v>
      </c>
      <c r="AC34" s="344"/>
      <c r="AD34" s="343">
        <v>4921657.78</v>
      </c>
      <c r="AE34" s="344"/>
      <c r="AF34" s="343">
        <v>4921780.59</v>
      </c>
      <c r="AG34" s="344"/>
      <c r="AH34" s="343">
        <v>4921914.59</v>
      </c>
      <c r="AI34" s="344"/>
      <c r="AJ34" s="343">
        <v>4922091.9000000004</v>
      </c>
      <c r="AK34" s="344"/>
      <c r="AL34" s="343">
        <v>4922117.32</v>
      </c>
      <c r="AM34" s="344"/>
      <c r="AN34" s="343">
        <v>4922149.78</v>
      </c>
      <c r="AO34" s="345"/>
    </row>
    <row r="35" spans="1:41" ht="24" customHeight="1" x14ac:dyDescent="0.25">
      <c r="A35" s="38" t="s">
        <v>63</v>
      </c>
      <c r="B35" s="47"/>
      <c r="C35" s="311">
        <v>362.8</v>
      </c>
      <c r="D35" s="311"/>
      <c r="E35" s="311">
        <v>181.7</v>
      </c>
      <c r="F35" s="311"/>
      <c r="G35" s="311">
        <v>342.07</v>
      </c>
      <c r="H35" s="311"/>
      <c r="I35" s="311">
        <v>214.95</v>
      </c>
      <c r="J35" s="311"/>
      <c r="K35" s="311">
        <v>249.66</v>
      </c>
      <c r="L35" s="311"/>
      <c r="M35" s="311">
        <v>78.38</v>
      </c>
      <c r="N35" s="311"/>
      <c r="O35" s="311">
        <v>309.23</v>
      </c>
      <c r="P35" s="311"/>
      <c r="Q35" s="311">
        <v>233.66</v>
      </c>
      <c r="R35" s="311"/>
      <c r="S35" s="311">
        <v>176.73</v>
      </c>
      <c r="T35" s="311"/>
      <c r="U35" s="311">
        <v>155.22</v>
      </c>
      <c r="V35" s="311"/>
      <c r="W35" s="311">
        <v>241.11</v>
      </c>
      <c r="X35" s="311"/>
      <c r="Y35" s="311">
        <v>307.70999999999998</v>
      </c>
      <c r="Z35" s="311"/>
      <c r="AA35" s="311">
        <v>143.38</v>
      </c>
      <c r="AB35" s="311"/>
      <c r="AC35" s="311">
        <v>75.25</v>
      </c>
      <c r="AD35" s="311"/>
      <c r="AE35" s="311">
        <v>218.81</v>
      </c>
      <c r="AF35" s="311"/>
      <c r="AG35" s="311">
        <v>239.58</v>
      </c>
      <c r="AH35" s="311"/>
      <c r="AI35" s="311">
        <v>316.60000000000002</v>
      </c>
      <c r="AJ35" s="311"/>
      <c r="AK35" s="311">
        <v>81.52</v>
      </c>
      <c r="AL35" s="311"/>
      <c r="AM35" s="311">
        <v>103.25</v>
      </c>
      <c r="AN35" s="311"/>
      <c r="AO35" s="39"/>
    </row>
    <row r="36" spans="1:41" ht="24" customHeight="1" x14ac:dyDescent="0.25">
      <c r="A36" s="38" t="s">
        <v>493</v>
      </c>
      <c r="B36" s="47"/>
      <c r="C36" s="303" t="s">
        <v>496</v>
      </c>
      <c r="D36" s="304"/>
      <c r="E36" s="303" t="s">
        <v>496</v>
      </c>
      <c r="F36" s="304"/>
      <c r="G36" s="303" t="s">
        <v>496</v>
      </c>
      <c r="H36" s="304"/>
      <c r="I36" s="303" t="s">
        <v>496</v>
      </c>
      <c r="J36" s="304"/>
      <c r="K36" s="303" t="s">
        <v>496</v>
      </c>
      <c r="L36" s="304"/>
      <c r="M36" s="303" t="s">
        <v>496</v>
      </c>
      <c r="N36" s="304"/>
      <c r="O36" s="303" t="s">
        <v>496</v>
      </c>
      <c r="P36" s="304"/>
      <c r="Q36" s="303" t="s">
        <v>496</v>
      </c>
      <c r="R36" s="304"/>
      <c r="S36" s="303" t="s">
        <v>496</v>
      </c>
      <c r="T36" s="304"/>
      <c r="U36" s="303" t="s">
        <v>496</v>
      </c>
      <c r="V36" s="304"/>
      <c r="W36" s="303" t="s">
        <v>496</v>
      </c>
      <c r="X36" s="304"/>
      <c r="Y36" s="303" t="s">
        <v>496</v>
      </c>
      <c r="Z36" s="304"/>
      <c r="AA36" s="303" t="s">
        <v>496</v>
      </c>
      <c r="AB36" s="304"/>
      <c r="AC36" s="303" t="s">
        <v>496</v>
      </c>
      <c r="AD36" s="304"/>
      <c r="AE36" s="303" t="s">
        <v>496</v>
      </c>
      <c r="AF36" s="304"/>
      <c r="AG36" s="303" t="s">
        <v>496</v>
      </c>
      <c r="AH36" s="304"/>
      <c r="AI36" s="303" t="s">
        <v>496</v>
      </c>
      <c r="AJ36" s="304"/>
      <c r="AK36" s="303" t="s">
        <v>496</v>
      </c>
      <c r="AL36" s="304"/>
      <c r="AM36" s="303" t="s">
        <v>496</v>
      </c>
      <c r="AN36" s="304"/>
      <c r="AO36" s="39"/>
    </row>
    <row r="37" spans="1:41" ht="24" customHeight="1" x14ac:dyDescent="0.25">
      <c r="A37" s="38" t="s">
        <v>65</v>
      </c>
      <c r="B37" s="358">
        <v>0</v>
      </c>
      <c r="C37" s="313"/>
      <c r="D37" s="312">
        <v>362.8</v>
      </c>
      <c r="E37" s="313"/>
      <c r="F37" s="312">
        <v>544.5</v>
      </c>
      <c r="G37" s="313"/>
      <c r="H37" s="312">
        <v>886.58</v>
      </c>
      <c r="I37" s="313"/>
      <c r="J37" s="312">
        <v>1101.53</v>
      </c>
      <c r="K37" s="313"/>
      <c r="L37" s="312">
        <v>1351.19</v>
      </c>
      <c r="M37" s="313"/>
      <c r="N37" s="312">
        <v>1429.57</v>
      </c>
      <c r="O37" s="313"/>
      <c r="P37" s="312">
        <v>1738.8</v>
      </c>
      <c r="Q37" s="313"/>
      <c r="R37" s="312">
        <v>1972.45</v>
      </c>
      <c r="S37" s="313"/>
      <c r="T37" s="312">
        <v>2149.19</v>
      </c>
      <c r="U37" s="313"/>
      <c r="V37" s="312">
        <v>2304.41</v>
      </c>
      <c r="W37" s="313"/>
      <c r="X37" s="312">
        <v>2545.52</v>
      </c>
      <c r="Y37" s="313"/>
      <c r="Z37" s="312">
        <v>2853.23</v>
      </c>
      <c r="AA37" s="313"/>
      <c r="AB37" s="312">
        <v>2996.61</v>
      </c>
      <c r="AC37" s="313"/>
      <c r="AD37" s="312">
        <v>3071.86</v>
      </c>
      <c r="AE37" s="313"/>
      <c r="AF37" s="312">
        <v>3290.67</v>
      </c>
      <c r="AG37" s="313"/>
      <c r="AH37" s="312">
        <v>3530.25</v>
      </c>
      <c r="AI37" s="313"/>
      <c r="AJ37" s="312">
        <v>3846.85</v>
      </c>
      <c r="AK37" s="313"/>
      <c r="AL37" s="312">
        <v>3928.37</v>
      </c>
      <c r="AM37" s="313"/>
      <c r="AN37" s="312">
        <v>4031.62</v>
      </c>
      <c r="AO37" s="347"/>
    </row>
    <row r="38" spans="1:41" ht="24" customHeight="1" x14ac:dyDescent="0.25">
      <c r="A38" s="38" t="s">
        <v>509</v>
      </c>
      <c r="B38" s="315">
        <f>SUM(C35:AM35)</f>
        <v>4031.6099999999997</v>
      </c>
      <c r="C38" s="316"/>
      <c r="D38" s="316"/>
      <c r="E38" s="316"/>
      <c r="F38" s="316"/>
      <c r="G38" s="316"/>
      <c r="H38" s="316"/>
      <c r="I38" s="316"/>
      <c r="J38" s="316"/>
      <c r="K38" s="316"/>
      <c r="L38" s="316"/>
      <c r="M38" s="316"/>
      <c r="N38" s="316"/>
      <c r="O38" s="316"/>
      <c r="P38" s="316"/>
      <c r="Q38" s="316"/>
      <c r="R38" s="316"/>
      <c r="S38" s="316"/>
      <c r="T38" s="316"/>
      <c r="U38" s="316"/>
      <c r="V38" s="316"/>
      <c r="W38" s="316"/>
      <c r="X38" s="316"/>
      <c r="Y38" s="316"/>
      <c r="Z38" s="316"/>
      <c r="AA38" s="316"/>
      <c r="AB38" s="316"/>
      <c r="AC38" s="316"/>
      <c r="AD38" s="316"/>
      <c r="AE38" s="316"/>
      <c r="AF38" s="316"/>
      <c r="AG38" s="316"/>
      <c r="AH38" s="316"/>
      <c r="AI38" s="316"/>
      <c r="AJ38" s="316"/>
      <c r="AK38" s="316"/>
      <c r="AL38" s="316"/>
      <c r="AM38" s="316"/>
      <c r="AN38" s="316"/>
      <c r="AO38" s="316"/>
    </row>
    <row r="39" spans="1:41" ht="24" customHeight="1" x14ac:dyDescent="0.25">
      <c r="A39" s="385" t="s">
        <v>494</v>
      </c>
      <c r="B39" s="333"/>
      <c r="C39" s="333"/>
      <c r="D39" s="333"/>
      <c r="E39" s="333"/>
      <c r="F39" s="333"/>
      <c r="G39" s="333"/>
      <c r="H39" s="333"/>
      <c r="I39" s="333"/>
      <c r="J39" s="333"/>
      <c r="K39" s="333"/>
      <c r="L39" s="333"/>
      <c r="M39" s="333"/>
      <c r="N39" s="333"/>
      <c r="O39" s="333"/>
      <c r="P39" s="333"/>
      <c r="Q39" s="333"/>
      <c r="R39" s="333"/>
      <c r="S39" s="333"/>
      <c r="T39" s="333"/>
      <c r="U39" s="333"/>
      <c r="V39" s="333"/>
      <c r="W39" s="333"/>
      <c r="X39" s="333"/>
      <c r="Y39" s="333"/>
      <c r="Z39" s="333"/>
      <c r="AA39" s="333"/>
      <c r="AB39" s="333"/>
      <c r="AC39" s="333"/>
      <c r="AD39" s="333"/>
      <c r="AE39" s="333"/>
      <c r="AF39" s="333"/>
      <c r="AG39" s="333"/>
      <c r="AH39" s="333"/>
      <c r="AI39" s="333"/>
      <c r="AJ39" s="333"/>
      <c r="AK39" s="333"/>
      <c r="AL39" s="333"/>
      <c r="AM39" s="333"/>
      <c r="AN39" s="333"/>
      <c r="AO39" s="333"/>
    </row>
    <row r="40" spans="1:41" ht="24" customHeight="1" x14ac:dyDescent="0.25">
      <c r="A40" s="295" t="s">
        <v>495</v>
      </c>
      <c r="B40" s="330" t="s">
        <v>496</v>
      </c>
      <c r="C40" s="330"/>
      <c r="D40" s="330"/>
      <c r="E40" s="330"/>
      <c r="F40" s="330"/>
      <c r="G40" s="330"/>
      <c r="H40" s="330"/>
      <c r="I40" s="330"/>
      <c r="J40" s="330"/>
      <c r="K40" s="330"/>
      <c r="L40" s="330"/>
      <c r="M40" s="330"/>
      <c r="N40" s="330"/>
      <c r="O40" s="330"/>
      <c r="P40" s="330"/>
      <c r="Q40" s="330"/>
      <c r="R40" s="330"/>
      <c r="S40" s="330"/>
      <c r="T40" s="330"/>
      <c r="U40" s="330"/>
      <c r="V40" s="330"/>
      <c r="W40" s="330"/>
      <c r="X40" s="330"/>
      <c r="Y40" s="330"/>
      <c r="Z40" s="330"/>
      <c r="AA40" s="330"/>
      <c r="AB40" s="330"/>
      <c r="AC40" s="330"/>
      <c r="AD40" s="330"/>
      <c r="AE40" s="330"/>
      <c r="AF40" s="330"/>
      <c r="AG40" s="330"/>
      <c r="AH40" s="330"/>
      <c r="AI40" s="330"/>
      <c r="AJ40" s="330"/>
      <c r="AK40" s="330"/>
      <c r="AL40" s="330"/>
      <c r="AM40" s="330"/>
      <c r="AN40" s="330"/>
      <c r="AO40" s="330"/>
    </row>
    <row r="41" spans="1:41" ht="24" customHeight="1" x14ac:dyDescent="0.25">
      <c r="A41" s="295" t="s">
        <v>497</v>
      </c>
      <c r="B41" s="330" t="s">
        <v>496</v>
      </c>
      <c r="C41" s="330"/>
      <c r="D41" s="330"/>
      <c r="E41" s="330"/>
      <c r="F41" s="330"/>
      <c r="G41" s="330"/>
      <c r="H41" s="330"/>
      <c r="I41" s="330"/>
      <c r="J41" s="330"/>
      <c r="K41" s="330"/>
      <c r="L41" s="330"/>
      <c r="M41" s="330"/>
      <c r="N41" s="330"/>
      <c r="O41" s="330"/>
      <c r="P41" s="330"/>
      <c r="Q41" s="330"/>
      <c r="R41" s="330"/>
      <c r="S41" s="330"/>
      <c r="T41" s="330"/>
      <c r="U41" s="330"/>
      <c r="V41" s="330"/>
      <c r="W41" s="330"/>
      <c r="X41" s="330"/>
      <c r="Y41" s="330"/>
      <c r="Z41" s="330"/>
      <c r="AA41" s="330"/>
      <c r="AB41" s="330"/>
      <c r="AC41" s="330"/>
      <c r="AD41" s="330"/>
      <c r="AE41" s="330"/>
      <c r="AF41" s="330"/>
      <c r="AG41" s="330"/>
      <c r="AH41" s="330"/>
      <c r="AI41" s="330"/>
      <c r="AJ41" s="330"/>
      <c r="AK41" s="330"/>
      <c r="AL41" s="330"/>
      <c r="AM41" s="330"/>
      <c r="AN41" s="330"/>
      <c r="AO41" s="330"/>
    </row>
    <row r="42" spans="1:41" ht="24" customHeight="1" x14ac:dyDescent="0.25">
      <c r="A42" s="295" t="s">
        <v>498</v>
      </c>
      <c r="B42" s="331" t="s">
        <v>88</v>
      </c>
      <c r="C42" s="331"/>
      <c r="D42" s="331"/>
      <c r="E42" s="331"/>
      <c r="F42" s="331"/>
      <c r="G42" s="331"/>
      <c r="H42" s="331"/>
      <c r="I42" s="331"/>
      <c r="J42" s="331"/>
      <c r="K42" s="331"/>
      <c r="L42" s="331"/>
      <c r="M42" s="331"/>
      <c r="N42" s="331"/>
      <c r="O42" s="331"/>
      <c r="P42" s="331"/>
      <c r="Q42" s="331"/>
      <c r="R42" s="331"/>
      <c r="S42" s="331"/>
      <c r="T42" s="331"/>
      <c r="U42" s="331"/>
      <c r="V42" s="331"/>
      <c r="W42" s="331"/>
      <c r="X42" s="331"/>
      <c r="Y42" s="331"/>
      <c r="Z42" s="331"/>
      <c r="AA42" s="331"/>
      <c r="AB42" s="331"/>
      <c r="AC42" s="331"/>
      <c r="AD42" s="331"/>
      <c r="AE42" s="331"/>
      <c r="AF42" s="331"/>
      <c r="AG42" s="331"/>
      <c r="AH42" s="331"/>
      <c r="AI42" s="331"/>
      <c r="AJ42" s="331"/>
      <c r="AK42" s="331"/>
      <c r="AL42" s="331"/>
      <c r="AM42" s="331"/>
      <c r="AN42" s="331"/>
      <c r="AO42" s="331"/>
    </row>
    <row r="43" spans="1:41" ht="24" customHeight="1" x14ac:dyDescent="0.25">
      <c r="A43" s="295" t="s">
        <v>499</v>
      </c>
      <c r="B43" s="331" t="s">
        <v>171</v>
      </c>
      <c r="C43" s="331"/>
      <c r="D43" s="331"/>
      <c r="E43" s="331"/>
      <c r="F43" s="331"/>
      <c r="G43" s="331"/>
      <c r="H43" s="331"/>
      <c r="I43" s="331"/>
      <c r="J43" s="331"/>
      <c r="K43" s="331"/>
      <c r="L43" s="331"/>
      <c r="M43" s="331"/>
      <c r="N43" s="331"/>
      <c r="O43" s="331"/>
      <c r="P43" s="331"/>
      <c r="Q43" s="331"/>
      <c r="R43" s="331"/>
      <c r="S43" s="331"/>
      <c r="T43" s="331"/>
      <c r="U43" s="331"/>
      <c r="V43" s="331"/>
      <c r="W43" s="331"/>
      <c r="X43" s="331"/>
      <c r="Y43" s="331"/>
      <c r="Z43" s="331"/>
      <c r="AA43" s="331"/>
      <c r="AB43" s="331"/>
      <c r="AC43" s="331"/>
      <c r="AD43" s="331"/>
      <c r="AE43" s="331"/>
      <c r="AF43" s="331"/>
      <c r="AG43" s="331"/>
      <c r="AH43" s="331"/>
      <c r="AI43" s="331"/>
      <c r="AJ43" s="331"/>
      <c r="AK43" s="331"/>
      <c r="AL43" s="331"/>
      <c r="AM43" s="331"/>
      <c r="AN43" s="331"/>
      <c r="AO43" s="331"/>
    </row>
    <row r="44" spans="1:41" ht="24" customHeight="1" x14ac:dyDescent="0.25">
      <c r="A44" s="295" t="s">
        <v>500</v>
      </c>
      <c r="B44" s="331" t="s">
        <v>496</v>
      </c>
      <c r="C44" s="331"/>
      <c r="D44" s="331"/>
      <c r="E44" s="331"/>
      <c r="F44" s="331"/>
      <c r="G44" s="331"/>
      <c r="H44" s="331"/>
      <c r="I44" s="331"/>
      <c r="J44" s="331"/>
      <c r="K44" s="331"/>
      <c r="L44" s="331"/>
      <c r="M44" s="331"/>
      <c r="N44" s="331"/>
      <c r="O44" s="331"/>
      <c r="P44" s="331"/>
      <c r="Q44" s="331"/>
      <c r="R44" s="331"/>
      <c r="S44" s="331"/>
      <c r="T44" s="331"/>
      <c r="U44" s="331"/>
      <c r="V44" s="331"/>
      <c r="W44" s="331"/>
      <c r="X44" s="331"/>
      <c r="Y44" s="331"/>
      <c r="Z44" s="331"/>
      <c r="AA44" s="331"/>
      <c r="AB44" s="331"/>
      <c r="AC44" s="331"/>
      <c r="AD44" s="331"/>
      <c r="AE44" s="331"/>
      <c r="AF44" s="331"/>
      <c r="AG44" s="331"/>
      <c r="AH44" s="331"/>
      <c r="AI44" s="331"/>
      <c r="AJ44" s="331"/>
      <c r="AK44" s="331"/>
      <c r="AL44" s="331"/>
      <c r="AM44" s="331"/>
      <c r="AN44" s="331"/>
      <c r="AO44" s="331"/>
    </row>
    <row r="45" spans="1:41" ht="24" customHeight="1" x14ac:dyDescent="0.25">
      <c r="A45" s="295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</row>
    <row r="46" spans="1:41" ht="24" customHeight="1" x14ac:dyDescent="0.25">
      <c r="A46" s="333" t="s">
        <v>501</v>
      </c>
      <c r="B46" s="333"/>
      <c r="C46" s="333"/>
      <c r="D46" s="333"/>
      <c r="E46" s="333"/>
      <c r="F46" s="333"/>
      <c r="G46" s="333"/>
      <c r="H46" s="333"/>
      <c r="I46" s="333"/>
      <c r="J46" s="333"/>
      <c r="K46" s="333"/>
      <c r="L46" s="333"/>
      <c r="M46" s="333"/>
      <c r="N46" s="333"/>
      <c r="O46" s="333"/>
      <c r="P46" s="333"/>
      <c r="Q46" s="333"/>
      <c r="R46" s="333"/>
      <c r="S46" s="333"/>
      <c r="T46" s="333"/>
      <c r="U46" s="333"/>
      <c r="V46" s="333"/>
      <c r="W46" s="333"/>
      <c r="X46" s="333"/>
      <c r="Y46" s="333"/>
      <c r="Z46" s="333"/>
      <c r="AA46" s="333"/>
      <c r="AB46" s="333"/>
      <c r="AC46" s="333"/>
      <c r="AD46" s="333"/>
      <c r="AE46" s="333"/>
      <c r="AF46" s="333"/>
      <c r="AG46" s="333"/>
      <c r="AH46" s="333"/>
      <c r="AI46" s="333"/>
      <c r="AJ46" s="333"/>
      <c r="AK46" s="333"/>
      <c r="AL46" s="333"/>
      <c r="AM46" s="333"/>
      <c r="AN46" s="333"/>
      <c r="AO46" s="333"/>
    </row>
    <row r="47" spans="1:41" ht="60" customHeight="1" x14ac:dyDescent="0.25">
      <c r="A47" s="296" t="s">
        <v>502</v>
      </c>
      <c r="B47" s="332" t="s">
        <v>508</v>
      </c>
      <c r="C47" s="332"/>
      <c r="D47" s="332" t="s">
        <v>508</v>
      </c>
      <c r="E47" s="332"/>
      <c r="F47" s="332" t="s">
        <v>508</v>
      </c>
      <c r="G47" s="332"/>
      <c r="H47" s="332" t="s">
        <v>508</v>
      </c>
      <c r="I47" s="332"/>
      <c r="J47" s="332" t="s">
        <v>508</v>
      </c>
      <c r="K47" s="332"/>
      <c r="L47" s="332" t="s">
        <v>508</v>
      </c>
      <c r="M47" s="332"/>
      <c r="N47" s="332" t="s">
        <v>508</v>
      </c>
      <c r="O47" s="332"/>
      <c r="P47" s="332" t="s">
        <v>508</v>
      </c>
      <c r="Q47" s="332"/>
      <c r="R47" s="332" t="s">
        <v>508</v>
      </c>
      <c r="S47" s="332"/>
      <c r="T47" s="332" t="s">
        <v>508</v>
      </c>
      <c r="U47" s="332"/>
      <c r="V47" s="332" t="s">
        <v>508</v>
      </c>
      <c r="W47" s="332"/>
      <c r="X47" s="332" t="s">
        <v>508</v>
      </c>
      <c r="Y47" s="332"/>
      <c r="Z47" s="332" t="s">
        <v>508</v>
      </c>
      <c r="AA47" s="332"/>
      <c r="AB47" s="332" t="s">
        <v>508</v>
      </c>
      <c r="AC47" s="332"/>
      <c r="AD47" s="332" t="s">
        <v>508</v>
      </c>
      <c r="AE47" s="332"/>
      <c r="AF47" s="332" t="s">
        <v>508</v>
      </c>
      <c r="AG47" s="332"/>
      <c r="AH47" s="332" t="s">
        <v>508</v>
      </c>
      <c r="AI47" s="332"/>
      <c r="AJ47" s="332" t="s">
        <v>508</v>
      </c>
      <c r="AK47" s="332"/>
      <c r="AL47" s="332" t="s">
        <v>508</v>
      </c>
      <c r="AM47" s="332"/>
      <c r="AN47" s="332" t="s">
        <v>508</v>
      </c>
      <c r="AO47" s="332"/>
    </row>
    <row r="48" spans="1:41" ht="24" customHeight="1" x14ac:dyDescent="0.25">
      <c r="A48" s="296" t="s">
        <v>503</v>
      </c>
      <c r="B48" s="329"/>
      <c r="C48" s="329"/>
      <c r="D48" s="329"/>
      <c r="E48" s="329"/>
      <c r="F48" s="329"/>
      <c r="G48" s="329"/>
      <c r="H48" s="329"/>
      <c r="I48" s="329"/>
      <c r="J48" s="329"/>
      <c r="K48" s="329"/>
      <c r="L48" s="329"/>
      <c r="M48" s="329"/>
      <c r="N48" s="329"/>
      <c r="O48" s="329"/>
      <c r="P48" s="329"/>
      <c r="Q48" s="329"/>
      <c r="R48" s="329"/>
      <c r="S48" s="329"/>
      <c r="T48" s="329"/>
      <c r="U48" s="329"/>
      <c r="V48" s="329"/>
      <c r="W48" s="329"/>
      <c r="X48" s="329"/>
      <c r="Y48" s="329"/>
      <c r="Z48" s="329"/>
      <c r="AA48" s="329"/>
      <c r="AB48" s="329"/>
      <c r="AC48" s="329"/>
      <c r="AD48" s="329"/>
      <c r="AE48" s="329"/>
      <c r="AF48" s="329"/>
      <c r="AG48" s="329"/>
      <c r="AH48" s="329"/>
      <c r="AI48" s="329"/>
      <c r="AJ48" s="329"/>
      <c r="AK48" s="329"/>
      <c r="AL48" s="329"/>
      <c r="AM48" s="329"/>
      <c r="AN48" s="329"/>
      <c r="AO48" s="329"/>
    </row>
    <row r="49" spans="1:41" ht="24" customHeight="1" x14ac:dyDescent="0.25">
      <c r="A49" s="296" t="s">
        <v>504</v>
      </c>
      <c r="B49" s="329"/>
      <c r="C49" s="329"/>
      <c r="D49" s="329"/>
      <c r="E49" s="329"/>
      <c r="F49" s="329"/>
      <c r="G49" s="329"/>
      <c r="H49" s="329"/>
      <c r="I49" s="329"/>
      <c r="J49" s="329"/>
      <c r="K49" s="329"/>
      <c r="L49" s="329"/>
      <c r="M49" s="329"/>
      <c r="N49" s="329"/>
      <c r="O49" s="329"/>
      <c r="P49" s="329"/>
      <c r="Q49" s="329"/>
      <c r="R49" s="329"/>
      <c r="S49" s="329"/>
      <c r="T49" s="329"/>
      <c r="U49" s="329"/>
      <c r="V49" s="329"/>
      <c r="W49" s="329"/>
      <c r="X49" s="329"/>
      <c r="Y49" s="329"/>
      <c r="Z49" s="329"/>
      <c r="AA49" s="329"/>
      <c r="AB49" s="329"/>
      <c r="AC49" s="329"/>
      <c r="AD49" s="329"/>
      <c r="AE49" s="329"/>
      <c r="AF49" s="329"/>
      <c r="AG49" s="329"/>
      <c r="AH49" s="329"/>
      <c r="AI49" s="329"/>
      <c r="AJ49" s="329"/>
      <c r="AK49" s="329"/>
      <c r="AL49" s="329"/>
      <c r="AM49" s="329"/>
      <c r="AN49" s="329"/>
      <c r="AO49" s="329"/>
    </row>
    <row r="50" spans="1:41" ht="24" customHeight="1" x14ac:dyDescent="0.25">
      <c r="A50" s="296" t="s">
        <v>505</v>
      </c>
      <c r="B50" s="329"/>
      <c r="C50" s="329"/>
      <c r="D50" s="329"/>
      <c r="E50" s="329"/>
      <c r="F50" s="329"/>
      <c r="G50" s="329"/>
      <c r="H50" s="329"/>
      <c r="I50" s="329"/>
      <c r="J50" s="329"/>
      <c r="K50" s="329"/>
      <c r="L50" s="329"/>
      <c r="M50" s="329"/>
      <c r="N50" s="329"/>
      <c r="O50" s="329"/>
      <c r="P50" s="329"/>
      <c r="Q50" s="329"/>
      <c r="R50" s="329"/>
      <c r="S50" s="329"/>
      <c r="T50" s="329"/>
      <c r="U50" s="329"/>
      <c r="V50" s="329"/>
      <c r="W50" s="329"/>
      <c r="X50" s="329"/>
      <c r="Y50" s="329"/>
      <c r="Z50" s="329"/>
      <c r="AA50" s="329"/>
      <c r="AB50" s="329"/>
      <c r="AC50" s="329"/>
      <c r="AD50" s="329"/>
      <c r="AE50" s="329"/>
      <c r="AF50" s="329"/>
      <c r="AG50" s="329"/>
      <c r="AH50" s="329"/>
      <c r="AI50" s="329"/>
      <c r="AJ50" s="329"/>
      <c r="AK50" s="329"/>
      <c r="AL50" s="329"/>
      <c r="AM50" s="329"/>
      <c r="AN50" s="329"/>
      <c r="AO50" s="329"/>
    </row>
    <row r="51" spans="1:41" ht="24" customHeight="1" x14ac:dyDescent="0.25">
      <c r="A51" s="296" t="s">
        <v>506</v>
      </c>
      <c r="B51" s="329"/>
      <c r="C51" s="329"/>
      <c r="D51" s="329"/>
      <c r="E51" s="329"/>
      <c r="F51" s="329"/>
      <c r="G51" s="329"/>
      <c r="H51" s="329"/>
      <c r="I51" s="329"/>
      <c r="J51" s="329"/>
      <c r="K51" s="329"/>
      <c r="L51" s="329"/>
      <c r="M51" s="329"/>
      <c r="N51" s="329"/>
      <c r="O51" s="329"/>
      <c r="P51" s="329"/>
      <c r="Q51" s="329"/>
      <c r="R51" s="329"/>
      <c r="S51" s="329"/>
      <c r="T51" s="329"/>
      <c r="U51" s="329"/>
      <c r="V51" s="329"/>
      <c r="W51" s="329"/>
      <c r="X51" s="329"/>
      <c r="Y51" s="329"/>
      <c r="Z51" s="329"/>
      <c r="AA51" s="329"/>
      <c r="AB51" s="329"/>
      <c r="AC51" s="329"/>
      <c r="AD51" s="329"/>
      <c r="AE51" s="329"/>
      <c r="AF51" s="329"/>
      <c r="AG51" s="329"/>
      <c r="AH51" s="329"/>
      <c r="AI51" s="329"/>
      <c r="AJ51" s="329"/>
      <c r="AK51" s="329"/>
      <c r="AL51" s="329"/>
      <c r="AM51" s="329"/>
      <c r="AN51" s="329"/>
      <c r="AO51" s="329"/>
    </row>
    <row r="52" spans="1:41" ht="24" customHeight="1" x14ac:dyDescent="0.25">
      <c r="A52" s="333" t="s">
        <v>507</v>
      </c>
      <c r="B52" s="333"/>
      <c r="C52" s="333"/>
      <c r="D52" s="333"/>
      <c r="E52" s="333"/>
      <c r="F52" s="333"/>
      <c r="G52" s="333"/>
      <c r="H52" s="333"/>
      <c r="I52" s="333"/>
      <c r="J52" s="333"/>
      <c r="K52" s="333"/>
      <c r="L52" s="333"/>
      <c r="M52" s="333"/>
      <c r="N52" s="333"/>
      <c r="O52" s="333"/>
      <c r="P52" s="333"/>
      <c r="Q52" s="333"/>
      <c r="R52" s="333"/>
      <c r="S52" s="333"/>
      <c r="T52" s="333"/>
      <c r="U52" s="333"/>
      <c r="V52" s="333"/>
      <c r="W52" s="333"/>
      <c r="X52" s="333"/>
      <c r="Y52" s="333"/>
      <c r="Z52" s="333"/>
      <c r="AA52" s="333"/>
      <c r="AB52" s="333"/>
      <c r="AC52" s="333"/>
      <c r="AD52" s="333"/>
      <c r="AE52" s="333"/>
      <c r="AF52" s="333"/>
      <c r="AG52" s="333"/>
      <c r="AH52" s="333"/>
      <c r="AI52" s="333"/>
      <c r="AJ52" s="333"/>
      <c r="AK52" s="333"/>
      <c r="AL52" s="333"/>
      <c r="AM52" s="333"/>
      <c r="AN52" s="333"/>
      <c r="AO52" s="333"/>
    </row>
    <row r="53" spans="1:41" s="31" customFormat="1" ht="48" customHeight="1" x14ac:dyDescent="0.25">
      <c r="A53" s="297" t="s">
        <v>502</v>
      </c>
      <c r="B53" s="332" t="s">
        <v>508</v>
      </c>
      <c r="C53" s="332"/>
      <c r="D53" s="332" t="s">
        <v>508</v>
      </c>
      <c r="E53" s="332"/>
      <c r="F53" s="332" t="s">
        <v>508</v>
      </c>
      <c r="G53" s="332"/>
      <c r="H53" s="332" t="s">
        <v>508</v>
      </c>
      <c r="I53" s="332"/>
      <c r="J53" s="332" t="s">
        <v>508</v>
      </c>
      <c r="K53" s="332"/>
      <c r="L53" s="332" t="s">
        <v>508</v>
      </c>
      <c r="M53" s="332"/>
      <c r="N53" s="332" t="s">
        <v>508</v>
      </c>
      <c r="O53" s="332"/>
      <c r="P53" s="332" t="s">
        <v>508</v>
      </c>
      <c r="Q53" s="332"/>
      <c r="R53" s="332" t="s">
        <v>508</v>
      </c>
      <c r="S53" s="332"/>
      <c r="T53" s="332" t="s">
        <v>508</v>
      </c>
      <c r="U53" s="332"/>
      <c r="V53" s="332" t="s">
        <v>508</v>
      </c>
      <c r="W53" s="332"/>
      <c r="X53" s="332" t="s">
        <v>508</v>
      </c>
      <c r="Y53" s="332"/>
      <c r="Z53" s="332" t="s">
        <v>508</v>
      </c>
      <c r="AA53" s="332"/>
      <c r="AB53" s="332" t="s">
        <v>508</v>
      </c>
      <c r="AC53" s="332"/>
      <c r="AD53" s="332" t="s">
        <v>508</v>
      </c>
      <c r="AE53" s="332"/>
      <c r="AF53" s="332" t="s">
        <v>508</v>
      </c>
      <c r="AG53" s="332"/>
      <c r="AH53" s="332" t="s">
        <v>508</v>
      </c>
      <c r="AI53" s="332"/>
      <c r="AJ53" s="332" t="s">
        <v>508</v>
      </c>
      <c r="AK53" s="332"/>
      <c r="AL53" s="332" t="s">
        <v>508</v>
      </c>
      <c r="AM53" s="332"/>
      <c r="AN53" s="332" t="s">
        <v>508</v>
      </c>
      <c r="AO53" s="332"/>
    </row>
    <row r="54" spans="1:41" ht="24" customHeight="1" x14ac:dyDescent="0.25">
      <c r="A54" s="298" t="s">
        <v>503</v>
      </c>
      <c r="B54" s="329"/>
      <c r="C54" s="329"/>
      <c r="D54" s="329"/>
      <c r="E54" s="329"/>
      <c r="F54" s="329"/>
      <c r="G54" s="329"/>
      <c r="H54" s="329"/>
      <c r="I54" s="329"/>
      <c r="J54" s="329"/>
      <c r="K54" s="329"/>
      <c r="L54" s="329"/>
      <c r="M54" s="329"/>
      <c r="N54" s="329"/>
      <c r="O54" s="329"/>
      <c r="P54" s="329"/>
      <c r="Q54" s="329"/>
      <c r="R54" s="329"/>
      <c r="S54" s="329"/>
      <c r="T54" s="329"/>
      <c r="U54" s="329"/>
      <c r="V54" s="329"/>
      <c r="W54" s="329"/>
      <c r="X54" s="329"/>
      <c r="Y54" s="329"/>
      <c r="Z54" s="329"/>
      <c r="AA54" s="329"/>
      <c r="AB54" s="329"/>
      <c r="AC54" s="329"/>
      <c r="AD54" s="329"/>
      <c r="AE54" s="329"/>
      <c r="AF54" s="329"/>
      <c r="AG54" s="329"/>
      <c r="AH54" s="329"/>
      <c r="AI54" s="329"/>
      <c r="AJ54" s="329"/>
      <c r="AK54" s="329"/>
      <c r="AL54" s="329"/>
      <c r="AM54" s="329"/>
      <c r="AN54" s="329"/>
      <c r="AO54" s="329"/>
    </row>
    <row r="55" spans="1:41" ht="24" customHeight="1" x14ac:dyDescent="0.25">
      <c r="A55" s="298" t="s">
        <v>504</v>
      </c>
      <c r="B55" s="329"/>
      <c r="C55" s="329"/>
      <c r="D55" s="329"/>
      <c r="E55" s="329"/>
      <c r="F55" s="329"/>
      <c r="G55" s="329"/>
      <c r="H55" s="329"/>
      <c r="I55" s="329"/>
      <c r="J55" s="329"/>
      <c r="K55" s="329"/>
      <c r="L55" s="329"/>
      <c r="M55" s="329"/>
      <c r="N55" s="329"/>
      <c r="O55" s="329"/>
      <c r="P55" s="329"/>
      <c r="Q55" s="329"/>
      <c r="R55" s="329"/>
      <c r="S55" s="329"/>
      <c r="T55" s="329"/>
      <c r="U55" s="329"/>
      <c r="V55" s="329"/>
      <c r="W55" s="329"/>
      <c r="X55" s="329"/>
      <c r="Y55" s="329"/>
      <c r="Z55" s="329"/>
      <c r="AA55" s="329"/>
      <c r="AB55" s="329"/>
      <c r="AC55" s="329"/>
      <c r="AD55" s="329"/>
      <c r="AE55" s="329"/>
      <c r="AF55" s="329"/>
      <c r="AG55" s="329"/>
      <c r="AH55" s="329"/>
      <c r="AI55" s="329"/>
      <c r="AJ55" s="329"/>
      <c r="AK55" s="329"/>
      <c r="AL55" s="329"/>
      <c r="AM55" s="329"/>
      <c r="AN55" s="329"/>
      <c r="AO55" s="329"/>
    </row>
    <row r="56" spans="1:41" ht="24" customHeight="1" x14ac:dyDescent="0.25">
      <c r="A56" s="298" t="s">
        <v>505</v>
      </c>
      <c r="B56" s="329"/>
      <c r="C56" s="329"/>
      <c r="D56" s="329"/>
      <c r="E56" s="329"/>
      <c r="F56" s="329"/>
      <c r="G56" s="329"/>
      <c r="H56" s="329"/>
      <c r="I56" s="329"/>
      <c r="J56" s="329"/>
      <c r="K56" s="329"/>
      <c r="L56" s="329"/>
      <c r="M56" s="329"/>
      <c r="N56" s="329"/>
      <c r="O56" s="329"/>
      <c r="P56" s="329"/>
      <c r="Q56" s="329"/>
      <c r="R56" s="329"/>
      <c r="S56" s="329"/>
      <c r="T56" s="329"/>
      <c r="U56" s="329"/>
      <c r="V56" s="329"/>
      <c r="W56" s="329"/>
      <c r="X56" s="329"/>
      <c r="Y56" s="329"/>
      <c r="Z56" s="329"/>
      <c r="AA56" s="329"/>
      <c r="AB56" s="329"/>
      <c r="AC56" s="329"/>
      <c r="AD56" s="329"/>
      <c r="AE56" s="329"/>
      <c r="AF56" s="329"/>
      <c r="AG56" s="329"/>
      <c r="AH56" s="329"/>
      <c r="AI56" s="329"/>
      <c r="AJ56" s="329"/>
      <c r="AK56" s="329"/>
      <c r="AL56" s="329"/>
      <c r="AM56" s="329"/>
      <c r="AN56" s="329"/>
      <c r="AO56" s="329"/>
    </row>
    <row r="57" spans="1:41" ht="24" customHeight="1" x14ac:dyDescent="0.25">
      <c r="A57" s="298" t="s">
        <v>506</v>
      </c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9"/>
      <c r="V57" s="329"/>
      <c r="W57" s="329"/>
      <c r="X57" s="329"/>
      <c r="Y57" s="329"/>
      <c r="Z57" s="329"/>
      <c r="AA57" s="329"/>
      <c r="AB57" s="329"/>
      <c r="AC57" s="329"/>
      <c r="AD57" s="329"/>
      <c r="AE57" s="329"/>
      <c r="AF57" s="329"/>
      <c r="AG57" s="329"/>
      <c r="AH57" s="329"/>
      <c r="AI57" s="329"/>
      <c r="AJ57" s="329"/>
      <c r="AK57" s="329"/>
      <c r="AL57" s="329"/>
      <c r="AM57" s="329"/>
      <c r="AN57" s="329"/>
      <c r="AO57" s="329"/>
    </row>
    <row r="58" spans="1:41" x14ac:dyDescent="0.25">
      <c r="A58" s="36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</row>
  </sheetData>
  <mergeCells count="419">
    <mergeCell ref="A1:AN1"/>
    <mergeCell ref="D2:R2"/>
    <mergeCell ref="T2:AN2"/>
    <mergeCell ref="A10:AN10"/>
    <mergeCell ref="A5:T5"/>
    <mergeCell ref="L4:T4"/>
    <mergeCell ref="V5:AN5"/>
    <mergeCell ref="B4:J4"/>
    <mergeCell ref="AF4:AN4"/>
    <mergeCell ref="V4:AD4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AJ7:AK7"/>
    <mergeCell ref="AL7:AM7"/>
    <mergeCell ref="AN7:AO7"/>
    <mergeCell ref="B8:C8"/>
    <mergeCell ref="D8:E8"/>
    <mergeCell ref="Z8:AA8"/>
    <mergeCell ref="Z7:AA7"/>
    <mergeCell ref="AB7:AC7"/>
    <mergeCell ref="AD7:AE7"/>
    <mergeCell ref="AF7:AG7"/>
    <mergeCell ref="AH7:AI7"/>
    <mergeCell ref="B7:C7"/>
    <mergeCell ref="D7:E7"/>
    <mergeCell ref="F7:G7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J28:AK28"/>
    <mergeCell ref="AL28:AM28"/>
    <mergeCell ref="AL8:AM8"/>
    <mergeCell ref="AN8:AO8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B8:AC8"/>
    <mergeCell ref="AD8:AE8"/>
    <mergeCell ref="AF8:AG8"/>
    <mergeCell ref="AH8:AI8"/>
    <mergeCell ref="AJ8:AK8"/>
    <mergeCell ref="X8:Y8"/>
    <mergeCell ref="AF29:AG29"/>
    <mergeCell ref="AH29:AI29"/>
    <mergeCell ref="AJ29:AK29"/>
    <mergeCell ref="AL29:AM29"/>
    <mergeCell ref="AN29:AO29"/>
    <mergeCell ref="AN28:AO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D28:AE28"/>
    <mergeCell ref="AF28:AG28"/>
    <mergeCell ref="AH28:AI28"/>
    <mergeCell ref="L30:M30"/>
    <mergeCell ref="N30:O30"/>
    <mergeCell ref="P30:Q30"/>
    <mergeCell ref="R30:S30"/>
    <mergeCell ref="T30:U30"/>
    <mergeCell ref="B30:C30"/>
    <mergeCell ref="D30:E30"/>
    <mergeCell ref="F30:G30"/>
    <mergeCell ref="H30:I30"/>
    <mergeCell ref="J30:K30"/>
    <mergeCell ref="AF30:AG30"/>
    <mergeCell ref="AH30:AI30"/>
    <mergeCell ref="AJ30:AK30"/>
    <mergeCell ref="AL30:AM30"/>
    <mergeCell ref="AN30:AO30"/>
    <mergeCell ref="V30:W30"/>
    <mergeCell ref="X30:Y30"/>
    <mergeCell ref="Z30:AA30"/>
    <mergeCell ref="AB30:AC30"/>
    <mergeCell ref="AD30:AE30"/>
    <mergeCell ref="L31:M31"/>
    <mergeCell ref="N31:O31"/>
    <mergeCell ref="P31:Q31"/>
    <mergeCell ref="R31:S31"/>
    <mergeCell ref="T31:U31"/>
    <mergeCell ref="B31:C31"/>
    <mergeCell ref="D31:E31"/>
    <mergeCell ref="F31:G31"/>
    <mergeCell ref="H31:I31"/>
    <mergeCell ref="J31:K31"/>
    <mergeCell ref="AF31:AG31"/>
    <mergeCell ref="AH31:AI31"/>
    <mergeCell ref="AJ31:AK31"/>
    <mergeCell ref="AL31:AM31"/>
    <mergeCell ref="AN31:AO31"/>
    <mergeCell ref="V31:W31"/>
    <mergeCell ref="X31:Y31"/>
    <mergeCell ref="Z31:AA31"/>
    <mergeCell ref="AB31:AC31"/>
    <mergeCell ref="AD31:AE31"/>
    <mergeCell ref="L32:M32"/>
    <mergeCell ref="N32:O32"/>
    <mergeCell ref="P32:Q32"/>
    <mergeCell ref="R32:S32"/>
    <mergeCell ref="T32:U32"/>
    <mergeCell ref="B32:C32"/>
    <mergeCell ref="D32:E32"/>
    <mergeCell ref="F32:G32"/>
    <mergeCell ref="H32:I32"/>
    <mergeCell ref="J32:K32"/>
    <mergeCell ref="AF32:AG32"/>
    <mergeCell ref="AH32:AI32"/>
    <mergeCell ref="AJ32:AK32"/>
    <mergeCell ref="AL32:AM32"/>
    <mergeCell ref="AN32:AO32"/>
    <mergeCell ref="V32:W32"/>
    <mergeCell ref="X32:Y32"/>
    <mergeCell ref="Z32:AA32"/>
    <mergeCell ref="AB32:AC32"/>
    <mergeCell ref="AD32:AE32"/>
    <mergeCell ref="L33:M33"/>
    <mergeCell ref="N33:O33"/>
    <mergeCell ref="P33:Q33"/>
    <mergeCell ref="R33:S33"/>
    <mergeCell ref="T33:U33"/>
    <mergeCell ref="B33:C33"/>
    <mergeCell ref="D33:E33"/>
    <mergeCell ref="F33:G33"/>
    <mergeCell ref="H33:I33"/>
    <mergeCell ref="J33:K33"/>
    <mergeCell ref="AF33:AG33"/>
    <mergeCell ref="AH33:AI33"/>
    <mergeCell ref="AJ33:AK33"/>
    <mergeCell ref="AL33:AM33"/>
    <mergeCell ref="AN33:AO33"/>
    <mergeCell ref="V33:W33"/>
    <mergeCell ref="X33:Y33"/>
    <mergeCell ref="Z33:AA33"/>
    <mergeCell ref="AB33:AC33"/>
    <mergeCell ref="AD33:AE33"/>
    <mergeCell ref="L34:M34"/>
    <mergeCell ref="N34:O34"/>
    <mergeCell ref="P34:Q34"/>
    <mergeCell ref="R34:S34"/>
    <mergeCell ref="T34:U34"/>
    <mergeCell ref="B34:C34"/>
    <mergeCell ref="D34:E34"/>
    <mergeCell ref="F34:G34"/>
    <mergeCell ref="H34:I34"/>
    <mergeCell ref="J34:K34"/>
    <mergeCell ref="AM35:AN35"/>
    <mergeCell ref="AF34:AG34"/>
    <mergeCell ref="AH34:AI34"/>
    <mergeCell ref="AJ34:AK34"/>
    <mergeCell ref="AL34:AM34"/>
    <mergeCell ref="AN34:AO34"/>
    <mergeCell ref="V34:W34"/>
    <mergeCell ref="X34:Y34"/>
    <mergeCell ref="Z34:AA34"/>
    <mergeCell ref="AB34:AC34"/>
    <mergeCell ref="AD34:AE34"/>
    <mergeCell ref="AE35:AF35"/>
    <mergeCell ref="AG35:AH35"/>
    <mergeCell ref="AI35:AJ35"/>
    <mergeCell ref="AK35:AL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H37:I37"/>
    <mergeCell ref="J37:K37"/>
    <mergeCell ref="AG36:AH36"/>
    <mergeCell ref="AI36:AJ36"/>
    <mergeCell ref="AK36:AL36"/>
    <mergeCell ref="AM36:AN36"/>
    <mergeCell ref="B38:AO38"/>
    <mergeCell ref="B40:AO40"/>
    <mergeCell ref="B41:AO41"/>
    <mergeCell ref="B42:AO42"/>
    <mergeCell ref="B43:AO43"/>
    <mergeCell ref="A39:AO39"/>
    <mergeCell ref="AF37:AG37"/>
    <mergeCell ref="AH37:AI37"/>
    <mergeCell ref="AJ37:AK37"/>
    <mergeCell ref="AL37:AM37"/>
    <mergeCell ref="AN37:AO37"/>
    <mergeCell ref="V37:W37"/>
    <mergeCell ref="X37:Y37"/>
    <mergeCell ref="Z37:AA37"/>
    <mergeCell ref="AB37:AC37"/>
    <mergeCell ref="AD37:AE37"/>
    <mergeCell ref="L37:M37"/>
    <mergeCell ref="N37:O37"/>
    <mergeCell ref="P37:Q37"/>
    <mergeCell ref="R37:S37"/>
    <mergeCell ref="T37:U37"/>
    <mergeCell ref="B37:C37"/>
    <mergeCell ref="D37:E37"/>
    <mergeCell ref="F37:G37"/>
    <mergeCell ref="AF47:AG47"/>
    <mergeCell ref="AH47:AI47"/>
    <mergeCell ref="AJ47:AK47"/>
    <mergeCell ref="AL47:AM47"/>
    <mergeCell ref="AN47:AO47"/>
    <mergeCell ref="B44:AO44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AB47:AC47"/>
    <mergeCell ref="AD47:AE47"/>
    <mergeCell ref="A46:AO46"/>
    <mergeCell ref="L48:M48"/>
    <mergeCell ref="N48:O48"/>
    <mergeCell ref="P48:Q48"/>
    <mergeCell ref="R48:S48"/>
    <mergeCell ref="T48:U48"/>
    <mergeCell ref="B48:C48"/>
    <mergeCell ref="D48:E48"/>
    <mergeCell ref="F48:G48"/>
    <mergeCell ref="H48:I48"/>
    <mergeCell ref="J48:K48"/>
    <mergeCell ref="AF48:AG48"/>
    <mergeCell ref="AH48:AI48"/>
    <mergeCell ref="AJ48:AK48"/>
    <mergeCell ref="AL48:AM48"/>
    <mergeCell ref="AN48:AO48"/>
    <mergeCell ref="V48:W48"/>
    <mergeCell ref="X48:Y48"/>
    <mergeCell ref="Z48:AA48"/>
    <mergeCell ref="AB48:AC48"/>
    <mergeCell ref="AD48:AE48"/>
    <mergeCell ref="L49:M49"/>
    <mergeCell ref="N49:O49"/>
    <mergeCell ref="P49:Q49"/>
    <mergeCell ref="R49:S49"/>
    <mergeCell ref="T49:U49"/>
    <mergeCell ref="B49:C49"/>
    <mergeCell ref="D49:E49"/>
    <mergeCell ref="F49:G49"/>
    <mergeCell ref="H49:I49"/>
    <mergeCell ref="J49:K49"/>
    <mergeCell ref="AF49:AG49"/>
    <mergeCell ref="AH49:AI49"/>
    <mergeCell ref="AJ49:AK49"/>
    <mergeCell ref="AL49:AM49"/>
    <mergeCell ref="AN49:AO49"/>
    <mergeCell ref="V49:W49"/>
    <mergeCell ref="X49:Y49"/>
    <mergeCell ref="Z49:AA49"/>
    <mergeCell ref="AB49:AC49"/>
    <mergeCell ref="AD49:AE49"/>
    <mergeCell ref="AB50:AC50"/>
    <mergeCell ref="AD50:AE50"/>
    <mergeCell ref="L50:M50"/>
    <mergeCell ref="N50:O50"/>
    <mergeCell ref="P50:Q50"/>
    <mergeCell ref="R50:S50"/>
    <mergeCell ref="T50:U50"/>
    <mergeCell ref="B50:C50"/>
    <mergeCell ref="D50:E50"/>
    <mergeCell ref="F50:G50"/>
    <mergeCell ref="H50:I50"/>
    <mergeCell ref="J50:K50"/>
    <mergeCell ref="L53:M53"/>
    <mergeCell ref="N53:O53"/>
    <mergeCell ref="P53:Q53"/>
    <mergeCell ref="R53:S53"/>
    <mergeCell ref="T53:U53"/>
    <mergeCell ref="B53:C53"/>
    <mergeCell ref="D53:E53"/>
    <mergeCell ref="F53:G53"/>
    <mergeCell ref="H53:I53"/>
    <mergeCell ref="J53:K53"/>
    <mergeCell ref="AF53:AG53"/>
    <mergeCell ref="AH53:AI53"/>
    <mergeCell ref="AJ53:AK53"/>
    <mergeCell ref="AL53:AM53"/>
    <mergeCell ref="AN53:AO53"/>
    <mergeCell ref="V53:W53"/>
    <mergeCell ref="X53:Y53"/>
    <mergeCell ref="Z53:AA53"/>
    <mergeCell ref="AB53:AC53"/>
    <mergeCell ref="AD53:AE53"/>
    <mergeCell ref="L54:M54"/>
    <mergeCell ref="N54:O54"/>
    <mergeCell ref="P54:Q54"/>
    <mergeCell ref="R54:S54"/>
    <mergeCell ref="T54:U54"/>
    <mergeCell ref="B54:C54"/>
    <mergeCell ref="D54:E54"/>
    <mergeCell ref="F54:G54"/>
    <mergeCell ref="H54:I54"/>
    <mergeCell ref="J54:K54"/>
    <mergeCell ref="AF54:AG54"/>
    <mergeCell ref="AH54:AI54"/>
    <mergeCell ref="AJ54:AK54"/>
    <mergeCell ref="AL54:AM54"/>
    <mergeCell ref="AN54:AO54"/>
    <mergeCell ref="V54:W54"/>
    <mergeCell ref="X54:Y54"/>
    <mergeCell ref="Z54:AA54"/>
    <mergeCell ref="AB54:AC54"/>
    <mergeCell ref="AD54:AE54"/>
    <mergeCell ref="L55:M55"/>
    <mergeCell ref="N55:O55"/>
    <mergeCell ref="P55:Q55"/>
    <mergeCell ref="R55:S55"/>
    <mergeCell ref="T55:U55"/>
    <mergeCell ref="B55:C55"/>
    <mergeCell ref="D55:E55"/>
    <mergeCell ref="F55:G55"/>
    <mergeCell ref="H55:I55"/>
    <mergeCell ref="J55:K55"/>
    <mergeCell ref="AF55:AG55"/>
    <mergeCell ref="AH55:AI55"/>
    <mergeCell ref="AJ55:AK55"/>
    <mergeCell ref="AL55:AM55"/>
    <mergeCell ref="AN55:AO55"/>
    <mergeCell ref="V55:W55"/>
    <mergeCell ref="X55:Y55"/>
    <mergeCell ref="Z55:AA55"/>
    <mergeCell ref="AB55:AC55"/>
    <mergeCell ref="AD55:AE55"/>
    <mergeCell ref="B57:AO57"/>
    <mergeCell ref="AF56:AG56"/>
    <mergeCell ref="AH56:AI56"/>
    <mergeCell ref="AJ56:AK56"/>
    <mergeCell ref="AL56:AM56"/>
    <mergeCell ref="AN56:AO56"/>
    <mergeCell ref="V56:W56"/>
    <mergeCell ref="X56:Y56"/>
    <mergeCell ref="Z56:AA56"/>
    <mergeCell ref="AB56:AC56"/>
    <mergeCell ref="AD56:AE56"/>
    <mergeCell ref="L56:M56"/>
    <mergeCell ref="N56:O56"/>
    <mergeCell ref="P56:Q56"/>
    <mergeCell ref="R56:S56"/>
    <mergeCell ref="T56:U56"/>
    <mergeCell ref="B56:C56"/>
    <mergeCell ref="D56:E56"/>
    <mergeCell ref="F56:G56"/>
    <mergeCell ref="H56:I56"/>
    <mergeCell ref="J56:K56"/>
    <mergeCell ref="A52:AO52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B35"/>
    <mergeCell ref="AC35:AD35"/>
    <mergeCell ref="B51:AO51"/>
    <mergeCell ref="AF50:AG50"/>
    <mergeCell ref="AH50:AI50"/>
    <mergeCell ref="AJ50:AK50"/>
    <mergeCell ref="AL50:AM50"/>
    <mergeCell ref="AN50:AO50"/>
    <mergeCell ref="V50:W50"/>
    <mergeCell ref="X50:Y50"/>
    <mergeCell ref="Z50:AA50"/>
  </mergeCells>
  <conditionalFormatting sqref="B8 D8 F8 H8 J8 L8 N8 P8 R8 T8 V8 X8 Z8 AB8 AD8 AF8 AH8 AJ8 AL8 AN8">
    <cfRule type="expression" dxfId="52" priority="1">
      <formula>B8="—"</formula>
    </cfRule>
    <cfRule type="expression" dxfId="51" priority="2">
      <formula>B8&lt;&gt;"—"</formula>
    </cfRule>
  </conditionalFormatting>
  <conditionalFormatting sqref="C36">
    <cfRule type="cellIs" dxfId="50" priority="60" stopIfTrue="1" operator="greaterThan">
      <formula>1000</formula>
    </cfRule>
  </conditionalFormatting>
  <conditionalFormatting sqref="E36">
    <cfRule type="cellIs" dxfId="49" priority="61" stopIfTrue="1" operator="greaterThan">
      <formula>1000</formula>
    </cfRule>
  </conditionalFormatting>
  <conditionalFormatting sqref="G36">
    <cfRule type="cellIs" dxfId="48" priority="62" stopIfTrue="1" operator="greaterThan">
      <formula>1000</formula>
    </cfRule>
  </conditionalFormatting>
  <conditionalFormatting sqref="I36">
    <cfRule type="cellIs" dxfId="47" priority="63" stopIfTrue="1" operator="greaterThan">
      <formula>1000</formula>
    </cfRule>
  </conditionalFormatting>
  <conditionalFormatting sqref="K36">
    <cfRule type="cellIs" dxfId="46" priority="64" stopIfTrue="1" operator="greaterThan">
      <formula>1000</formula>
    </cfRule>
  </conditionalFormatting>
  <conditionalFormatting sqref="M36">
    <cfRule type="cellIs" dxfId="45" priority="65" stopIfTrue="1" operator="greaterThan">
      <formula>1000</formula>
    </cfRule>
  </conditionalFormatting>
  <conditionalFormatting sqref="O36">
    <cfRule type="cellIs" dxfId="44" priority="66" stopIfTrue="1" operator="greaterThan">
      <formula>1000</formula>
    </cfRule>
  </conditionalFormatting>
  <conditionalFormatting sqref="Q36">
    <cfRule type="cellIs" dxfId="43" priority="67" stopIfTrue="1" operator="greaterThan">
      <formula>1000</formula>
    </cfRule>
  </conditionalFormatting>
  <conditionalFormatting sqref="S36">
    <cfRule type="cellIs" dxfId="42" priority="68" stopIfTrue="1" operator="greaterThan">
      <formula>1000</formula>
    </cfRule>
  </conditionalFormatting>
  <conditionalFormatting sqref="U36">
    <cfRule type="cellIs" dxfId="41" priority="69" stopIfTrue="1" operator="greaterThan">
      <formula>1000</formula>
    </cfRule>
  </conditionalFormatting>
  <conditionalFormatting sqref="W36">
    <cfRule type="cellIs" dxfId="40" priority="70" stopIfTrue="1" operator="greaterThan">
      <formula>1000</formula>
    </cfRule>
  </conditionalFormatting>
  <conditionalFormatting sqref="Y36">
    <cfRule type="cellIs" dxfId="39" priority="71" stopIfTrue="1" operator="greaterThan">
      <formula>1000</formula>
    </cfRule>
  </conditionalFormatting>
  <conditionalFormatting sqref="AA36">
    <cfRule type="cellIs" dxfId="38" priority="72" stopIfTrue="1" operator="greaterThan">
      <formula>1000</formula>
    </cfRule>
  </conditionalFormatting>
  <conditionalFormatting sqref="AC36">
    <cfRule type="cellIs" dxfId="37" priority="73" stopIfTrue="1" operator="greaterThan">
      <formula>1000</formula>
    </cfRule>
  </conditionalFormatting>
  <conditionalFormatting sqref="AE36">
    <cfRule type="cellIs" dxfId="36" priority="74" stopIfTrue="1" operator="greaterThan">
      <formula>1000</formula>
    </cfRule>
  </conditionalFormatting>
  <conditionalFormatting sqref="AG36">
    <cfRule type="cellIs" dxfId="35" priority="75" stopIfTrue="1" operator="greaterThan">
      <formula>1000</formula>
    </cfRule>
  </conditionalFormatting>
  <conditionalFormatting sqref="AI36">
    <cfRule type="cellIs" dxfId="34" priority="76" stopIfTrue="1" operator="greaterThan">
      <formula>1000</formula>
    </cfRule>
  </conditionalFormatting>
  <conditionalFormatting sqref="AK36">
    <cfRule type="cellIs" dxfId="33" priority="77" stopIfTrue="1" operator="greaterThan">
      <formula>1000</formula>
    </cfRule>
  </conditionalFormatting>
  <conditionalFormatting sqref="AM36">
    <cfRule type="cellIs" dxfId="32" priority="78" stopIfTrue="1" operator="greaterThan">
      <formula>1000</formula>
    </cfRule>
  </conditionalFormatting>
  <printOptions horizontalCentered="1"/>
  <pageMargins left="0.19685039370078738" right="0.19685039370078738" top="0.23622047244094485" bottom="0.23622047244094485" header="0.5" footer="0.5"/>
  <pageSetup paperSize="8" orientation="landscape" r:id="rId1"/>
  <headerFooter>
    <oddFooter>&amp;C&amp;8 23842B1 · TIRATA 1 · Pagina &amp;P di &amp;N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 fitToPage="1"/>
  </sheetPr>
  <dimension ref="A1:AC58"/>
  <sheetViews>
    <sheetView showGridLines="0" topLeftCell="A13" zoomScale="70" zoomScaleNormal="70" workbookViewId="0">
      <selection activeCell="I36" sqref="I36:J36"/>
    </sheetView>
  </sheetViews>
  <sheetFormatPr baseColWidth="10" defaultColWidth="9.140625" defaultRowHeight="15" x14ac:dyDescent="0.25"/>
  <cols>
    <col min="1" max="1" width="24.42578125" customWidth="1"/>
    <col min="2" max="29" width="5" customWidth="1"/>
  </cols>
  <sheetData>
    <row r="1" spans="1:29" ht="30" customHeight="1" x14ac:dyDescent="0.25">
      <c r="A1" s="323" t="s">
        <v>172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4"/>
      <c r="AC1" s="32"/>
    </row>
    <row r="2" spans="1:29" ht="33.75" customHeight="1" x14ac:dyDescent="0.25">
      <c r="A2" s="1"/>
      <c r="B2" s="1"/>
      <c r="C2" s="1"/>
      <c r="D2" s="352" t="s">
        <v>1</v>
      </c>
      <c r="E2" s="353"/>
      <c r="F2" s="353"/>
      <c r="G2" s="353"/>
      <c r="H2" s="353"/>
      <c r="I2" s="353"/>
      <c r="J2" s="353"/>
      <c r="K2" s="353"/>
      <c r="L2" s="353"/>
      <c r="M2" s="22"/>
      <c r="N2" s="353" t="s">
        <v>2</v>
      </c>
      <c r="O2" s="353"/>
      <c r="P2" s="353"/>
      <c r="Q2" s="353"/>
      <c r="R2" s="353"/>
      <c r="S2" s="353"/>
      <c r="T2" s="353"/>
      <c r="U2" s="354"/>
      <c r="V2" s="355"/>
      <c r="W2" s="356"/>
      <c r="X2" s="356"/>
      <c r="Y2" s="356"/>
      <c r="Z2" s="356"/>
      <c r="AA2" s="356"/>
      <c r="AB2" s="356"/>
      <c r="AC2" s="23"/>
    </row>
    <row r="3" spans="1:2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5">
      <c r="A4" s="2" t="s">
        <v>3</v>
      </c>
      <c r="B4" s="339" t="s">
        <v>173</v>
      </c>
      <c r="C4" s="340"/>
      <c r="D4" s="340"/>
      <c r="E4" s="340"/>
      <c r="F4" s="340"/>
      <c r="G4" s="340"/>
      <c r="H4" s="340"/>
      <c r="I4" s="29"/>
      <c r="J4" s="340" t="s">
        <v>174</v>
      </c>
      <c r="K4" s="340"/>
      <c r="L4" s="340"/>
      <c r="M4" s="341"/>
      <c r="N4" s="339"/>
      <c r="O4" s="340"/>
      <c r="P4" s="340"/>
      <c r="Q4" s="29"/>
      <c r="R4" s="340" t="s">
        <v>175</v>
      </c>
      <c r="S4" s="340"/>
      <c r="T4" s="340"/>
      <c r="U4" s="340"/>
      <c r="V4" s="340"/>
      <c r="W4" s="340"/>
      <c r="X4" s="340"/>
      <c r="Y4" s="24"/>
      <c r="Z4" s="339" t="s">
        <v>7</v>
      </c>
      <c r="AA4" s="340"/>
      <c r="AB4" s="340"/>
      <c r="AC4" s="29"/>
    </row>
    <row r="5" spans="1:29" ht="33.950000000000003" customHeight="1" x14ac:dyDescent="0.25">
      <c r="A5" s="388" t="s">
        <v>176</v>
      </c>
      <c r="B5" s="334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5"/>
      <c r="O5" s="41"/>
      <c r="P5" s="335" t="s">
        <v>177</v>
      </c>
      <c r="Q5" s="335"/>
      <c r="R5" s="335"/>
      <c r="S5" s="335"/>
      <c r="T5" s="335"/>
      <c r="U5" s="335"/>
      <c r="V5" s="335"/>
      <c r="W5" s="336"/>
      <c r="X5" s="337"/>
      <c r="Y5" s="338"/>
      <c r="Z5" s="338"/>
      <c r="AA5" s="338"/>
      <c r="AB5" s="338"/>
      <c r="AC5" s="28"/>
    </row>
    <row r="6" spans="1:29" x14ac:dyDescent="0.25">
      <c r="A6" s="1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6"/>
      <c r="Y6" s="26"/>
      <c r="Z6" s="26"/>
      <c r="AA6" s="26"/>
      <c r="AB6" s="26"/>
      <c r="AC6" s="26"/>
    </row>
    <row r="7" spans="1:29" ht="15.75" customHeight="1" x14ac:dyDescent="0.25">
      <c r="A7" s="2" t="s">
        <v>10</v>
      </c>
      <c r="B7" s="383" t="s">
        <v>178</v>
      </c>
      <c r="C7" s="384"/>
      <c r="D7" s="383" t="s">
        <v>179</v>
      </c>
      <c r="E7" s="384"/>
      <c r="F7" s="383" t="s">
        <v>180</v>
      </c>
      <c r="G7" s="384"/>
      <c r="H7" s="383" t="s">
        <v>181</v>
      </c>
      <c r="I7" s="384"/>
      <c r="J7" s="383" t="s">
        <v>182</v>
      </c>
      <c r="K7" s="384"/>
      <c r="L7" s="383" t="s">
        <v>183</v>
      </c>
      <c r="M7" s="384"/>
      <c r="N7" s="383" t="s">
        <v>184</v>
      </c>
      <c r="O7" s="384"/>
      <c r="P7" s="383" t="s">
        <v>185</v>
      </c>
      <c r="Q7" s="384"/>
      <c r="R7" s="383" t="s">
        <v>186</v>
      </c>
      <c r="S7" s="384"/>
      <c r="T7" s="383" t="s">
        <v>187</v>
      </c>
      <c r="U7" s="384"/>
      <c r="V7" s="383" t="s">
        <v>188</v>
      </c>
      <c r="W7" s="384"/>
      <c r="X7" s="383" t="s">
        <v>189</v>
      </c>
      <c r="Y7" s="384"/>
      <c r="Z7" s="383" t="s">
        <v>190</v>
      </c>
      <c r="AA7" s="384"/>
      <c r="AB7" s="383" t="s">
        <v>31</v>
      </c>
      <c r="AC7" s="384"/>
    </row>
    <row r="8" spans="1:29" ht="72" customHeight="1" x14ac:dyDescent="0.25">
      <c r="A8" s="10" t="s">
        <v>32</v>
      </c>
      <c r="B8" s="378" t="str">
        <f>IFERROR(INDEX('04 Interferencias'!$D:$D,MATCH(SUBSTITUTE(B7,"–","-"),'04 Interferencias'!$A:$A,0)),"—")</f>
        <v>SC. BT in cavo</v>
      </c>
      <c r="C8" s="379"/>
      <c r="D8" s="378" t="str">
        <f>IFERROR(INDEX('04 Interferencias'!$D:$D,MATCH(SUBSTITUTE(D7,"–","-"),'04 Interferencias'!$A:$A,0)),"—")</f>
        <v>—</v>
      </c>
      <c r="E8" s="379"/>
      <c r="F8" s="378" t="str">
        <f>IFERROR(INDEX('04 Interferencias'!$D:$D,MATCH(SUBSTITUTE(F7,"–","-"),'04 Interferencias'!$A:$A,0)),"—")</f>
        <v>—</v>
      </c>
      <c r="G8" s="379"/>
      <c r="H8" s="378" t="str">
        <f>IFERROR(INDEX('04 Interferencias'!$D:$D,MATCH(SUBSTITUTE(H7,"–","-"),'04 Interferencias'!$A:$A,0)),"—")</f>
        <v>—</v>
      </c>
      <c r="I8" s="379"/>
      <c r="J8" s="378" t="str">
        <f>IFERROR(INDEX('04 Interferencias'!$D:$D,MATCH(SUBSTITUTE(J7,"–","-"),'04 Interferencias'!$A:$A,0)),"—")</f>
        <v>Str. Privata - BT in cavo BT.  IP.  Fienile Str. Privata</v>
      </c>
      <c r="K8" s="379"/>
      <c r="L8" s="378" t="str">
        <f>IFERROR(INDEX('04 Interferencias'!$D:$D,MATCH(SUBSTITUTE(L7,"–","-"),'04 Interferencias'!$A:$A,0)),"—")</f>
        <v>15 kV precordato. Garage Str.privata</v>
      </c>
      <c r="M8" s="379"/>
      <c r="N8" s="378" t="str">
        <f>IFERROR(INDEX('04 Interferencias'!$D:$D,MATCH(SUBSTITUTE(N7,"–","-"),'04 Interferencias'!$A:$A,0)),"—")</f>
        <v>15kV. SC.BT in cavo 2BT. IP - 2 baracche in lamiera</v>
      </c>
      <c r="O8" s="379"/>
      <c r="P8" s="378" t="str">
        <f>IFERROR(INDEX('04 Interferencias'!$D:$D,MATCH(SUBSTITUTE(P7,"–","-"),'04 Interferencias'!$A:$A,0)),"—")</f>
        <v>—</v>
      </c>
      <c r="Q8" s="379"/>
      <c r="R8" s="378" t="str">
        <f>IFERROR(INDEX('04 Interferencias'!$D:$D,MATCH(SUBSTITUTE(R7,"–","-"),'04 Interferencias'!$A:$A,0)),"—")</f>
        <v>—</v>
      </c>
      <c r="S8" s="379"/>
      <c r="T8" s="378" t="str">
        <f>IFERROR(INDEX('04 Interferencias'!$D:$D,MATCH(SUBSTITUTE(T7,"–","-"),'04 Interferencias'!$A:$A,0)),"—")</f>
        <v>—</v>
      </c>
      <c r="U8" s="379"/>
      <c r="V8" s="378" t="str">
        <f>IFERROR(INDEX('04 Interferencias'!$D:$D,MATCH(SUBSTITUTE(V7,"–","-"),'04 Interferencias'!$A:$A,0)),"—")</f>
        <v>—</v>
      </c>
      <c r="W8" s="379"/>
      <c r="X8" s="378" t="str">
        <f>IFERROR(INDEX('04 Interferencias'!$D:$D,MATCH(SUBSTITUTE(X7,"–","-"),'04 Interferencias'!$A:$A,0)),"—")</f>
        <v>—</v>
      </c>
      <c r="Y8" s="379"/>
      <c r="Z8" s="378" t="str">
        <f>IFERROR(INDEX('04 Interferencias'!$D:$D,MATCH(SUBSTITUTE(Z7,"–","-"),'04 Interferencias'!$A:$A,0)),"—")</f>
        <v>—</v>
      </c>
      <c r="AA8" s="379"/>
      <c r="AB8" s="378" t="str">
        <f>IFERROR(INDEX('04 Interferencias'!$D:$D,MATCH(SUBSTITUTE(AB7,"–","-"),'04 Interferencias'!$A:$A,0)),"—")</f>
        <v>—</v>
      </c>
      <c r="AC8" s="379"/>
    </row>
    <row r="9" spans="1:29" x14ac:dyDescent="0.25">
      <c r="A9" s="1"/>
      <c r="B9" s="12"/>
      <c r="C9" s="20"/>
      <c r="D9" s="12"/>
      <c r="E9" s="20"/>
      <c r="F9" s="12"/>
      <c r="G9" s="20"/>
      <c r="H9" s="12"/>
      <c r="I9" s="20"/>
      <c r="J9" s="12"/>
      <c r="K9" s="20"/>
      <c r="L9" s="12"/>
      <c r="M9" s="20"/>
      <c r="N9" s="12"/>
      <c r="O9" s="20"/>
      <c r="P9" s="12"/>
      <c r="Q9" s="20"/>
      <c r="R9" s="12"/>
      <c r="S9" s="20"/>
      <c r="T9" s="12"/>
      <c r="U9" s="20"/>
      <c r="V9" s="12"/>
      <c r="W9" s="20"/>
      <c r="X9" s="12"/>
      <c r="Y9" s="20"/>
      <c r="Z9" s="12"/>
      <c r="AA9" s="20"/>
      <c r="AB9" s="12"/>
      <c r="AC9" s="20"/>
    </row>
    <row r="10" spans="1:29" x14ac:dyDescent="0.25">
      <c r="A10" s="325" t="s">
        <v>34</v>
      </c>
      <c r="B10" s="326"/>
      <c r="C10" s="326"/>
      <c r="D10" s="326"/>
      <c r="E10" s="326"/>
      <c r="F10" s="326"/>
      <c r="G10" s="326"/>
      <c r="H10" s="326"/>
      <c r="I10" s="326"/>
      <c r="J10" s="326"/>
      <c r="K10" s="326"/>
      <c r="L10" s="326"/>
      <c r="M10" s="326"/>
      <c r="N10" s="326"/>
      <c r="O10" s="326"/>
      <c r="P10" s="326"/>
      <c r="Q10" s="326"/>
      <c r="R10" s="326"/>
      <c r="S10" s="326"/>
      <c r="T10" s="326"/>
      <c r="U10" s="326"/>
      <c r="V10" s="326"/>
      <c r="W10" s="326"/>
      <c r="X10" s="326"/>
      <c r="Y10" s="326"/>
      <c r="Z10" s="326"/>
      <c r="AA10" s="326"/>
      <c r="AB10" s="326"/>
      <c r="AC10" s="34"/>
    </row>
    <row r="11" spans="1:29" ht="20.100000000000001" customHeight="1" x14ac:dyDescent="0.25">
      <c r="A11" s="12"/>
      <c r="B11" s="42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</row>
    <row r="12" spans="1:29" ht="20.100000000000001" customHeight="1" x14ac:dyDescent="0.25">
      <c r="A12" s="12"/>
      <c r="B12" s="45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</row>
    <row r="13" spans="1:29" ht="20.100000000000001" customHeight="1" x14ac:dyDescent="0.25">
      <c r="A13" s="12"/>
      <c r="B13" s="45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</row>
    <row r="14" spans="1:29" ht="20.100000000000001" customHeight="1" x14ac:dyDescent="0.25">
      <c r="A14" s="12"/>
      <c r="B14" s="45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</row>
    <row r="15" spans="1:29" ht="20.100000000000001" customHeight="1" x14ac:dyDescent="0.25">
      <c r="A15" s="12"/>
      <c r="B15" s="45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</row>
    <row r="16" spans="1:29" ht="20.100000000000001" customHeight="1" x14ac:dyDescent="0.25">
      <c r="A16" s="12"/>
      <c r="B16" s="45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</row>
    <row r="17" spans="1:29" ht="20.100000000000001" customHeight="1" x14ac:dyDescent="0.25">
      <c r="A17" s="12"/>
      <c r="B17" s="45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</row>
    <row r="18" spans="1:29" ht="20.100000000000001" customHeight="1" x14ac:dyDescent="0.25">
      <c r="A18" s="12"/>
      <c r="B18" s="45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</row>
    <row r="19" spans="1:29" ht="20.100000000000001" customHeight="1" x14ac:dyDescent="0.25">
      <c r="A19" s="12"/>
      <c r="B19" s="45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</row>
    <row r="20" spans="1:29" ht="20.100000000000001" customHeight="1" x14ac:dyDescent="0.25">
      <c r="A20" s="12"/>
      <c r="B20" s="45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</row>
    <row r="21" spans="1:29" ht="20.100000000000001" customHeight="1" x14ac:dyDescent="0.25">
      <c r="A21" s="12"/>
      <c r="B21" s="45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</row>
    <row r="22" spans="1:29" ht="20.100000000000001" customHeight="1" x14ac:dyDescent="0.25">
      <c r="A22" s="12"/>
      <c r="B22" s="45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</row>
    <row r="23" spans="1:29" ht="20.100000000000001" customHeight="1" x14ac:dyDescent="0.25">
      <c r="A23" s="12"/>
      <c r="B23" s="45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</row>
    <row r="24" spans="1:29" ht="20.100000000000001" customHeight="1" x14ac:dyDescent="0.25">
      <c r="A24" s="12"/>
      <c r="B24" s="45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</row>
    <row r="25" spans="1:29" ht="20.100000000000001" customHeight="1" x14ac:dyDescent="0.25">
      <c r="A25" s="12"/>
      <c r="B25" s="45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</row>
    <row r="26" spans="1:29" ht="20.100000000000001" customHeight="1" x14ac:dyDescent="0.25">
      <c r="A26" s="12"/>
      <c r="B26" s="45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</row>
    <row r="27" spans="1:29" ht="15.75" x14ac:dyDescent="0.25">
      <c r="A27" s="13"/>
      <c r="B27" s="45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</row>
    <row r="28" spans="1:29" ht="24" customHeight="1" x14ac:dyDescent="0.25">
      <c r="A28" s="293" t="s">
        <v>35</v>
      </c>
      <c r="B28" s="374">
        <v>304</v>
      </c>
      <c r="C28" s="371"/>
      <c r="D28" s="370">
        <v>305</v>
      </c>
      <c r="E28" s="371"/>
      <c r="F28" s="370">
        <v>306</v>
      </c>
      <c r="G28" s="371"/>
      <c r="H28" s="370">
        <v>307</v>
      </c>
      <c r="I28" s="371"/>
      <c r="J28" s="370">
        <v>308</v>
      </c>
      <c r="K28" s="371"/>
      <c r="L28" s="370">
        <v>309</v>
      </c>
      <c r="M28" s="371"/>
      <c r="N28" s="370">
        <v>310</v>
      </c>
      <c r="O28" s="371"/>
      <c r="P28" s="370">
        <v>311</v>
      </c>
      <c r="Q28" s="371"/>
      <c r="R28" s="370">
        <v>312</v>
      </c>
      <c r="S28" s="371"/>
      <c r="T28" s="370">
        <v>313</v>
      </c>
      <c r="U28" s="371"/>
      <c r="V28" s="370">
        <v>314</v>
      </c>
      <c r="W28" s="371"/>
      <c r="X28" s="370">
        <v>315</v>
      </c>
      <c r="Y28" s="371"/>
      <c r="Z28" s="370">
        <v>316</v>
      </c>
      <c r="AA28" s="371"/>
      <c r="AB28" s="370">
        <v>317</v>
      </c>
      <c r="AC28" s="371"/>
    </row>
    <row r="29" spans="1:29" ht="24" customHeight="1" x14ac:dyDescent="0.25">
      <c r="A29" s="292" t="s">
        <v>57</v>
      </c>
      <c r="B29" s="372" t="s">
        <v>58</v>
      </c>
      <c r="C29" s="361"/>
      <c r="D29" s="360" t="s">
        <v>58</v>
      </c>
      <c r="E29" s="361"/>
      <c r="F29" s="360" t="s">
        <v>58</v>
      </c>
      <c r="G29" s="361"/>
      <c r="H29" s="365" t="s">
        <v>58</v>
      </c>
      <c r="I29" s="366"/>
      <c r="J29" s="360" t="s">
        <v>58</v>
      </c>
      <c r="K29" s="361"/>
      <c r="L29" s="360" t="s">
        <v>58</v>
      </c>
      <c r="M29" s="361"/>
      <c r="N29" s="365" t="s">
        <v>58</v>
      </c>
      <c r="O29" s="366"/>
      <c r="P29" s="360" t="s">
        <v>58</v>
      </c>
      <c r="Q29" s="361"/>
      <c r="R29" s="365" t="s">
        <v>59</v>
      </c>
      <c r="S29" s="366"/>
      <c r="T29" s="365" t="s">
        <v>58</v>
      </c>
      <c r="U29" s="366"/>
      <c r="V29" s="360" t="s">
        <v>59</v>
      </c>
      <c r="W29" s="361"/>
      <c r="X29" s="365" t="s">
        <v>59</v>
      </c>
      <c r="Y29" s="366"/>
      <c r="Z29" s="360" t="s">
        <v>58</v>
      </c>
      <c r="AA29" s="361"/>
      <c r="AB29" s="365" t="s">
        <v>58</v>
      </c>
      <c r="AC29" s="366"/>
    </row>
    <row r="30" spans="1:29" ht="24" customHeight="1" x14ac:dyDescent="0.25">
      <c r="A30" s="38" t="s">
        <v>60</v>
      </c>
      <c r="B30" s="320">
        <v>22.8</v>
      </c>
      <c r="C30" s="321"/>
      <c r="D30" s="322">
        <v>25.1</v>
      </c>
      <c r="E30" s="321"/>
      <c r="F30" s="322">
        <v>25.2</v>
      </c>
      <c r="G30" s="321"/>
      <c r="H30" s="322">
        <v>24.3</v>
      </c>
      <c r="I30" s="321"/>
      <c r="J30" s="322">
        <v>26.9</v>
      </c>
      <c r="K30" s="321"/>
      <c r="L30" s="322">
        <v>24.4</v>
      </c>
      <c r="M30" s="321"/>
      <c r="N30" s="322">
        <v>26.4</v>
      </c>
      <c r="O30" s="321"/>
      <c r="P30" s="322">
        <v>23.2</v>
      </c>
      <c r="Q30" s="321"/>
      <c r="R30" s="322">
        <v>24.3</v>
      </c>
      <c r="S30" s="321"/>
      <c r="T30" s="322">
        <v>23.4</v>
      </c>
      <c r="U30" s="321"/>
      <c r="V30" s="322">
        <v>23.7</v>
      </c>
      <c r="W30" s="321"/>
      <c r="X30" s="322">
        <v>26.8</v>
      </c>
      <c r="Y30" s="321"/>
      <c r="Z30" s="322">
        <v>24.3</v>
      </c>
      <c r="AA30" s="321"/>
      <c r="AB30" s="322">
        <v>32.4</v>
      </c>
      <c r="AC30" s="321"/>
    </row>
    <row r="31" spans="1:29" ht="24" customHeight="1" x14ac:dyDescent="0.25">
      <c r="A31" s="38" t="s">
        <v>61</v>
      </c>
      <c r="B31" s="359">
        <v>262.10000000000002</v>
      </c>
      <c r="C31" s="314"/>
      <c r="D31" s="314">
        <v>265</v>
      </c>
      <c r="E31" s="314"/>
      <c r="F31" s="314">
        <v>296.01</v>
      </c>
      <c r="G31" s="314"/>
      <c r="H31" s="314">
        <v>342.67</v>
      </c>
      <c r="I31" s="314"/>
      <c r="J31" s="314">
        <v>358.52</v>
      </c>
      <c r="K31" s="314"/>
      <c r="L31" s="314">
        <v>306.13</v>
      </c>
      <c r="M31" s="314"/>
      <c r="N31" s="314">
        <v>273.56</v>
      </c>
      <c r="O31" s="314"/>
      <c r="P31" s="314">
        <v>284.38</v>
      </c>
      <c r="Q31" s="314"/>
      <c r="R31" s="314">
        <v>378.85</v>
      </c>
      <c r="S31" s="314"/>
      <c r="T31" s="314">
        <v>410.25</v>
      </c>
      <c r="U31" s="314"/>
      <c r="V31" s="314">
        <v>389.56</v>
      </c>
      <c r="W31" s="314"/>
      <c r="X31" s="314">
        <v>298.63</v>
      </c>
      <c r="Y31" s="314"/>
      <c r="Z31" s="314">
        <v>204.12</v>
      </c>
      <c r="AA31" s="314"/>
      <c r="AB31" s="314">
        <v>242.06</v>
      </c>
      <c r="AC31" s="314"/>
    </row>
    <row r="32" spans="1:29" ht="24" customHeight="1" x14ac:dyDescent="0.25">
      <c r="A32" s="38" t="s">
        <v>62</v>
      </c>
      <c r="B32" s="350">
        <v>179.94</v>
      </c>
      <c r="C32" s="351"/>
      <c r="D32" s="312">
        <v>179.51</v>
      </c>
      <c r="E32" s="313"/>
      <c r="F32" s="312">
        <v>168.5</v>
      </c>
      <c r="G32" s="313"/>
      <c r="H32" s="312">
        <v>178.83</v>
      </c>
      <c r="I32" s="313"/>
      <c r="J32" s="312">
        <v>155.49</v>
      </c>
      <c r="K32" s="313"/>
      <c r="L32" s="312">
        <v>179.53</v>
      </c>
      <c r="M32" s="313"/>
      <c r="N32" s="312">
        <v>179.46</v>
      </c>
      <c r="O32" s="313"/>
      <c r="P32" s="312">
        <v>179.79</v>
      </c>
      <c r="Q32" s="313"/>
      <c r="R32" s="312">
        <v>179.9</v>
      </c>
      <c r="S32" s="313"/>
      <c r="T32" s="312">
        <v>145.99</v>
      </c>
      <c r="U32" s="313"/>
      <c r="V32" s="312">
        <v>179.83</v>
      </c>
      <c r="W32" s="313"/>
      <c r="X32" s="312">
        <v>179.92</v>
      </c>
      <c r="Y32" s="313"/>
      <c r="Z32" s="312">
        <v>179.94</v>
      </c>
      <c r="AA32" s="313"/>
      <c r="AB32" s="312">
        <v>179.58</v>
      </c>
      <c r="AC32" s="313"/>
    </row>
    <row r="33" spans="1:29" ht="24" customHeight="1" x14ac:dyDescent="0.25">
      <c r="A33" s="38" t="s">
        <v>86</v>
      </c>
      <c r="B33" s="357">
        <v>503039.72</v>
      </c>
      <c r="C33" s="344"/>
      <c r="D33" s="343">
        <v>502711.25</v>
      </c>
      <c r="E33" s="344"/>
      <c r="F33" s="343">
        <v>502632.66</v>
      </c>
      <c r="G33" s="344"/>
      <c r="H33" s="343">
        <v>502410.93</v>
      </c>
      <c r="I33" s="344"/>
      <c r="J33" s="343">
        <v>502345.05</v>
      </c>
      <c r="K33" s="344"/>
      <c r="L33" s="343">
        <v>502203.62</v>
      </c>
      <c r="M33" s="344"/>
      <c r="N33" s="343">
        <v>502067.92</v>
      </c>
      <c r="O33" s="344"/>
      <c r="P33" s="343">
        <v>501874.31</v>
      </c>
      <c r="Q33" s="344"/>
      <c r="R33" s="343">
        <v>501619.54</v>
      </c>
      <c r="S33" s="344"/>
      <c r="T33" s="343">
        <v>501554.96</v>
      </c>
      <c r="U33" s="344"/>
      <c r="V33" s="343">
        <v>501503.13</v>
      </c>
      <c r="W33" s="344"/>
      <c r="X33" s="343">
        <v>501234.62</v>
      </c>
      <c r="Y33" s="344"/>
      <c r="Z33" s="343">
        <v>501098.53</v>
      </c>
      <c r="AA33" s="344"/>
      <c r="AB33" s="343">
        <v>500811.81</v>
      </c>
      <c r="AC33" s="344"/>
    </row>
    <row r="34" spans="1:29" ht="24" customHeight="1" x14ac:dyDescent="0.25">
      <c r="A34" s="38" t="s">
        <v>87</v>
      </c>
      <c r="B34" s="357">
        <v>4922149.78</v>
      </c>
      <c r="C34" s="344"/>
      <c r="D34" s="343">
        <v>4922258.1900000004</v>
      </c>
      <c r="E34" s="344"/>
      <c r="F34" s="343">
        <v>4922283.3899999997</v>
      </c>
      <c r="G34" s="344"/>
      <c r="H34" s="343">
        <v>4922307.79</v>
      </c>
      <c r="I34" s="344"/>
      <c r="J34" s="343">
        <v>4922316.4000000004</v>
      </c>
      <c r="K34" s="344"/>
      <c r="L34" s="343">
        <v>4922404.63</v>
      </c>
      <c r="M34" s="344"/>
      <c r="N34" s="343">
        <v>4922487.76</v>
      </c>
      <c r="O34" s="344"/>
      <c r="P34" s="343">
        <v>4922608.88</v>
      </c>
      <c r="Q34" s="344"/>
      <c r="R34" s="343">
        <v>4922766.96</v>
      </c>
      <c r="S34" s="344"/>
      <c r="T34" s="343">
        <v>4922807.18</v>
      </c>
      <c r="U34" s="344"/>
      <c r="V34" s="343">
        <v>4922805.28</v>
      </c>
      <c r="W34" s="344"/>
      <c r="X34" s="343">
        <v>4922796.2300000004</v>
      </c>
      <c r="Y34" s="344"/>
      <c r="Z34" s="343">
        <v>4922791.45</v>
      </c>
      <c r="AA34" s="344"/>
      <c r="AB34" s="343">
        <v>4922781.7</v>
      </c>
      <c r="AC34" s="344"/>
    </row>
    <row r="35" spans="1:29" ht="24" customHeight="1" x14ac:dyDescent="0.25">
      <c r="A35" s="38" t="s">
        <v>63</v>
      </c>
      <c r="B35" s="47"/>
      <c r="C35" s="311">
        <v>345.9</v>
      </c>
      <c r="D35" s="311"/>
      <c r="E35" s="311">
        <v>82.53</v>
      </c>
      <c r="F35" s="311"/>
      <c r="G35" s="311">
        <v>223.07</v>
      </c>
      <c r="H35" s="311"/>
      <c r="I35" s="311">
        <v>66.44</v>
      </c>
      <c r="J35" s="311"/>
      <c r="K35" s="311">
        <v>166.69</v>
      </c>
      <c r="L35" s="311"/>
      <c r="M35" s="311">
        <v>159.13999999999999</v>
      </c>
      <c r="N35" s="311"/>
      <c r="O35" s="311">
        <v>228.37</v>
      </c>
      <c r="P35" s="311"/>
      <c r="Q35" s="311">
        <v>299.83</v>
      </c>
      <c r="R35" s="311"/>
      <c r="S35" s="311">
        <v>76.08</v>
      </c>
      <c r="T35" s="311"/>
      <c r="U35" s="311">
        <v>51.86</v>
      </c>
      <c r="V35" s="311"/>
      <c r="W35" s="311">
        <v>268.66000000000003</v>
      </c>
      <c r="X35" s="311"/>
      <c r="Y35" s="311">
        <v>136.16999999999999</v>
      </c>
      <c r="Z35" s="311"/>
      <c r="AA35" s="311">
        <v>286.89</v>
      </c>
      <c r="AB35" s="311"/>
      <c r="AC35" s="35"/>
    </row>
    <row r="36" spans="1:29" ht="24" customHeight="1" x14ac:dyDescent="0.25">
      <c r="A36" s="38" t="s">
        <v>493</v>
      </c>
      <c r="B36" s="47"/>
      <c r="C36" s="303" t="s">
        <v>496</v>
      </c>
      <c r="D36" s="304"/>
      <c r="E36" s="303" t="s">
        <v>496</v>
      </c>
      <c r="F36" s="304"/>
      <c r="G36" s="303" t="s">
        <v>496</v>
      </c>
      <c r="H36" s="304"/>
      <c r="I36" s="303" t="s">
        <v>496</v>
      </c>
      <c r="J36" s="304"/>
      <c r="K36" s="303" t="s">
        <v>496</v>
      </c>
      <c r="L36" s="304"/>
      <c r="M36" s="303" t="s">
        <v>496</v>
      </c>
      <c r="N36" s="304"/>
      <c r="O36" s="303" t="s">
        <v>496</v>
      </c>
      <c r="P36" s="304"/>
      <c r="Q36" s="303" t="s">
        <v>496</v>
      </c>
      <c r="R36" s="304"/>
      <c r="S36" s="303" t="s">
        <v>496</v>
      </c>
      <c r="T36" s="304"/>
      <c r="U36" s="303" t="s">
        <v>496</v>
      </c>
      <c r="V36" s="304"/>
      <c r="W36" s="303" t="s">
        <v>496</v>
      </c>
      <c r="X36" s="304"/>
      <c r="Y36" s="303" t="s">
        <v>496</v>
      </c>
      <c r="Z36" s="304"/>
      <c r="AA36" s="303" t="s">
        <v>496</v>
      </c>
      <c r="AB36" s="304"/>
      <c r="AC36" s="35"/>
    </row>
    <row r="37" spans="1:29" ht="24" customHeight="1" x14ac:dyDescent="0.25">
      <c r="A37" s="38" t="s">
        <v>65</v>
      </c>
      <c r="B37" s="358">
        <v>0</v>
      </c>
      <c r="C37" s="313"/>
      <c r="D37" s="312">
        <v>345.9</v>
      </c>
      <c r="E37" s="313"/>
      <c r="F37" s="312">
        <v>428.43</v>
      </c>
      <c r="G37" s="313"/>
      <c r="H37" s="312">
        <v>651.5</v>
      </c>
      <c r="I37" s="313"/>
      <c r="J37" s="312">
        <v>717.94</v>
      </c>
      <c r="K37" s="313"/>
      <c r="L37" s="312">
        <v>884.63</v>
      </c>
      <c r="M37" s="313"/>
      <c r="N37" s="312">
        <v>1043.77</v>
      </c>
      <c r="O37" s="313"/>
      <c r="P37" s="312">
        <v>1272.1500000000001</v>
      </c>
      <c r="Q37" s="313"/>
      <c r="R37" s="312">
        <v>1571.97</v>
      </c>
      <c r="S37" s="313"/>
      <c r="T37" s="312">
        <v>1648.05</v>
      </c>
      <c r="U37" s="313"/>
      <c r="V37" s="312">
        <v>1699.92</v>
      </c>
      <c r="W37" s="313"/>
      <c r="X37" s="312">
        <v>1968.58</v>
      </c>
      <c r="Y37" s="313"/>
      <c r="Z37" s="312">
        <v>2104.7600000000002</v>
      </c>
      <c r="AA37" s="313"/>
      <c r="AB37" s="312">
        <v>2391.64</v>
      </c>
      <c r="AC37" s="313"/>
    </row>
    <row r="38" spans="1:29" ht="24" customHeight="1" x14ac:dyDescent="0.25">
      <c r="A38" s="38" t="s">
        <v>509</v>
      </c>
      <c r="B38" s="315">
        <f>SUM(C35:AA35)</f>
        <v>2391.6299999999997</v>
      </c>
      <c r="C38" s="316"/>
      <c r="D38" s="316"/>
      <c r="E38" s="316"/>
      <c r="F38" s="316"/>
      <c r="G38" s="316"/>
      <c r="H38" s="316"/>
      <c r="I38" s="316"/>
      <c r="J38" s="316"/>
      <c r="K38" s="316"/>
      <c r="L38" s="316"/>
      <c r="M38" s="316"/>
      <c r="N38" s="316"/>
      <c r="O38" s="316"/>
      <c r="P38" s="316"/>
      <c r="Q38" s="316"/>
      <c r="R38" s="316"/>
      <c r="S38" s="316"/>
      <c r="T38" s="316"/>
      <c r="U38" s="316"/>
      <c r="V38" s="316"/>
      <c r="W38" s="316"/>
      <c r="X38" s="316"/>
      <c r="Y38" s="316"/>
      <c r="Z38" s="316"/>
      <c r="AA38" s="316"/>
      <c r="AB38" s="316"/>
      <c r="AC38" s="316"/>
    </row>
    <row r="39" spans="1:29" ht="24" customHeight="1" x14ac:dyDescent="0.25">
      <c r="A39" s="385" t="s">
        <v>494</v>
      </c>
      <c r="B39" s="333"/>
      <c r="C39" s="333"/>
      <c r="D39" s="333"/>
      <c r="E39" s="333"/>
      <c r="F39" s="333"/>
      <c r="G39" s="333"/>
      <c r="H39" s="333"/>
      <c r="I39" s="333"/>
      <c r="J39" s="333"/>
      <c r="K39" s="333"/>
      <c r="L39" s="333"/>
      <c r="M39" s="333"/>
      <c r="N39" s="333"/>
      <c r="O39" s="333"/>
      <c r="P39" s="333"/>
      <c r="Q39" s="333"/>
      <c r="R39" s="333"/>
      <c r="S39" s="333"/>
      <c r="T39" s="333"/>
      <c r="U39" s="333"/>
      <c r="V39" s="333"/>
      <c r="W39" s="333"/>
      <c r="X39" s="333"/>
      <c r="Y39" s="333"/>
      <c r="Z39" s="333"/>
      <c r="AA39" s="333"/>
      <c r="AB39" s="333"/>
      <c r="AC39" s="333"/>
    </row>
    <row r="40" spans="1:29" ht="24" customHeight="1" x14ac:dyDescent="0.25">
      <c r="A40" s="295" t="s">
        <v>495</v>
      </c>
      <c r="B40" s="330" t="s">
        <v>496</v>
      </c>
      <c r="C40" s="330"/>
      <c r="D40" s="330"/>
      <c r="E40" s="330"/>
      <c r="F40" s="330"/>
      <c r="G40" s="330"/>
      <c r="H40" s="330"/>
      <c r="I40" s="330"/>
      <c r="J40" s="330"/>
      <c r="K40" s="330"/>
      <c r="L40" s="330"/>
      <c r="M40" s="330"/>
      <c r="N40" s="330"/>
      <c r="O40" s="330"/>
      <c r="P40" s="330"/>
      <c r="Q40" s="330"/>
      <c r="R40" s="330"/>
      <c r="S40" s="330"/>
      <c r="T40" s="330"/>
      <c r="U40" s="330"/>
      <c r="V40" s="330"/>
      <c r="W40" s="330"/>
      <c r="X40" s="330"/>
      <c r="Y40" s="330"/>
      <c r="Z40" s="330"/>
      <c r="AA40" s="330"/>
      <c r="AB40" s="330"/>
      <c r="AC40" s="330"/>
    </row>
    <row r="41" spans="1:29" ht="24" customHeight="1" x14ac:dyDescent="0.25">
      <c r="A41" s="295" t="s">
        <v>497</v>
      </c>
      <c r="B41" s="330" t="s">
        <v>496</v>
      </c>
      <c r="C41" s="330"/>
      <c r="D41" s="330"/>
      <c r="E41" s="330"/>
      <c r="F41" s="330"/>
      <c r="G41" s="330"/>
      <c r="H41" s="330"/>
      <c r="I41" s="330"/>
      <c r="J41" s="330"/>
      <c r="K41" s="330"/>
      <c r="L41" s="330"/>
      <c r="M41" s="330"/>
      <c r="N41" s="330"/>
      <c r="O41" s="330"/>
      <c r="P41" s="330"/>
      <c r="Q41" s="330"/>
      <c r="R41" s="330"/>
      <c r="S41" s="330"/>
      <c r="T41" s="330"/>
      <c r="U41" s="330"/>
      <c r="V41" s="330"/>
      <c r="W41" s="330"/>
      <c r="X41" s="330"/>
      <c r="Y41" s="330"/>
      <c r="Z41" s="330"/>
      <c r="AA41" s="330"/>
      <c r="AB41" s="330"/>
      <c r="AC41" s="330"/>
    </row>
    <row r="42" spans="1:29" ht="24" customHeight="1" x14ac:dyDescent="0.25">
      <c r="A42" s="295" t="s">
        <v>498</v>
      </c>
      <c r="B42" s="331" t="s">
        <v>88</v>
      </c>
      <c r="C42" s="331"/>
      <c r="D42" s="331"/>
      <c r="E42" s="331"/>
      <c r="F42" s="331"/>
      <c r="G42" s="331"/>
      <c r="H42" s="331"/>
      <c r="I42" s="331"/>
      <c r="J42" s="331"/>
      <c r="K42" s="331"/>
      <c r="L42" s="331"/>
      <c r="M42" s="331"/>
      <c r="N42" s="331"/>
      <c r="O42" s="331"/>
      <c r="P42" s="331"/>
      <c r="Q42" s="331"/>
      <c r="R42" s="331"/>
      <c r="S42" s="331"/>
      <c r="T42" s="331"/>
      <c r="U42" s="331"/>
      <c r="V42" s="331"/>
      <c r="W42" s="331"/>
      <c r="X42" s="331"/>
      <c r="Y42" s="331"/>
      <c r="Z42" s="331"/>
      <c r="AA42" s="331"/>
      <c r="AB42" s="331"/>
      <c r="AC42" s="331"/>
    </row>
    <row r="43" spans="1:29" ht="24" customHeight="1" x14ac:dyDescent="0.25">
      <c r="A43" s="295" t="s">
        <v>499</v>
      </c>
      <c r="B43" s="331" t="s">
        <v>191</v>
      </c>
      <c r="C43" s="331"/>
      <c r="D43" s="331"/>
      <c r="E43" s="331"/>
      <c r="F43" s="331"/>
      <c r="G43" s="331"/>
      <c r="H43" s="331"/>
      <c r="I43" s="331"/>
      <c r="J43" s="331"/>
      <c r="K43" s="331"/>
      <c r="L43" s="331"/>
      <c r="M43" s="331"/>
      <c r="N43" s="331"/>
      <c r="O43" s="331"/>
      <c r="P43" s="331"/>
      <c r="Q43" s="331"/>
      <c r="R43" s="331"/>
      <c r="S43" s="331"/>
      <c r="T43" s="331"/>
      <c r="U43" s="331"/>
      <c r="V43" s="331"/>
      <c r="W43" s="331"/>
      <c r="X43" s="331"/>
      <c r="Y43" s="331"/>
      <c r="Z43" s="331"/>
      <c r="AA43" s="331"/>
      <c r="AB43" s="331"/>
      <c r="AC43" s="331"/>
    </row>
    <row r="44" spans="1:29" ht="24" customHeight="1" x14ac:dyDescent="0.25">
      <c r="A44" s="295" t="s">
        <v>500</v>
      </c>
      <c r="B44" s="331" t="s">
        <v>496</v>
      </c>
      <c r="C44" s="331"/>
      <c r="D44" s="331"/>
      <c r="E44" s="331"/>
      <c r="F44" s="331"/>
      <c r="G44" s="331"/>
      <c r="H44" s="331"/>
      <c r="I44" s="331"/>
      <c r="J44" s="331"/>
      <c r="K44" s="331"/>
      <c r="L44" s="331"/>
      <c r="M44" s="331"/>
      <c r="N44" s="331"/>
      <c r="O44" s="331"/>
      <c r="P44" s="331"/>
      <c r="Q44" s="331"/>
      <c r="R44" s="331"/>
      <c r="S44" s="331"/>
      <c r="T44" s="331"/>
      <c r="U44" s="331"/>
      <c r="V44" s="331"/>
      <c r="W44" s="331"/>
      <c r="X44" s="331"/>
      <c r="Y44" s="331"/>
      <c r="Z44" s="331"/>
      <c r="AA44" s="331"/>
      <c r="AB44" s="331"/>
      <c r="AC44" s="331"/>
    </row>
    <row r="45" spans="1:29" ht="24" customHeight="1" x14ac:dyDescent="0.25">
      <c r="A45" s="295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</row>
    <row r="46" spans="1:29" ht="24" customHeight="1" x14ac:dyDescent="0.25">
      <c r="A46" s="333" t="s">
        <v>501</v>
      </c>
      <c r="B46" s="333"/>
      <c r="C46" s="333"/>
      <c r="D46" s="333"/>
      <c r="E46" s="333"/>
      <c r="F46" s="333"/>
      <c r="G46" s="333"/>
      <c r="H46" s="333"/>
      <c r="I46" s="333"/>
      <c r="J46" s="333"/>
      <c r="K46" s="333"/>
      <c r="L46" s="333"/>
      <c r="M46" s="333"/>
      <c r="N46" s="333"/>
      <c r="O46" s="333"/>
      <c r="P46" s="333"/>
      <c r="Q46" s="333"/>
      <c r="R46" s="333"/>
      <c r="S46" s="333"/>
      <c r="T46" s="333"/>
      <c r="U46" s="333"/>
      <c r="V46" s="333"/>
      <c r="W46" s="333"/>
      <c r="X46" s="333"/>
      <c r="Y46" s="333"/>
      <c r="Z46" s="333"/>
      <c r="AA46" s="333"/>
      <c r="AB46" s="333"/>
      <c r="AC46" s="333"/>
    </row>
    <row r="47" spans="1:29" ht="60" customHeight="1" x14ac:dyDescent="0.25">
      <c r="A47" s="296" t="s">
        <v>502</v>
      </c>
      <c r="B47" s="332" t="s">
        <v>508</v>
      </c>
      <c r="C47" s="332"/>
      <c r="D47" s="332" t="s">
        <v>508</v>
      </c>
      <c r="E47" s="332"/>
      <c r="F47" s="332" t="s">
        <v>508</v>
      </c>
      <c r="G47" s="332"/>
      <c r="H47" s="332" t="s">
        <v>508</v>
      </c>
      <c r="I47" s="332"/>
      <c r="J47" s="332" t="s">
        <v>508</v>
      </c>
      <c r="K47" s="332"/>
      <c r="L47" s="332" t="s">
        <v>508</v>
      </c>
      <c r="M47" s="332"/>
      <c r="N47" s="332" t="s">
        <v>508</v>
      </c>
      <c r="O47" s="332"/>
      <c r="P47" s="332" t="s">
        <v>508</v>
      </c>
      <c r="Q47" s="332"/>
      <c r="R47" s="332" t="s">
        <v>508</v>
      </c>
      <c r="S47" s="332"/>
      <c r="T47" s="332" t="s">
        <v>508</v>
      </c>
      <c r="U47" s="332"/>
      <c r="V47" s="332" t="s">
        <v>508</v>
      </c>
      <c r="W47" s="332"/>
      <c r="X47" s="332" t="s">
        <v>508</v>
      </c>
      <c r="Y47" s="332"/>
      <c r="Z47" s="332" t="s">
        <v>508</v>
      </c>
      <c r="AA47" s="332"/>
      <c r="AB47" s="332" t="s">
        <v>508</v>
      </c>
      <c r="AC47" s="332"/>
    </row>
    <row r="48" spans="1:29" ht="24" customHeight="1" x14ac:dyDescent="0.25">
      <c r="A48" s="296" t="s">
        <v>503</v>
      </c>
      <c r="B48" s="329"/>
      <c r="C48" s="329"/>
      <c r="D48" s="329"/>
      <c r="E48" s="329"/>
      <c r="F48" s="329"/>
      <c r="G48" s="329"/>
      <c r="H48" s="329"/>
      <c r="I48" s="329"/>
      <c r="J48" s="329"/>
      <c r="K48" s="329"/>
      <c r="L48" s="329"/>
      <c r="M48" s="329"/>
      <c r="N48" s="329"/>
      <c r="O48" s="329"/>
      <c r="P48" s="329"/>
      <c r="Q48" s="329"/>
      <c r="R48" s="329"/>
      <c r="S48" s="329"/>
      <c r="T48" s="329"/>
      <c r="U48" s="329"/>
      <c r="V48" s="329"/>
      <c r="W48" s="329"/>
      <c r="X48" s="329"/>
      <c r="Y48" s="329"/>
      <c r="Z48" s="329"/>
      <c r="AA48" s="329"/>
      <c r="AB48" s="329"/>
      <c r="AC48" s="329"/>
    </row>
    <row r="49" spans="1:29" ht="24" customHeight="1" x14ac:dyDescent="0.25">
      <c r="A49" s="296" t="s">
        <v>504</v>
      </c>
      <c r="B49" s="329"/>
      <c r="C49" s="329"/>
      <c r="D49" s="329"/>
      <c r="E49" s="329"/>
      <c r="F49" s="329"/>
      <c r="G49" s="329"/>
      <c r="H49" s="329"/>
      <c r="I49" s="329"/>
      <c r="J49" s="329"/>
      <c r="K49" s="329"/>
      <c r="L49" s="329"/>
      <c r="M49" s="329"/>
      <c r="N49" s="329"/>
      <c r="O49" s="329"/>
      <c r="P49" s="329"/>
      <c r="Q49" s="329"/>
      <c r="R49" s="329"/>
      <c r="S49" s="329"/>
      <c r="T49" s="329"/>
      <c r="U49" s="329"/>
      <c r="V49" s="329"/>
      <c r="W49" s="329"/>
      <c r="X49" s="329"/>
      <c r="Y49" s="329"/>
      <c r="Z49" s="329"/>
      <c r="AA49" s="329"/>
      <c r="AB49" s="329"/>
      <c r="AC49" s="329"/>
    </row>
    <row r="50" spans="1:29" ht="24" customHeight="1" x14ac:dyDescent="0.25">
      <c r="A50" s="296" t="s">
        <v>505</v>
      </c>
      <c r="B50" s="329"/>
      <c r="C50" s="329"/>
      <c r="D50" s="329"/>
      <c r="E50" s="329"/>
      <c r="F50" s="329"/>
      <c r="G50" s="329"/>
      <c r="H50" s="329"/>
      <c r="I50" s="329"/>
      <c r="J50" s="329"/>
      <c r="K50" s="329"/>
      <c r="L50" s="329"/>
      <c r="M50" s="329"/>
      <c r="N50" s="329"/>
      <c r="O50" s="329"/>
      <c r="P50" s="329"/>
      <c r="Q50" s="329"/>
      <c r="R50" s="329"/>
      <c r="S50" s="329"/>
      <c r="T50" s="329"/>
      <c r="U50" s="329"/>
      <c r="V50" s="329"/>
      <c r="W50" s="329"/>
      <c r="X50" s="329"/>
      <c r="Y50" s="329"/>
      <c r="Z50" s="329"/>
      <c r="AA50" s="329"/>
      <c r="AB50" s="329"/>
      <c r="AC50" s="329"/>
    </row>
    <row r="51" spans="1:29" ht="24" customHeight="1" x14ac:dyDescent="0.25">
      <c r="A51" s="296" t="s">
        <v>506</v>
      </c>
      <c r="B51" s="329"/>
      <c r="C51" s="329"/>
      <c r="D51" s="329"/>
      <c r="E51" s="329"/>
      <c r="F51" s="329"/>
      <c r="G51" s="329"/>
      <c r="H51" s="329"/>
      <c r="I51" s="329"/>
      <c r="J51" s="329"/>
      <c r="K51" s="329"/>
      <c r="L51" s="329"/>
      <c r="M51" s="329"/>
      <c r="N51" s="329"/>
      <c r="O51" s="329"/>
      <c r="P51" s="329"/>
      <c r="Q51" s="329"/>
      <c r="R51" s="329"/>
      <c r="S51" s="329"/>
      <c r="T51" s="329"/>
      <c r="U51" s="329"/>
      <c r="V51" s="329"/>
      <c r="W51" s="329"/>
      <c r="X51" s="329"/>
      <c r="Y51" s="329"/>
      <c r="Z51" s="329"/>
      <c r="AA51" s="329"/>
      <c r="AB51" s="329"/>
      <c r="AC51" s="329"/>
    </row>
    <row r="52" spans="1:29" ht="24" customHeight="1" x14ac:dyDescent="0.25">
      <c r="A52" s="333" t="s">
        <v>507</v>
      </c>
      <c r="B52" s="333"/>
      <c r="C52" s="333"/>
      <c r="D52" s="333"/>
      <c r="E52" s="333"/>
      <c r="F52" s="333"/>
      <c r="G52" s="333"/>
      <c r="H52" s="333"/>
      <c r="I52" s="333"/>
      <c r="J52" s="333"/>
      <c r="K52" s="333"/>
      <c r="L52" s="333"/>
      <c r="M52" s="333"/>
      <c r="N52" s="333"/>
      <c r="O52" s="333"/>
      <c r="P52" s="333"/>
      <c r="Q52" s="333"/>
      <c r="R52" s="333"/>
      <c r="S52" s="333"/>
      <c r="T52" s="333"/>
      <c r="U52" s="333"/>
      <c r="V52" s="333"/>
      <c r="W52" s="333"/>
      <c r="X52" s="333"/>
      <c r="Y52" s="333"/>
      <c r="Z52" s="333"/>
      <c r="AA52" s="333"/>
      <c r="AB52" s="333"/>
      <c r="AC52" s="333"/>
    </row>
    <row r="53" spans="1:29" s="31" customFormat="1" ht="48" customHeight="1" x14ac:dyDescent="0.25">
      <c r="A53" s="297" t="s">
        <v>502</v>
      </c>
      <c r="B53" s="332" t="s">
        <v>508</v>
      </c>
      <c r="C53" s="332"/>
      <c r="D53" s="332" t="s">
        <v>508</v>
      </c>
      <c r="E53" s="332"/>
      <c r="F53" s="332" t="s">
        <v>508</v>
      </c>
      <c r="G53" s="332"/>
      <c r="H53" s="332" t="s">
        <v>508</v>
      </c>
      <c r="I53" s="332"/>
      <c r="J53" s="332" t="s">
        <v>508</v>
      </c>
      <c r="K53" s="332"/>
      <c r="L53" s="332" t="s">
        <v>508</v>
      </c>
      <c r="M53" s="332"/>
      <c r="N53" s="332" t="s">
        <v>508</v>
      </c>
      <c r="O53" s="332"/>
      <c r="P53" s="332" t="s">
        <v>508</v>
      </c>
      <c r="Q53" s="332"/>
      <c r="R53" s="332" t="s">
        <v>508</v>
      </c>
      <c r="S53" s="332"/>
      <c r="T53" s="332" t="s">
        <v>508</v>
      </c>
      <c r="U53" s="332"/>
      <c r="V53" s="332" t="s">
        <v>508</v>
      </c>
      <c r="W53" s="332"/>
      <c r="X53" s="332" t="s">
        <v>508</v>
      </c>
      <c r="Y53" s="332"/>
      <c r="Z53" s="332" t="s">
        <v>508</v>
      </c>
      <c r="AA53" s="332"/>
      <c r="AB53" s="332" t="s">
        <v>508</v>
      </c>
      <c r="AC53" s="332"/>
    </row>
    <row r="54" spans="1:29" ht="24" customHeight="1" x14ac:dyDescent="0.25">
      <c r="A54" s="298" t="s">
        <v>503</v>
      </c>
      <c r="B54" s="329"/>
      <c r="C54" s="329"/>
      <c r="D54" s="329"/>
      <c r="E54" s="329"/>
      <c r="F54" s="329"/>
      <c r="G54" s="329"/>
      <c r="H54" s="329"/>
      <c r="I54" s="329"/>
      <c r="J54" s="329"/>
      <c r="K54" s="329"/>
      <c r="L54" s="329"/>
      <c r="M54" s="329"/>
      <c r="N54" s="329"/>
      <c r="O54" s="329"/>
      <c r="P54" s="329"/>
      <c r="Q54" s="329"/>
      <c r="R54" s="329"/>
      <c r="S54" s="329"/>
      <c r="T54" s="329"/>
      <c r="U54" s="329"/>
      <c r="V54" s="329"/>
      <c r="W54" s="329"/>
      <c r="X54" s="329"/>
      <c r="Y54" s="329"/>
      <c r="Z54" s="329"/>
      <c r="AA54" s="329"/>
      <c r="AB54" s="329"/>
      <c r="AC54" s="329"/>
    </row>
    <row r="55" spans="1:29" ht="24" customHeight="1" x14ac:dyDescent="0.25">
      <c r="A55" s="298" t="s">
        <v>504</v>
      </c>
      <c r="B55" s="329"/>
      <c r="C55" s="329"/>
      <c r="D55" s="329"/>
      <c r="E55" s="329"/>
      <c r="F55" s="329"/>
      <c r="G55" s="329"/>
      <c r="H55" s="329"/>
      <c r="I55" s="329"/>
      <c r="J55" s="329"/>
      <c r="K55" s="329"/>
      <c r="L55" s="329"/>
      <c r="M55" s="329"/>
      <c r="N55" s="329"/>
      <c r="O55" s="329"/>
      <c r="P55" s="329"/>
      <c r="Q55" s="329"/>
      <c r="R55" s="329"/>
      <c r="S55" s="329"/>
      <c r="T55" s="329"/>
      <c r="U55" s="329"/>
      <c r="V55" s="329"/>
      <c r="W55" s="329"/>
      <c r="X55" s="329"/>
      <c r="Y55" s="329"/>
      <c r="Z55" s="329"/>
      <c r="AA55" s="329"/>
      <c r="AB55" s="329"/>
      <c r="AC55" s="329"/>
    </row>
    <row r="56" spans="1:29" ht="24" customHeight="1" x14ac:dyDescent="0.25">
      <c r="A56" s="298" t="s">
        <v>505</v>
      </c>
      <c r="B56" s="329"/>
      <c r="C56" s="329"/>
      <c r="D56" s="329"/>
      <c r="E56" s="329"/>
      <c r="F56" s="329"/>
      <c r="G56" s="329"/>
      <c r="H56" s="329"/>
      <c r="I56" s="329"/>
      <c r="J56" s="329"/>
      <c r="K56" s="329"/>
      <c r="L56" s="329"/>
      <c r="M56" s="329"/>
      <c r="N56" s="329"/>
      <c r="O56" s="329"/>
      <c r="P56" s="329"/>
      <c r="Q56" s="329"/>
      <c r="R56" s="329"/>
      <c r="S56" s="329"/>
      <c r="T56" s="329"/>
      <c r="U56" s="329"/>
      <c r="V56" s="329"/>
      <c r="W56" s="329"/>
      <c r="X56" s="329"/>
      <c r="Y56" s="329"/>
      <c r="Z56" s="329"/>
      <c r="AA56" s="329"/>
      <c r="AB56" s="329"/>
      <c r="AC56" s="329"/>
    </row>
    <row r="57" spans="1:29" ht="24" customHeight="1" x14ac:dyDescent="0.25">
      <c r="A57" s="298" t="s">
        <v>506</v>
      </c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9"/>
      <c r="V57" s="329"/>
      <c r="W57" s="329"/>
      <c r="X57" s="329"/>
      <c r="Y57" s="329"/>
      <c r="Z57" s="329"/>
      <c r="AA57" s="329"/>
      <c r="AB57" s="329"/>
      <c r="AC57" s="329"/>
    </row>
    <row r="58" spans="1:29" x14ac:dyDescent="0.25">
      <c r="A58" s="36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</row>
  </sheetData>
  <mergeCells count="299">
    <mergeCell ref="V28:W28"/>
    <mergeCell ref="X28:Y28"/>
    <mergeCell ref="A1:AB1"/>
    <mergeCell ref="Z4:AB4"/>
    <mergeCell ref="N2:AB2"/>
    <mergeCell ref="A10:AB10"/>
    <mergeCell ref="D2:L2"/>
    <mergeCell ref="A5:N5"/>
    <mergeCell ref="R4:X4"/>
    <mergeCell ref="P5:AB5"/>
    <mergeCell ref="B4:H4"/>
    <mergeCell ref="J4:P4"/>
    <mergeCell ref="B7:C7"/>
    <mergeCell ref="D7:E7"/>
    <mergeCell ref="F7:G7"/>
    <mergeCell ref="H7:I7"/>
    <mergeCell ref="J7:K7"/>
    <mergeCell ref="L7:M7"/>
    <mergeCell ref="N7:O7"/>
    <mergeCell ref="P7:Q7"/>
    <mergeCell ref="D28:E28"/>
    <mergeCell ref="F28:G28"/>
    <mergeCell ref="H28:I28"/>
    <mergeCell ref="J28:K28"/>
    <mergeCell ref="Z7:AA7"/>
    <mergeCell ref="AB7:AC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R7:S7"/>
    <mergeCell ref="T7:U7"/>
    <mergeCell ref="V7:W7"/>
    <mergeCell ref="X7:Y7"/>
    <mergeCell ref="V31:W31"/>
    <mergeCell ref="X31:Y31"/>
    <mergeCell ref="Z31:AA31"/>
    <mergeCell ref="AB31:AC31"/>
    <mergeCell ref="Z28:AA28"/>
    <mergeCell ref="AB28:AC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L28:M28"/>
    <mergeCell ref="N28:O28"/>
    <mergeCell ref="P28:Q28"/>
    <mergeCell ref="R28:S28"/>
    <mergeCell ref="T28:U28"/>
    <mergeCell ref="B28:C28"/>
    <mergeCell ref="Z29:AA29"/>
    <mergeCell ref="AB29:AC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L31:M31"/>
    <mergeCell ref="N31:O31"/>
    <mergeCell ref="P31:Q31"/>
    <mergeCell ref="R31:S31"/>
    <mergeCell ref="T31:U31"/>
    <mergeCell ref="B31:C31"/>
    <mergeCell ref="D31:E31"/>
    <mergeCell ref="F31:G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H31:I31"/>
    <mergeCell ref="J31:K31"/>
    <mergeCell ref="Z32:AA32"/>
    <mergeCell ref="AB32:AC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T32:U32"/>
    <mergeCell ref="V32:W32"/>
    <mergeCell ref="X32:Y32"/>
    <mergeCell ref="L34:M34"/>
    <mergeCell ref="N34:O34"/>
    <mergeCell ref="P34:Q34"/>
    <mergeCell ref="R34:S34"/>
    <mergeCell ref="T34:U34"/>
    <mergeCell ref="B34:C34"/>
    <mergeCell ref="D34:E34"/>
    <mergeCell ref="F34:G34"/>
    <mergeCell ref="H34:I34"/>
    <mergeCell ref="J34:K34"/>
    <mergeCell ref="V34:W34"/>
    <mergeCell ref="X34:Y34"/>
    <mergeCell ref="Z34:AA34"/>
    <mergeCell ref="AB34:AC34"/>
    <mergeCell ref="S36:T36"/>
    <mergeCell ref="U36:V36"/>
    <mergeCell ref="W36:X36"/>
    <mergeCell ref="Y36:Z36"/>
    <mergeCell ref="AA36:AB36"/>
    <mergeCell ref="U35:V35"/>
    <mergeCell ref="W35:X35"/>
    <mergeCell ref="Y35:Z35"/>
    <mergeCell ref="AA35:AB35"/>
    <mergeCell ref="M36:N36"/>
    <mergeCell ref="O36:P36"/>
    <mergeCell ref="Q36:R36"/>
    <mergeCell ref="H47:I47"/>
    <mergeCell ref="J47:K47"/>
    <mergeCell ref="B40:AC40"/>
    <mergeCell ref="B41:AC41"/>
    <mergeCell ref="B42:AC42"/>
    <mergeCell ref="B43:AC43"/>
    <mergeCell ref="B44:AC44"/>
    <mergeCell ref="V37:W37"/>
    <mergeCell ref="X37:Y37"/>
    <mergeCell ref="Z37:AA37"/>
    <mergeCell ref="AB37:AC37"/>
    <mergeCell ref="B38:AC38"/>
    <mergeCell ref="L37:M37"/>
    <mergeCell ref="N37:O37"/>
    <mergeCell ref="P37:Q37"/>
    <mergeCell ref="R37:S37"/>
    <mergeCell ref="T37:U37"/>
    <mergeCell ref="B37:C37"/>
    <mergeCell ref="D37:E37"/>
    <mergeCell ref="F37:G37"/>
    <mergeCell ref="H37:I37"/>
    <mergeCell ref="J37:K37"/>
    <mergeCell ref="V47:W47"/>
    <mergeCell ref="X47:Y47"/>
    <mergeCell ref="Z47:AA47"/>
    <mergeCell ref="A39:AC39"/>
    <mergeCell ref="A46:AC46"/>
    <mergeCell ref="AB47:AC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L47:M47"/>
    <mergeCell ref="N47:O47"/>
    <mergeCell ref="P47:Q47"/>
    <mergeCell ref="R47:S47"/>
    <mergeCell ref="T47:U47"/>
    <mergeCell ref="B47:C47"/>
    <mergeCell ref="D47:E47"/>
    <mergeCell ref="F47:G47"/>
    <mergeCell ref="Z48:AA48"/>
    <mergeCell ref="AB48:AC48"/>
    <mergeCell ref="X49:Y49"/>
    <mergeCell ref="Z49:AA49"/>
    <mergeCell ref="AB49:AC49"/>
    <mergeCell ref="P53:Q53"/>
    <mergeCell ref="R53:S53"/>
    <mergeCell ref="T53:U53"/>
    <mergeCell ref="V53:W53"/>
    <mergeCell ref="X53:Y53"/>
    <mergeCell ref="Z53:AA53"/>
    <mergeCell ref="AB53:AC53"/>
    <mergeCell ref="V50:W50"/>
    <mergeCell ref="X50:Y50"/>
    <mergeCell ref="Z50:AA50"/>
    <mergeCell ref="AB50:AC50"/>
    <mergeCell ref="P50:Q50"/>
    <mergeCell ref="R50:S50"/>
    <mergeCell ref="T50:U50"/>
    <mergeCell ref="A52:AC52"/>
    <mergeCell ref="B51:AC51"/>
    <mergeCell ref="L50:M50"/>
    <mergeCell ref="N50:O50"/>
    <mergeCell ref="B50:C50"/>
    <mergeCell ref="B49:C49"/>
    <mergeCell ref="D49:E49"/>
    <mergeCell ref="B53:C53"/>
    <mergeCell ref="D53:E53"/>
    <mergeCell ref="F53:G53"/>
    <mergeCell ref="H53:I53"/>
    <mergeCell ref="J53:K53"/>
    <mergeCell ref="L53:M53"/>
    <mergeCell ref="N53:O53"/>
    <mergeCell ref="T49:U49"/>
    <mergeCell ref="V49:W49"/>
    <mergeCell ref="F49:G49"/>
    <mergeCell ref="H49:I49"/>
    <mergeCell ref="J49:K49"/>
    <mergeCell ref="L49:M49"/>
    <mergeCell ref="N49:O49"/>
    <mergeCell ref="P49:Q49"/>
    <mergeCell ref="R49:S49"/>
    <mergeCell ref="AB54:AC54"/>
    <mergeCell ref="B55:C55"/>
    <mergeCell ref="D55:E55"/>
    <mergeCell ref="F55:G55"/>
    <mergeCell ref="H55:I55"/>
    <mergeCell ref="J55:K55"/>
    <mergeCell ref="L55:M55"/>
    <mergeCell ref="N55:O55"/>
    <mergeCell ref="P55:Q55"/>
    <mergeCell ref="R55:S55"/>
    <mergeCell ref="T55:U55"/>
    <mergeCell ref="V55:W55"/>
    <mergeCell ref="X55:Y55"/>
    <mergeCell ref="L54:M54"/>
    <mergeCell ref="N54:O54"/>
    <mergeCell ref="P54:Q54"/>
    <mergeCell ref="R54:S54"/>
    <mergeCell ref="T54:U54"/>
    <mergeCell ref="B54:C54"/>
    <mergeCell ref="D54:E54"/>
    <mergeCell ref="F54:G54"/>
    <mergeCell ref="H54:I54"/>
    <mergeCell ref="J54:K54"/>
    <mergeCell ref="M35:N35"/>
    <mergeCell ref="O35:P35"/>
    <mergeCell ref="Q35:R35"/>
    <mergeCell ref="S35:T35"/>
    <mergeCell ref="B57:AC57"/>
    <mergeCell ref="Z55:AA55"/>
    <mergeCell ref="AB55:AC55"/>
    <mergeCell ref="B56:C56"/>
    <mergeCell ref="D56:E56"/>
    <mergeCell ref="F56:G56"/>
    <mergeCell ref="H56:I56"/>
    <mergeCell ref="J56:K56"/>
    <mergeCell ref="L56:M56"/>
    <mergeCell ref="N56:O56"/>
    <mergeCell ref="P56:Q56"/>
    <mergeCell ref="R56:S56"/>
    <mergeCell ref="T56:U56"/>
    <mergeCell ref="V56:W56"/>
    <mergeCell ref="X56:Y56"/>
    <mergeCell ref="Z56:AA56"/>
    <mergeCell ref="AB56:AC56"/>
    <mergeCell ref="V54:W54"/>
    <mergeCell ref="X54:Y54"/>
    <mergeCell ref="Z54:AA54"/>
    <mergeCell ref="D50:E50"/>
    <mergeCell ref="F50:G50"/>
    <mergeCell ref="H50:I50"/>
    <mergeCell ref="J50:K50"/>
    <mergeCell ref="C35:D35"/>
    <mergeCell ref="E35:F35"/>
    <mergeCell ref="G35:H35"/>
    <mergeCell ref="I35:J35"/>
    <mergeCell ref="K35:L35"/>
    <mergeCell ref="C36:D36"/>
    <mergeCell ref="E36:F36"/>
    <mergeCell ref="G36:H36"/>
    <mergeCell ref="I36:J36"/>
    <mergeCell ref="K36:L36"/>
  </mergeCells>
  <conditionalFormatting sqref="B8 D8 F8 H8 J8 L8 N8 P8 R8 T8 V8 X8 Z8 AB8">
    <cfRule type="expression" dxfId="31" priority="1">
      <formula>B8="—"</formula>
    </cfRule>
    <cfRule type="expression" dxfId="30" priority="2">
      <formula>B8&lt;&gt;"—"</formula>
    </cfRule>
  </conditionalFormatting>
  <conditionalFormatting sqref="C36">
    <cfRule type="cellIs" dxfId="29" priority="42" stopIfTrue="1" operator="greaterThan">
      <formula>1000</formula>
    </cfRule>
  </conditionalFormatting>
  <conditionalFormatting sqref="E36">
    <cfRule type="cellIs" dxfId="28" priority="43" stopIfTrue="1" operator="greaterThan">
      <formula>1000</formula>
    </cfRule>
  </conditionalFormatting>
  <conditionalFormatting sqref="G36">
    <cfRule type="cellIs" dxfId="27" priority="44" stopIfTrue="1" operator="greaterThan">
      <formula>1000</formula>
    </cfRule>
  </conditionalFormatting>
  <conditionalFormatting sqref="I36">
    <cfRule type="cellIs" dxfId="26" priority="45" stopIfTrue="1" operator="greaterThan">
      <formula>1000</formula>
    </cfRule>
  </conditionalFormatting>
  <conditionalFormatting sqref="K36">
    <cfRule type="cellIs" dxfId="25" priority="46" stopIfTrue="1" operator="greaterThan">
      <formula>1000</formula>
    </cfRule>
  </conditionalFormatting>
  <conditionalFormatting sqref="M36">
    <cfRule type="cellIs" dxfId="24" priority="47" stopIfTrue="1" operator="greaterThan">
      <formula>1000</formula>
    </cfRule>
  </conditionalFormatting>
  <conditionalFormatting sqref="O36">
    <cfRule type="cellIs" dxfId="23" priority="48" stopIfTrue="1" operator="greaterThan">
      <formula>1000</formula>
    </cfRule>
  </conditionalFormatting>
  <conditionalFormatting sqref="Q36">
    <cfRule type="cellIs" dxfId="22" priority="49" stopIfTrue="1" operator="greaterThan">
      <formula>1000</formula>
    </cfRule>
  </conditionalFormatting>
  <conditionalFormatting sqref="S36">
    <cfRule type="cellIs" dxfId="21" priority="50" stopIfTrue="1" operator="greaterThan">
      <formula>1000</formula>
    </cfRule>
  </conditionalFormatting>
  <conditionalFormatting sqref="U36">
    <cfRule type="cellIs" dxfId="20" priority="51" stopIfTrue="1" operator="greaterThan">
      <formula>1000</formula>
    </cfRule>
  </conditionalFormatting>
  <conditionalFormatting sqref="W36">
    <cfRule type="cellIs" dxfId="19" priority="52" stopIfTrue="1" operator="greaterThan">
      <formula>1000</formula>
    </cfRule>
  </conditionalFormatting>
  <conditionalFormatting sqref="Y36">
    <cfRule type="cellIs" dxfId="18" priority="53" stopIfTrue="1" operator="greaterThan">
      <formula>1000</formula>
    </cfRule>
  </conditionalFormatting>
  <conditionalFormatting sqref="AA36">
    <cfRule type="cellIs" dxfId="17" priority="54" stopIfTrue="1" operator="greaterThan">
      <formula>1000</formula>
    </cfRule>
  </conditionalFormatting>
  <printOptions horizontalCentered="1"/>
  <pageMargins left="0.19685039370078738" right="0.19685039370078738" top="0.23622047244094485" bottom="0.23622047244094485" header="0.5" footer="0.5"/>
  <pageSetup paperSize="8" orientation="landscape" r:id="rId1"/>
  <headerFooter>
    <oddFooter>&amp;C&amp;8 23842B1 · TIRATA 1 · Pagina &amp;P di &amp;N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 fitToPage="1"/>
  </sheetPr>
  <dimension ref="A1:AG58"/>
  <sheetViews>
    <sheetView showGridLines="0" zoomScale="70" zoomScaleNormal="70" workbookViewId="0">
      <selection activeCell="B50" sqref="B50:C50"/>
    </sheetView>
  </sheetViews>
  <sheetFormatPr baseColWidth="10" defaultColWidth="9.140625" defaultRowHeight="15" x14ac:dyDescent="0.25"/>
  <cols>
    <col min="1" max="1" width="24.42578125" customWidth="1"/>
    <col min="2" max="33" width="5" customWidth="1"/>
  </cols>
  <sheetData>
    <row r="1" spans="1:33" ht="30" customHeight="1" x14ac:dyDescent="0.25">
      <c r="A1" s="323" t="s">
        <v>192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4"/>
      <c r="AC1" s="324"/>
      <c r="AD1" s="324"/>
      <c r="AE1" s="324"/>
      <c r="AF1" s="324"/>
      <c r="AG1" s="32"/>
    </row>
    <row r="2" spans="1:33" ht="33.75" customHeight="1" x14ac:dyDescent="0.25">
      <c r="A2" s="1"/>
      <c r="B2" s="1"/>
      <c r="C2" s="1"/>
      <c r="D2" s="352" t="s">
        <v>1</v>
      </c>
      <c r="E2" s="353"/>
      <c r="F2" s="353"/>
      <c r="G2" s="353"/>
      <c r="H2" s="353"/>
      <c r="I2" s="353"/>
      <c r="J2" s="353"/>
      <c r="K2" s="353"/>
      <c r="L2" s="353"/>
      <c r="M2" s="353"/>
      <c r="N2" s="353"/>
      <c r="O2" s="22"/>
      <c r="P2" s="353" t="s">
        <v>2</v>
      </c>
      <c r="Q2" s="353"/>
      <c r="R2" s="353"/>
      <c r="S2" s="353"/>
      <c r="T2" s="353"/>
      <c r="U2" s="354"/>
      <c r="V2" s="355"/>
      <c r="W2" s="356"/>
      <c r="X2" s="356"/>
      <c r="Y2" s="356"/>
      <c r="Z2" s="356"/>
      <c r="AA2" s="356"/>
      <c r="AB2" s="356"/>
      <c r="AC2" s="356"/>
      <c r="AD2" s="356"/>
      <c r="AE2" s="356"/>
      <c r="AF2" s="356"/>
      <c r="AG2" s="23"/>
    </row>
    <row r="3" spans="1:3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x14ac:dyDescent="0.25">
      <c r="A4" s="2" t="s">
        <v>3</v>
      </c>
      <c r="B4" s="339" t="s">
        <v>193</v>
      </c>
      <c r="C4" s="340"/>
      <c r="D4" s="340"/>
      <c r="E4" s="340"/>
      <c r="F4" s="340"/>
      <c r="G4" s="340"/>
      <c r="H4" s="340"/>
      <c r="I4" s="29"/>
      <c r="J4" s="340" t="s">
        <v>122</v>
      </c>
      <c r="K4" s="340"/>
      <c r="L4" s="340"/>
      <c r="M4" s="341"/>
      <c r="N4" s="339"/>
      <c r="O4" s="340"/>
      <c r="P4" s="340"/>
      <c r="Q4" s="29"/>
      <c r="R4" s="340" t="s">
        <v>194</v>
      </c>
      <c r="S4" s="340"/>
      <c r="T4" s="340"/>
      <c r="U4" s="340"/>
      <c r="V4" s="340"/>
      <c r="W4" s="340"/>
      <c r="X4" s="340"/>
      <c r="Y4" s="24"/>
      <c r="Z4" s="339" t="s">
        <v>7</v>
      </c>
      <c r="AA4" s="340"/>
      <c r="AB4" s="340"/>
      <c r="AC4" s="340"/>
      <c r="AD4" s="340"/>
      <c r="AE4" s="340"/>
      <c r="AF4" s="340"/>
      <c r="AG4" s="29"/>
    </row>
    <row r="5" spans="1:33" ht="33.950000000000003" customHeight="1" x14ac:dyDescent="0.25">
      <c r="A5" s="388" t="s">
        <v>195</v>
      </c>
      <c r="B5" s="334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5"/>
      <c r="O5" s="335"/>
      <c r="P5" s="335"/>
      <c r="Q5" s="41"/>
      <c r="R5" s="335" t="s">
        <v>196</v>
      </c>
      <c r="S5" s="335"/>
      <c r="T5" s="335"/>
      <c r="U5" s="335"/>
      <c r="V5" s="335"/>
      <c r="W5" s="336"/>
      <c r="X5" s="337"/>
      <c r="Y5" s="338"/>
      <c r="Z5" s="338"/>
      <c r="AA5" s="338"/>
      <c r="AB5" s="338"/>
      <c r="AC5" s="338"/>
      <c r="AD5" s="338"/>
      <c r="AE5" s="338"/>
      <c r="AF5" s="338"/>
      <c r="AG5" s="28"/>
    </row>
    <row r="6" spans="1:33" x14ac:dyDescent="0.25">
      <c r="A6" s="1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6"/>
      <c r="Y6" s="26"/>
      <c r="Z6" s="26"/>
      <c r="AA6" s="26"/>
      <c r="AB6" s="26"/>
      <c r="AC6" s="26"/>
      <c r="AD6" s="26"/>
      <c r="AE6" s="26"/>
      <c r="AF6" s="26"/>
      <c r="AG6" s="26"/>
    </row>
    <row r="7" spans="1:33" ht="15.75" customHeight="1" x14ac:dyDescent="0.25">
      <c r="A7" s="2" t="s">
        <v>10</v>
      </c>
      <c r="B7" s="383" t="s">
        <v>197</v>
      </c>
      <c r="C7" s="384"/>
      <c r="D7" s="383" t="s">
        <v>198</v>
      </c>
      <c r="E7" s="384"/>
      <c r="F7" s="383" t="s">
        <v>199</v>
      </c>
      <c r="G7" s="384"/>
      <c r="H7" s="383" t="s">
        <v>200</v>
      </c>
      <c r="I7" s="384"/>
      <c r="J7" s="383" t="s">
        <v>201</v>
      </c>
      <c r="K7" s="384"/>
      <c r="L7" s="383" t="s">
        <v>202</v>
      </c>
      <c r="M7" s="384"/>
      <c r="N7" s="383" t="s">
        <v>203</v>
      </c>
      <c r="O7" s="384"/>
      <c r="P7" s="383" t="s">
        <v>204</v>
      </c>
      <c r="Q7" s="384"/>
      <c r="R7" s="383" t="s">
        <v>205</v>
      </c>
      <c r="S7" s="384"/>
      <c r="T7" s="383" t="s">
        <v>206</v>
      </c>
      <c r="U7" s="384"/>
      <c r="V7" s="383" t="s">
        <v>207</v>
      </c>
      <c r="W7" s="384"/>
      <c r="X7" s="383" t="s">
        <v>208</v>
      </c>
      <c r="Y7" s="384"/>
      <c r="Z7" s="383" t="s">
        <v>209</v>
      </c>
      <c r="AA7" s="384"/>
      <c r="AB7" s="383" t="s">
        <v>210</v>
      </c>
      <c r="AC7" s="384"/>
      <c r="AD7" s="383" t="s">
        <v>211</v>
      </c>
      <c r="AE7" s="384"/>
      <c r="AF7" s="383" t="s">
        <v>31</v>
      </c>
      <c r="AG7" s="384"/>
    </row>
    <row r="8" spans="1:33" ht="72" customHeight="1" x14ac:dyDescent="0.25">
      <c r="A8" s="10" t="s">
        <v>32</v>
      </c>
      <c r="B8" s="378" t="str">
        <f>IFERROR(INDEX('04 Interferencias'!$D:$D,MATCH(SUBSTITUTE(B7,"–","-"),'04 Interferencias'!$A:$A,0)),"—")</f>
        <v>SP. Per Creto</v>
      </c>
      <c r="C8" s="379"/>
      <c r="D8" s="378" t="str">
        <f>IFERROR(INDEX('04 Interferencias'!$D:$D,MATCH(SUBSTITUTE(D7,"–","-"),'04 Interferencias'!$A:$A,0)),"—")</f>
        <v>—</v>
      </c>
      <c r="E8" s="379"/>
      <c r="F8" s="378" t="str">
        <f>IFERROR(INDEX('04 Interferencias'!$D:$D,MATCH(SUBSTITUTE(F7,"–","-"),'04 Interferencias'!$A:$A,0)),"—")</f>
        <v>15 kV. 2Pallorci BT. In cavo</v>
      </c>
      <c r="G8" s="379"/>
      <c r="H8" s="378" t="str">
        <f>IFERROR(INDEX('04 Interferencias'!$D:$D,MATCH(SUBSTITUTE(H7,"–","-"),'04 Interferencias'!$A:$A,0)),"—")</f>
        <v>Tubo acqua</v>
      </c>
      <c r="I8" s="379"/>
      <c r="J8" s="378" t="str">
        <f>IFERROR(INDEX('04 Interferencias'!$D:$D,MATCH(SUBSTITUTE(J7,"–","-"),'04 Interferencias'!$A:$A,0)),"—")</f>
        <v>—</v>
      </c>
      <c r="K8" s="379"/>
      <c r="L8" s="378" t="str">
        <f>IFERROR(INDEX('04 Interferencias'!$D:$D,MATCH(SUBSTITUTE(L7,"–","-"),'04 Interferencias'!$A:$A,0)),"—")</f>
        <v>—</v>
      </c>
      <c r="M8" s="379"/>
      <c r="N8" s="378" t="str">
        <f>IFERROR(INDEX('04 Interferencias'!$D:$D,MATCH(SUBSTITUTE(N7,"–","-"),'04 Interferencias'!$A:$A,0)),"—")</f>
        <v>30 kV -15kV</v>
      </c>
      <c r="O8" s="379"/>
      <c r="P8" s="378" t="str">
        <f>IFERROR(INDEX('04 Interferencias'!$D:$D,MATCH(SUBSTITUTE(P7,"–","-"),'04 Interferencias'!$A:$A,0)),"—")</f>
        <v>2- 15 kV. 2Bt in cavo  4- telefoniche - BT. IP.</v>
      </c>
      <c r="Q8" s="379"/>
      <c r="R8" s="378" t="str">
        <f>IFERROR(INDEX('04 Interferencias'!$D:$D,MATCH(SUBSTITUTE(R7,"–","-"),'04 Interferencias'!$A:$A,0)),"—")</f>
        <v>Garage  in lamiera</v>
      </c>
      <c r="S8" s="379"/>
      <c r="T8" s="378" t="str">
        <f>IFERROR(INDEX('04 Interferencias'!$D:$D,MATCH(SUBSTITUTE(T7,"–","-"),'04 Interferencias'!$A:$A,0)),"—")</f>
        <v>4-BT in cavo Via Struppa Cava - Torrente Bisagno SC. Magazz.Com</v>
      </c>
      <c r="U8" s="379"/>
      <c r="V8" s="378" t="str">
        <f>IFERROR(INDEX('04 Interferencias'!$D:$D,MATCH(SUBSTITUTE(V7,"–","-"),'04 Interferencias'!$A:$A,0)),"—")</f>
        <v>Str. Privata Baracca Legno</v>
      </c>
      <c r="W8" s="379"/>
      <c r="X8" s="378" t="str">
        <f>IFERROR(INDEX('04 Interferencias'!$D:$D,MATCH(SUBSTITUTE(X7,"–","-"),'04 Interferencias'!$A:$A,0)),"—")</f>
        <v>—</v>
      </c>
      <c r="Y8" s="379"/>
      <c r="Z8" s="378" t="str">
        <f>IFERROR(INDEX('04 Interferencias'!$D:$D,MATCH(SUBSTITUTE(Z7,"–","-"),'04 Interferencias'!$A:$A,0)),"—")</f>
        <v>15 kV.</v>
      </c>
      <c r="AA8" s="379"/>
      <c r="AB8" s="378" t="str">
        <f>IFERROR(INDEX('04 Interferencias'!$D:$D,MATCH(SUBSTITUTE(AB7,"–","-"),'04 Interferencias'!$A:$A,0)),"—")</f>
        <v>—</v>
      </c>
      <c r="AC8" s="379"/>
      <c r="AD8" s="378" t="str">
        <f>IFERROR(INDEX('04 Interferencias'!$D:$D,MATCH(SUBSTITUTE(AD7,"–","-"),'04 Interferencias'!$A:$A,0)),"—")</f>
        <v>—</v>
      </c>
      <c r="AE8" s="379"/>
      <c r="AF8" s="378" t="str">
        <f>IFERROR(INDEX('04 Interferencias'!$D:$D,MATCH(SUBSTITUTE(AF7,"–","-"),'04 Interferencias'!$A:$A,0)),"—")</f>
        <v>—</v>
      </c>
      <c r="AG8" s="379"/>
    </row>
    <row r="9" spans="1:33" x14ac:dyDescent="0.25">
      <c r="A9" s="1"/>
      <c r="B9" s="12"/>
      <c r="C9" s="20"/>
      <c r="D9" s="12"/>
      <c r="E9" s="20"/>
      <c r="F9" s="12"/>
      <c r="G9" s="20"/>
      <c r="H9" s="12"/>
      <c r="I9" s="20"/>
      <c r="J9" s="12"/>
      <c r="K9" s="20"/>
      <c r="L9" s="12"/>
      <c r="M9" s="20"/>
      <c r="N9" s="12"/>
      <c r="O9" s="20"/>
      <c r="P9" s="12"/>
      <c r="Q9" s="20"/>
      <c r="R9" s="12"/>
      <c r="S9" s="20"/>
      <c r="T9" s="12"/>
      <c r="U9" s="20"/>
      <c r="V9" s="12"/>
      <c r="W9" s="20"/>
      <c r="X9" s="12"/>
      <c r="Y9" s="20"/>
      <c r="Z9" s="12"/>
      <c r="AA9" s="20"/>
      <c r="AB9" s="12"/>
      <c r="AC9" s="20"/>
      <c r="AD9" s="12"/>
      <c r="AE9" s="20"/>
      <c r="AF9" s="12"/>
      <c r="AG9" s="20"/>
    </row>
    <row r="10" spans="1:33" x14ac:dyDescent="0.25">
      <c r="A10" s="325" t="s">
        <v>34</v>
      </c>
      <c r="B10" s="326"/>
      <c r="C10" s="326"/>
      <c r="D10" s="326"/>
      <c r="E10" s="326"/>
      <c r="F10" s="326"/>
      <c r="G10" s="326"/>
      <c r="H10" s="326"/>
      <c r="I10" s="326"/>
      <c r="J10" s="326"/>
      <c r="K10" s="326"/>
      <c r="L10" s="326"/>
      <c r="M10" s="326"/>
      <c r="N10" s="326"/>
      <c r="O10" s="326"/>
      <c r="P10" s="326"/>
      <c r="Q10" s="326"/>
      <c r="R10" s="326"/>
      <c r="S10" s="326"/>
      <c r="T10" s="326"/>
      <c r="U10" s="326"/>
      <c r="V10" s="326"/>
      <c r="W10" s="326"/>
      <c r="X10" s="326"/>
      <c r="Y10" s="326"/>
      <c r="Z10" s="326"/>
      <c r="AA10" s="326"/>
      <c r="AB10" s="326"/>
      <c r="AC10" s="326"/>
      <c r="AD10" s="326"/>
      <c r="AE10" s="326"/>
      <c r="AF10" s="326"/>
      <c r="AG10" s="34"/>
    </row>
    <row r="11" spans="1:33" ht="20.100000000000001" customHeight="1" x14ac:dyDescent="0.25">
      <c r="A11" s="12"/>
      <c r="B11" s="42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</row>
    <row r="12" spans="1:33" ht="20.100000000000001" customHeight="1" x14ac:dyDescent="0.25">
      <c r="A12" s="12"/>
      <c r="B12" s="45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</row>
    <row r="13" spans="1:33" ht="20.100000000000001" customHeight="1" x14ac:dyDescent="0.25">
      <c r="A13" s="12"/>
      <c r="B13" s="45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</row>
    <row r="14" spans="1:33" ht="20.100000000000001" customHeight="1" x14ac:dyDescent="0.25">
      <c r="A14" s="12"/>
      <c r="B14" s="45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</row>
    <row r="15" spans="1:33" ht="20.100000000000001" customHeight="1" x14ac:dyDescent="0.25">
      <c r="A15" s="12"/>
      <c r="B15" s="45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</row>
    <row r="16" spans="1:33" ht="20.100000000000001" customHeight="1" x14ac:dyDescent="0.25">
      <c r="A16" s="12"/>
      <c r="B16" s="45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</row>
    <row r="17" spans="1:33" ht="20.100000000000001" customHeight="1" x14ac:dyDescent="0.25">
      <c r="A17" s="12"/>
      <c r="B17" s="45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</row>
    <row r="18" spans="1:33" ht="20.100000000000001" customHeight="1" x14ac:dyDescent="0.25">
      <c r="A18" s="12"/>
      <c r="B18" s="45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</row>
    <row r="19" spans="1:33" ht="20.100000000000001" customHeight="1" x14ac:dyDescent="0.25">
      <c r="A19" s="12"/>
      <c r="B19" s="45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</row>
    <row r="20" spans="1:33" ht="20.100000000000001" customHeight="1" x14ac:dyDescent="0.25">
      <c r="A20" s="12"/>
      <c r="B20" s="45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</row>
    <row r="21" spans="1:33" ht="20.100000000000001" customHeight="1" x14ac:dyDescent="0.25">
      <c r="A21" s="12"/>
      <c r="B21" s="45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</row>
    <row r="22" spans="1:33" ht="20.100000000000001" customHeight="1" x14ac:dyDescent="0.25">
      <c r="A22" s="12"/>
      <c r="B22" s="45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</row>
    <row r="23" spans="1:33" ht="20.100000000000001" customHeight="1" x14ac:dyDescent="0.25">
      <c r="A23" s="12"/>
      <c r="B23" s="45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</row>
    <row r="24" spans="1:33" ht="20.100000000000001" customHeight="1" x14ac:dyDescent="0.25">
      <c r="A24" s="12"/>
      <c r="B24" s="45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</row>
    <row r="25" spans="1:33" ht="20.100000000000001" customHeight="1" x14ac:dyDescent="0.25">
      <c r="A25" s="12"/>
      <c r="B25" s="45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</row>
    <row r="26" spans="1:33" ht="20.100000000000001" customHeight="1" x14ac:dyDescent="0.25">
      <c r="A26" s="12"/>
      <c r="B26" s="45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</row>
    <row r="27" spans="1:33" x14ac:dyDescent="0.25">
      <c r="A27" s="13"/>
      <c r="B27" s="45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</row>
    <row r="28" spans="1:33" ht="24" customHeight="1" x14ac:dyDescent="0.25">
      <c r="A28" s="293" t="s">
        <v>35</v>
      </c>
      <c r="B28" s="374">
        <v>317</v>
      </c>
      <c r="C28" s="371"/>
      <c r="D28" s="370">
        <v>318</v>
      </c>
      <c r="E28" s="371"/>
      <c r="F28" s="370">
        <v>319</v>
      </c>
      <c r="G28" s="371"/>
      <c r="H28" s="370">
        <v>320</v>
      </c>
      <c r="I28" s="371"/>
      <c r="J28" s="370">
        <v>321</v>
      </c>
      <c r="K28" s="371"/>
      <c r="L28" s="370">
        <v>322</v>
      </c>
      <c r="M28" s="371"/>
      <c r="N28" s="370">
        <v>323</v>
      </c>
      <c r="O28" s="371"/>
      <c r="P28" s="370">
        <v>324</v>
      </c>
      <c r="Q28" s="371"/>
      <c r="R28" s="370">
        <v>325</v>
      </c>
      <c r="S28" s="371"/>
      <c r="T28" s="370">
        <v>326</v>
      </c>
      <c r="U28" s="371"/>
      <c r="V28" s="370">
        <v>327</v>
      </c>
      <c r="W28" s="371"/>
      <c r="X28" s="370">
        <v>328</v>
      </c>
      <c r="Y28" s="371"/>
      <c r="Z28" s="370">
        <v>329</v>
      </c>
      <c r="AA28" s="371"/>
      <c r="AB28" s="370">
        <v>330</v>
      </c>
      <c r="AC28" s="371"/>
      <c r="AD28" s="370">
        <v>331</v>
      </c>
      <c r="AE28" s="371"/>
      <c r="AF28" s="370" t="s">
        <v>212</v>
      </c>
      <c r="AG28" s="371"/>
    </row>
    <row r="29" spans="1:33" ht="24" customHeight="1" x14ac:dyDescent="0.25">
      <c r="A29" s="292" t="s">
        <v>57</v>
      </c>
      <c r="B29" s="372" t="s">
        <v>58</v>
      </c>
      <c r="C29" s="361"/>
      <c r="D29" s="360" t="s">
        <v>58</v>
      </c>
      <c r="E29" s="361"/>
      <c r="F29" s="360" t="s">
        <v>59</v>
      </c>
      <c r="G29" s="361"/>
      <c r="H29" s="365" t="s">
        <v>58</v>
      </c>
      <c r="I29" s="366"/>
      <c r="J29" s="360" t="s">
        <v>58</v>
      </c>
      <c r="K29" s="361"/>
      <c r="L29" s="360" t="s">
        <v>58</v>
      </c>
      <c r="M29" s="361"/>
      <c r="N29" s="365" t="s">
        <v>59</v>
      </c>
      <c r="O29" s="366"/>
      <c r="P29" s="360" t="s">
        <v>59</v>
      </c>
      <c r="Q29" s="361"/>
      <c r="R29" s="365" t="s">
        <v>59</v>
      </c>
      <c r="S29" s="366"/>
      <c r="T29" s="365" t="s">
        <v>58</v>
      </c>
      <c r="U29" s="366"/>
      <c r="V29" s="360" t="s">
        <v>58</v>
      </c>
      <c r="W29" s="361"/>
      <c r="X29" s="365" t="s">
        <v>58</v>
      </c>
      <c r="Y29" s="366"/>
      <c r="Z29" s="360" t="s">
        <v>58</v>
      </c>
      <c r="AA29" s="361"/>
      <c r="AB29" s="365" t="s">
        <v>59</v>
      </c>
      <c r="AC29" s="366"/>
      <c r="AD29" s="365" t="s">
        <v>58</v>
      </c>
      <c r="AE29" s="366"/>
      <c r="AF29" s="360" t="s">
        <v>58</v>
      </c>
      <c r="AG29" s="361"/>
    </row>
    <row r="30" spans="1:33" ht="24" customHeight="1" x14ac:dyDescent="0.25">
      <c r="A30" s="38" t="s">
        <v>60</v>
      </c>
      <c r="B30" s="320">
        <v>32.4</v>
      </c>
      <c r="C30" s="321"/>
      <c r="D30" s="322">
        <v>23.4</v>
      </c>
      <c r="E30" s="321"/>
      <c r="F30" s="322">
        <v>32.9</v>
      </c>
      <c r="G30" s="321"/>
      <c r="H30" s="322">
        <v>32.299999999999997</v>
      </c>
      <c r="I30" s="321"/>
      <c r="J30" s="322">
        <v>30.1</v>
      </c>
      <c r="K30" s="321"/>
      <c r="L30" s="322">
        <v>35.700000000000003</v>
      </c>
      <c r="M30" s="321"/>
      <c r="N30" s="322">
        <v>39.799999999999997</v>
      </c>
      <c r="O30" s="321"/>
      <c r="P30" s="322">
        <v>46.4</v>
      </c>
      <c r="Q30" s="321"/>
      <c r="R30" s="322">
        <v>43.9</v>
      </c>
      <c r="S30" s="321"/>
      <c r="T30" s="322">
        <v>50.3</v>
      </c>
      <c r="U30" s="321"/>
      <c r="V30" s="322">
        <v>37</v>
      </c>
      <c r="W30" s="321"/>
      <c r="X30" s="322">
        <v>40.9</v>
      </c>
      <c r="Y30" s="321"/>
      <c r="Z30" s="322">
        <v>42.8</v>
      </c>
      <c r="AA30" s="321"/>
      <c r="AB30" s="322">
        <v>35.299999999999997</v>
      </c>
      <c r="AC30" s="321"/>
      <c r="AD30" s="322">
        <v>31.5</v>
      </c>
      <c r="AE30" s="321"/>
      <c r="AF30" s="322">
        <v>17.600000000000001</v>
      </c>
      <c r="AG30" s="321"/>
    </row>
    <row r="31" spans="1:33" ht="24" customHeight="1" x14ac:dyDescent="0.25">
      <c r="A31" s="38" t="s">
        <v>61</v>
      </c>
      <c r="B31" s="359">
        <v>242.06</v>
      </c>
      <c r="C31" s="314"/>
      <c r="D31" s="314">
        <v>305.52</v>
      </c>
      <c r="E31" s="314"/>
      <c r="F31" s="314">
        <v>338.97</v>
      </c>
      <c r="G31" s="314"/>
      <c r="H31" s="314">
        <v>402.55</v>
      </c>
      <c r="I31" s="314"/>
      <c r="J31" s="314">
        <v>450.02</v>
      </c>
      <c r="K31" s="314"/>
      <c r="L31" s="314">
        <v>463.09</v>
      </c>
      <c r="M31" s="314"/>
      <c r="N31" s="314">
        <v>369.67</v>
      </c>
      <c r="O31" s="314"/>
      <c r="P31" s="314">
        <v>350.05</v>
      </c>
      <c r="Q31" s="314"/>
      <c r="R31" s="314">
        <v>179.54</v>
      </c>
      <c r="S31" s="314"/>
      <c r="T31" s="314">
        <v>122.37</v>
      </c>
      <c r="U31" s="314"/>
      <c r="V31" s="314">
        <v>149</v>
      </c>
      <c r="W31" s="314"/>
      <c r="X31" s="314">
        <v>299.97000000000003</v>
      </c>
      <c r="Y31" s="314"/>
      <c r="Z31" s="314">
        <v>302.14999999999998</v>
      </c>
      <c r="AA31" s="314"/>
      <c r="AB31" s="314">
        <v>233.22</v>
      </c>
      <c r="AC31" s="314"/>
      <c r="AD31" s="314">
        <v>121.46</v>
      </c>
      <c r="AE31" s="314"/>
      <c r="AF31" s="314">
        <v>67.709999999999994</v>
      </c>
      <c r="AG31" s="314"/>
    </row>
    <row r="32" spans="1:33" ht="24" customHeight="1" x14ac:dyDescent="0.25">
      <c r="A32" s="38" t="s">
        <v>62</v>
      </c>
      <c r="B32" s="350">
        <v>179.58</v>
      </c>
      <c r="C32" s="351"/>
      <c r="D32" s="312">
        <v>179.37</v>
      </c>
      <c r="E32" s="313"/>
      <c r="F32" s="312">
        <v>179.93</v>
      </c>
      <c r="G32" s="313"/>
      <c r="H32" s="312">
        <v>179.88</v>
      </c>
      <c r="I32" s="313"/>
      <c r="J32" s="312">
        <v>158.87</v>
      </c>
      <c r="K32" s="313"/>
      <c r="L32" s="312">
        <v>119.69</v>
      </c>
      <c r="M32" s="313"/>
      <c r="N32" s="312">
        <v>178.62</v>
      </c>
      <c r="O32" s="313"/>
      <c r="P32" s="312">
        <v>179.56</v>
      </c>
      <c r="Q32" s="313"/>
      <c r="R32" s="312">
        <v>177.94</v>
      </c>
      <c r="S32" s="313"/>
      <c r="T32" s="312">
        <v>167.28</v>
      </c>
      <c r="U32" s="313"/>
      <c r="V32" s="312">
        <v>145.02000000000001</v>
      </c>
      <c r="W32" s="313"/>
      <c r="X32" s="312">
        <v>156.35</v>
      </c>
      <c r="Y32" s="313"/>
      <c r="Z32" s="312">
        <v>179.98</v>
      </c>
      <c r="AA32" s="313"/>
      <c r="AB32" s="312">
        <v>179.95</v>
      </c>
      <c r="AC32" s="313"/>
      <c r="AD32" s="312">
        <v>136.29</v>
      </c>
      <c r="AE32" s="313"/>
      <c r="AF32" s="312"/>
      <c r="AG32" s="313"/>
    </row>
    <row r="33" spans="1:33" ht="24" customHeight="1" x14ac:dyDescent="0.25">
      <c r="A33" s="38" t="s">
        <v>86</v>
      </c>
      <c r="B33" s="357">
        <v>500811.81</v>
      </c>
      <c r="C33" s="344"/>
      <c r="D33" s="343">
        <v>500665.86</v>
      </c>
      <c r="E33" s="344"/>
      <c r="F33" s="343">
        <v>500507.05</v>
      </c>
      <c r="G33" s="344"/>
      <c r="H33" s="343">
        <v>500304.02</v>
      </c>
      <c r="I33" s="344"/>
      <c r="J33" s="343">
        <v>500142.28</v>
      </c>
      <c r="K33" s="344"/>
      <c r="L33" s="343">
        <v>500073.93</v>
      </c>
      <c r="M33" s="344"/>
      <c r="N33" s="343">
        <v>499878.52</v>
      </c>
      <c r="O33" s="344"/>
      <c r="P33" s="343">
        <v>499815.46</v>
      </c>
      <c r="Q33" s="344"/>
      <c r="R33" s="343">
        <v>499510.22</v>
      </c>
      <c r="S33" s="344"/>
      <c r="T33" s="343">
        <v>499406.5</v>
      </c>
      <c r="U33" s="344"/>
      <c r="V33" s="343">
        <v>499271.51</v>
      </c>
      <c r="W33" s="344"/>
      <c r="X33" s="343">
        <v>499019.41</v>
      </c>
      <c r="Y33" s="344"/>
      <c r="Z33" s="343">
        <v>498598.24</v>
      </c>
      <c r="AA33" s="344"/>
      <c r="AB33" s="343">
        <v>498367.81</v>
      </c>
      <c r="AC33" s="344"/>
      <c r="AD33" s="343">
        <v>498140.09</v>
      </c>
      <c r="AE33" s="344"/>
      <c r="AF33" s="343">
        <v>498081.73</v>
      </c>
      <c r="AG33" s="344"/>
    </row>
    <row r="34" spans="1:33" ht="24" customHeight="1" x14ac:dyDescent="0.25">
      <c r="A34" s="38" t="s">
        <v>87</v>
      </c>
      <c r="B34" s="357">
        <v>4922781.7</v>
      </c>
      <c r="C34" s="344"/>
      <c r="D34" s="343">
        <v>4922775.66</v>
      </c>
      <c r="E34" s="344"/>
      <c r="F34" s="343">
        <v>4922770.83</v>
      </c>
      <c r="G34" s="344"/>
      <c r="H34" s="343">
        <v>4922764.41</v>
      </c>
      <c r="I34" s="344"/>
      <c r="J34" s="343">
        <v>4922758.95</v>
      </c>
      <c r="K34" s="344"/>
      <c r="L34" s="343">
        <v>4922782.75</v>
      </c>
      <c r="M34" s="344"/>
      <c r="N34" s="343">
        <v>4922612.2300000004</v>
      </c>
      <c r="O34" s="344"/>
      <c r="P34" s="343">
        <v>4922554.46</v>
      </c>
      <c r="Q34" s="344"/>
      <c r="R34" s="343">
        <v>4922270.4400000004</v>
      </c>
      <c r="S34" s="344"/>
      <c r="T34" s="343">
        <v>4922166.72</v>
      </c>
      <c r="U34" s="344"/>
      <c r="V34" s="343">
        <v>4921953.0199999996</v>
      </c>
      <c r="W34" s="344"/>
      <c r="X34" s="343">
        <v>4921847.3600000003</v>
      </c>
      <c r="Y34" s="344"/>
      <c r="Z34" s="343">
        <v>4921854.05</v>
      </c>
      <c r="AA34" s="344"/>
      <c r="AB34" s="343">
        <v>4921857.79</v>
      </c>
      <c r="AC34" s="344"/>
      <c r="AD34" s="343">
        <v>4921861.3</v>
      </c>
      <c r="AE34" s="344"/>
      <c r="AF34" s="343">
        <v>4921918.83</v>
      </c>
      <c r="AG34" s="344"/>
    </row>
    <row r="35" spans="1:33" ht="24" customHeight="1" x14ac:dyDescent="0.25">
      <c r="A35" s="38" t="s">
        <v>63</v>
      </c>
      <c r="B35" s="47"/>
      <c r="C35" s="311">
        <v>146.07</v>
      </c>
      <c r="D35" s="311"/>
      <c r="E35" s="311">
        <v>158.88</v>
      </c>
      <c r="F35" s="311"/>
      <c r="G35" s="311">
        <v>203.13</v>
      </c>
      <c r="H35" s="311"/>
      <c r="I35" s="311">
        <v>161.83000000000001</v>
      </c>
      <c r="J35" s="311"/>
      <c r="K35" s="311">
        <v>72.38</v>
      </c>
      <c r="L35" s="311"/>
      <c r="M35" s="311">
        <v>259.35000000000002</v>
      </c>
      <c r="N35" s="311"/>
      <c r="O35" s="311">
        <v>85.52</v>
      </c>
      <c r="P35" s="311"/>
      <c r="Q35" s="311">
        <v>416.94</v>
      </c>
      <c r="R35" s="311"/>
      <c r="S35" s="311">
        <v>146.68</v>
      </c>
      <c r="T35" s="311"/>
      <c r="U35" s="311">
        <v>252.76</v>
      </c>
      <c r="V35" s="311"/>
      <c r="W35" s="311">
        <v>273.35000000000002</v>
      </c>
      <c r="X35" s="311"/>
      <c r="Y35" s="311">
        <v>421.22</v>
      </c>
      <c r="Z35" s="311"/>
      <c r="AA35" s="311">
        <v>230.46</v>
      </c>
      <c r="AB35" s="311"/>
      <c r="AC35" s="311">
        <v>227.75</v>
      </c>
      <c r="AD35" s="311"/>
      <c r="AE35" s="311">
        <v>81.95</v>
      </c>
      <c r="AF35" s="311"/>
    </row>
    <row r="36" spans="1:33" ht="24" customHeight="1" x14ac:dyDescent="0.25">
      <c r="A36" s="38" t="s">
        <v>493</v>
      </c>
      <c r="B36" s="47"/>
      <c r="C36" s="303" t="s">
        <v>496</v>
      </c>
      <c r="D36" s="304"/>
      <c r="E36" s="303" t="s">
        <v>496</v>
      </c>
      <c r="F36" s="304"/>
      <c r="G36" s="303" t="s">
        <v>496</v>
      </c>
      <c r="H36" s="304"/>
      <c r="I36" s="303" t="s">
        <v>496</v>
      </c>
      <c r="J36" s="304"/>
      <c r="K36" s="303" t="s">
        <v>496</v>
      </c>
      <c r="L36" s="304"/>
      <c r="M36" s="303" t="s">
        <v>496</v>
      </c>
      <c r="N36" s="304"/>
      <c r="O36" s="303" t="s">
        <v>496</v>
      </c>
      <c r="P36" s="304"/>
      <c r="Q36" s="303" t="s">
        <v>496</v>
      </c>
      <c r="R36" s="304"/>
      <c r="S36" s="303" t="s">
        <v>496</v>
      </c>
      <c r="T36" s="304"/>
      <c r="U36" s="303" t="s">
        <v>496</v>
      </c>
      <c r="V36" s="304"/>
      <c r="W36" s="303" t="s">
        <v>496</v>
      </c>
      <c r="X36" s="304"/>
      <c r="Y36" s="303" t="s">
        <v>496</v>
      </c>
      <c r="Z36" s="304"/>
      <c r="AA36" s="303" t="s">
        <v>496</v>
      </c>
      <c r="AB36" s="304"/>
      <c r="AC36" s="303" t="s">
        <v>496</v>
      </c>
      <c r="AD36" s="304"/>
      <c r="AE36" s="303" t="s">
        <v>496</v>
      </c>
      <c r="AF36" s="304"/>
      <c r="AG36" s="35"/>
    </row>
    <row r="37" spans="1:33" ht="24" customHeight="1" x14ac:dyDescent="0.25">
      <c r="A37" s="38" t="s">
        <v>65</v>
      </c>
      <c r="B37" s="358">
        <v>0</v>
      </c>
      <c r="C37" s="313"/>
      <c r="D37" s="312">
        <v>146.07</v>
      </c>
      <c r="E37" s="313"/>
      <c r="F37" s="312">
        <v>304.95999999999998</v>
      </c>
      <c r="G37" s="313"/>
      <c r="H37" s="312">
        <v>508.09</v>
      </c>
      <c r="I37" s="313"/>
      <c r="J37" s="312">
        <v>669.92</v>
      </c>
      <c r="K37" s="313"/>
      <c r="L37" s="312">
        <v>742.3</v>
      </c>
      <c r="M37" s="313"/>
      <c r="N37" s="312">
        <v>1001.65</v>
      </c>
      <c r="O37" s="313"/>
      <c r="P37" s="312">
        <v>1087.17</v>
      </c>
      <c r="Q37" s="313"/>
      <c r="R37" s="312">
        <v>1504.11</v>
      </c>
      <c r="S37" s="313"/>
      <c r="T37" s="312">
        <v>1650.79</v>
      </c>
      <c r="U37" s="313"/>
      <c r="V37" s="312">
        <v>1903.55</v>
      </c>
      <c r="W37" s="313"/>
      <c r="X37" s="312">
        <v>2176.9</v>
      </c>
      <c r="Y37" s="313"/>
      <c r="Z37" s="312">
        <v>2598.12</v>
      </c>
      <c r="AA37" s="313"/>
      <c r="AB37" s="312">
        <v>2828.59</v>
      </c>
      <c r="AC37" s="313"/>
      <c r="AD37" s="312">
        <v>3056.33</v>
      </c>
      <c r="AE37" s="313"/>
      <c r="AF37" s="312">
        <v>3138.28</v>
      </c>
      <c r="AG37" s="313"/>
    </row>
    <row r="38" spans="1:33" ht="24" customHeight="1" x14ac:dyDescent="0.25">
      <c r="A38" s="38" t="s">
        <v>509</v>
      </c>
      <c r="B38" s="315">
        <f>SUM(C35:AE35)</f>
        <v>3138.2700000000004</v>
      </c>
      <c r="C38" s="316"/>
      <c r="D38" s="316"/>
      <c r="E38" s="316"/>
      <c r="F38" s="316"/>
      <c r="G38" s="316"/>
      <c r="H38" s="316"/>
      <c r="I38" s="316"/>
      <c r="J38" s="316"/>
      <c r="K38" s="316"/>
      <c r="L38" s="316"/>
      <c r="M38" s="316"/>
      <c r="N38" s="316"/>
      <c r="O38" s="316"/>
      <c r="P38" s="316"/>
      <c r="Q38" s="316"/>
      <c r="R38" s="316"/>
      <c r="S38" s="316"/>
      <c r="T38" s="316"/>
      <c r="U38" s="316"/>
      <c r="V38" s="316"/>
      <c r="W38" s="316"/>
      <c r="X38" s="316"/>
      <c r="Y38" s="316"/>
      <c r="Z38" s="316"/>
      <c r="AA38" s="316"/>
      <c r="AB38" s="316"/>
      <c r="AC38" s="316"/>
      <c r="AD38" s="316"/>
      <c r="AE38" s="316"/>
      <c r="AF38" s="316"/>
      <c r="AG38" s="316"/>
    </row>
    <row r="39" spans="1:33" ht="24" customHeight="1" x14ac:dyDescent="0.25">
      <c r="A39" s="385" t="s">
        <v>494</v>
      </c>
      <c r="B39" s="333"/>
      <c r="C39" s="333"/>
      <c r="D39" s="333"/>
      <c r="E39" s="333"/>
      <c r="F39" s="333"/>
      <c r="G39" s="333"/>
      <c r="H39" s="333"/>
      <c r="I39" s="333"/>
      <c r="J39" s="333"/>
      <c r="K39" s="333"/>
      <c r="L39" s="333"/>
      <c r="M39" s="333"/>
      <c r="N39" s="333"/>
      <c r="O39" s="333"/>
      <c r="P39" s="333"/>
      <c r="Q39" s="333"/>
      <c r="R39" s="333"/>
      <c r="S39" s="333"/>
      <c r="T39" s="333"/>
      <c r="U39" s="333"/>
      <c r="V39" s="333"/>
      <c r="W39" s="333"/>
      <c r="X39" s="333"/>
      <c r="Y39" s="333"/>
      <c r="Z39" s="333"/>
      <c r="AA39" s="333"/>
      <c r="AB39" s="333"/>
      <c r="AC39" s="333"/>
      <c r="AD39" s="333"/>
      <c r="AE39" s="333"/>
      <c r="AF39" s="333"/>
      <c r="AG39" s="333"/>
    </row>
    <row r="40" spans="1:33" ht="24" customHeight="1" x14ac:dyDescent="0.25">
      <c r="A40" s="295" t="s">
        <v>495</v>
      </c>
      <c r="B40" s="330" t="s">
        <v>496</v>
      </c>
      <c r="C40" s="330"/>
      <c r="D40" s="330"/>
      <c r="E40" s="330"/>
      <c r="F40" s="330"/>
      <c r="G40" s="330"/>
      <c r="H40" s="330"/>
      <c r="I40" s="330"/>
      <c r="J40" s="330"/>
      <c r="K40" s="330"/>
      <c r="L40" s="330"/>
      <c r="M40" s="330"/>
      <c r="N40" s="330"/>
      <c r="O40" s="330"/>
      <c r="P40" s="330"/>
      <c r="Q40" s="330"/>
      <c r="R40" s="330"/>
      <c r="S40" s="330"/>
      <c r="T40" s="330"/>
      <c r="U40" s="330"/>
      <c r="V40" s="330"/>
      <c r="W40" s="330"/>
      <c r="X40" s="330"/>
      <c r="Y40" s="330"/>
      <c r="Z40" s="330"/>
      <c r="AA40" s="330"/>
      <c r="AB40" s="330"/>
      <c r="AC40" s="330"/>
      <c r="AD40" s="330"/>
      <c r="AE40" s="330"/>
      <c r="AF40" s="330"/>
      <c r="AG40" s="330"/>
    </row>
    <row r="41" spans="1:33" ht="24" customHeight="1" x14ac:dyDescent="0.25">
      <c r="A41" s="295" t="s">
        <v>497</v>
      </c>
      <c r="B41" s="330" t="s">
        <v>496</v>
      </c>
      <c r="C41" s="330"/>
      <c r="D41" s="330"/>
      <c r="E41" s="330"/>
      <c r="F41" s="330"/>
      <c r="G41" s="330"/>
      <c r="H41" s="330"/>
      <c r="I41" s="330"/>
      <c r="J41" s="330"/>
      <c r="K41" s="330"/>
      <c r="L41" s="330"/>
      <c r="M41" s="330"/>
      <c r="N41" s="330"/>
      <c r="O41" s="330"/>
      <c r="P41" s="330"/>
      <c r="Q41" s="330"/>
      <c r="R41" s="330"/>
      <c r="S41" s="330"/>
      <c r="T41" s="330"/>
      <c r="U41" s="330"/>
      <c r="V41" s="330"/>
      <c r="W41" s="330"/>
      <c r="X41" s="330"/>
      <c r="Y41" s="330"/>
      <c r="Z41" s="330"/>
      <c r="AA41" s="330"/>
      <c r="AB41" s="330"/>
      <c r="AC41" s="330"/>
      <c r="AD41" s="330"/>
      <c r="AE41" s="330"/>
      <c r="AF41" s="330"/>
      <c r="AG41" s="330"/>
    </row>
    <row r="42" spans="1:33" ht="24" customHeight="1" x14ac:dyDescent="0.25">
      <c r="A42" s="295" t="s">
        <v>498</v>
      </c>
      <c r="B42" s="331" t="s">
        <v>88</v>
      </c>
      <c r="C42" s="331"/>
      <c r="D42" s="331"/>
      <c r="E42" s="331"/>
      <c r="F42" s="331"/>
      <c r="G42" s="331"/>
      <c r="H42" s="331"/>
      <c r="I42" s="331"/>
      <c r="J42" s="331"/>
      <c r="K42" s="331"/>
      <c r="L42" s="331"/>
      <c r="M42" s="331"/>
      <c r="N42" s="331"/>
      <c r="O42" s="331"/>
      <c r="P42" s="331"/>
      <c r="Q42" s="331"/>
      <c r="R42" s="331"/>
      <c r="S42" s="331"/>
      <c r="T42" s="331"/>
      <c r="U42" s="331"/>
      <c r="V42" s="331"/>
      <c r="W42" s="331"/>
      <c r="X42" s="331"/>
      <c r="Y42" s="331"/>
      <c r="Z42" s="331"/>
      <c r="AA42" s="331"/>
      <c r="AB42" s="331"/>
      <c r="AC42" s="331"/>
      <c r="AD42" s="331"/>
      <c r="AE42" s="331"/>
      <c r="AF42" s="331"/>
      <c r="AG42" s="331"/>
    </row>
    <row r="43" spans="1:33" ht="24" customHeight="1" x14ac:dyDescent="0.25">
      <c r="A43" s="295" t="s">
        <v>499</v>
      </c>
      <c r="B43" s="331" t="s">
        <v>213</v>
      </c>
      <c r="C43" s="331"/>
      <c r="D43" s="331"/>
      <c r="E43" s="331"/>
      <c r="F43" s="331"/>
      <c r="G43" s="331"/>
      <c r="H43" s="331"/>
      <c r="I43" s="331"/>
      <c r="J43" s="331"/>
      <c r="K43" s="331"/>
      <c r="L43" s="331"/>
      <c r="M43" s="331"/>
      <c r="N43" s="331"/>
      <c r="O43" s="331"/>
      <c r="P43" s="331"/>
      <c r="Q43" s="331"/>
      <c r="R43" s="331"/>
      <c r="S43" s="331"/>
      <c r="T43" s="331"/>
      <c r="U43" s="331"/>
      <c r="V43" s="331"/>
      <c r="W43" s="331"/>
      <c r="X43" s="331"/>
      <c r="Y43" s="331"/>
      <c r="Z43" s="331"/>
      <c r="AA43" s="331"/>
      <c r="AB43" s="331"/>
      <c r="AC43" s="331"/>
      <c r="AD43" s="331"/>
      <c r="AE43" s="331"/>
      <c r="AF43" s="331"/>
      <c r="AG43" s="331"/>
    </row>
    <row r="44" spans="1:33" ht="24" customHeight="1" x14ac:dyDescent="0.25">
      <c r="A44" s="295" t="s">
        <v>500</v>
      </c>
      <c r="B44" s="331" t="s">
        <v>496</v>
      </c>
      <c r="C44" s="331"/>
      <c r="D44" s="331"/>
      <c r="E44" s="331"/>
      <c r="F44" s="331"/>
      <c r="G44" s="331"/>
      <c r="H44" s="331"/>
      <c r="I44" s="331"/>
      <c r="J44" s="331"/>
      <c r="K44" s="331"/>
      <c r="L44" s="331"/>
      <c r="M44" s="331"/>
      <c r="N44" s="331"/>
      <c r="O44" s="331"/>
      <c r="P44" s="331"/>
      <c r="Q44" s="331"/>
      <c r="R44" s="331"/>
      <c r="S44" s="331"/>
      <c r="T44" s="331"/>
      <c r="U44" s="331"/>
      <c r="V44" s="331"/>
      <c r="W44" s="331"/>
      <c r="X44" s="331"/>
      <c r="Y44" s="331"/>
      <c r="Z44" s="331"/>
      <c r="AA44" s="331"/>
      <c r="AB44" s="331"/>
      <c r="AC44" s="331"/>
      <c r="AD44" s="331"/>
      <c r="AE44" s="331"/>
      <c r="AF44" s="331"/>
      <c r="AG44" s="331"/>
    </row>
    <row r="45" spans="1:33" ht="24" customHeight="1" x14ac:dyDescent="0.25">
      <c r="A45" s="295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spans="1:33" ht="24" customHeight="1" x14ac:dyDescent="0.25">
      <c r="A46" s="333" t="s">
        <v>501</v>
      </c>
      <c r="B46" s="333"/>
      <c r="C46" s="333"/>
      <c r="D46" s="333"/>
      <c r="E46" s="333"/>
      <c r="F46" s="333"/>
      <c r="G46" s="333"/>
      <c r="H46" s="333"/>
      <c r="I46" s="333"/>
      <c r="J46" s="333"/>
      <c r="K46" s="333"/>
      <c r="L46" s="333"/>
      <c r="M46" s="333"/>
      <c r="N46" s="333"/>
      <c r="O46" s="333"/>
      <c r="P46" s="333"/>
      <c r="Q46" s="333"/>
      <c r="R46" s="333"/>
      <c r="S46" s="333"/>
      <c r="T46" s="333"/>
      <c r="U46" s="333"/>
      <c r="V46" s="333"/>
      <c r="W46" s="333"/>
      <c r="X46" s="333"/>
      <c r="Y46" s="333"/>
      <c r="Z46" s="333"/>
      <c r="AA46" s="333"/>
      <c r="AB46" s="333"/>
      <c r="AC46" s="333"/>
      <c r="AD46" s="333"/>
      <c r="AE46" s="333"/>
      <c r="AF46" s="333"/>
      <c r="AG46" s="333"/>
    </row>
    <row r="47" spans="1:33" ht="60" customHeight="1" x14ac:dyDescent="0.25">
      <c r="A47" s="296" t="s">
        <v>502</v>
      </c>
      <c r="B47" s="332" t="s">
        <v>508</v>
      </c>
      <c r="C47" s="332"/>
      <c r="D47" s="332" t="s">
        <v>508</v>
      </c>
      <c r="E47" s="332"/>
      <c r="F47" s="332"/>
      <c r="G47" s="332"/>
      <c r="H47" s="332" t="s">
        <v>508</v>
      </c>
      <c r="I47" s="332"/>
      <c r="J47" s="332" t="s">
        <v>508</v>
      </c>
      <c r="K47" s="332"/>
      <c r="L47" s="332" t="s">
        <v>508</v>
      </c>
      <c r="M47" s="332"/>
      <c r="N47" s="332"/>
      <c r="O47" s="332"/>
      <c r="P47" s="332"/>
      <c r="Q47" s="332"/>
      <c r="R47" s="332"/>
      <c r="S47" s="332"/>
      <c r="T47" s="332" t="s">
        <v>508</v>
      </c>
      <c r="U47" s="332"/>
      <c r="V47" s="332" t="s">
        <v>508</v>
      </c>
      <c r="W47" s="332"/>
      <c r="X47" s="332" t="s">
        <v>508</v>
      </c>
      <c r="Y47" s="332"/>
      <c r="Z47" s="332" t="s">
        <v>508</v>
      </c>
      <c r="AA47" s="332"/>
      <c r="AB47" s="332"/>
      <c r="AC47" s="332"/>
      <c r="AD47" s="332" t="s">
        <v>508</v>
      </c>
      <c r="AE47" s="332"/>
      <c r="AF47" s="332" t="s">
        <v>508</v>
      </c>
      <c r="AG47" s="332"/>
    </row>
    <row r="48" spans="1:33" ht="24" customHeight="1" x14ac:dyDescent="0.25">
      <c r="A48" s="296" t="s">
        <v>503</v>
      </c>
      <c r="B48" s="329"/>
      <c r="C48" s="329"/>
      <c r="D48" s="329"/>
      <c r="E48" s="329"/>
      <c r="F48" s="329"/>
      <c r="G48" s="329"/>
      <c r="H48" s="329"/>
      <c r="I48" s="329"/>
      <c r="J48" s="329"/>
      <c r="K48" s="329"/>
      <c r="L48" s="329"/>
      <c r="M48" s="329"/>
      <c r="N48" s="329"/>
      <c r="O48" s="329"/>
      <c r="P48" s="329"/>
      <c r="Q48" s="329"/>
      <c r="R48" s="329"/>
      <c r="S48" s="329"/>
      <c r="T48" s="329"/>
      <c r="U48" s="329"/>
      <c r="V48" s="329"/>
      <c r="W48" s="329"/>
      <c r="X48" s="329"/>
      <c r="Y48" s="329"/>
      <c r="Z48" s="329"/>
      <c r="AA48" s="329"/>
      <c r="AB48" s="329"/>
      <c r="AC48" s="329"/>
      <c r="AD48" s="329"/>
      <c r="AE48" s="329"/>
      <c r="AF48" s="329"/>
      <c r="AG48" s="329"/>
    </row>
    <row r="49" spans="1:33" ht="24" customHeight="1" x14ac:dyDescent="0.25">
      <c r="A49" s="296" t="s">
        <v>504</v>
      </c>
      <c r="B49" s="329"/>
      <c r="C49" s="329"/>
      <c r="D49" s="329"/>
      <c r="E49" s="329"/>
      <c r="F49" s="329"/>
      <c r="G49" s="329"/>
      <c r="H49" s="329"/>
      <c r="I49" s="329"/>
      <c r="J49" s="329"/>
      <c r="K49" s="329"/>
      <c r="L49" s="329"/>
      <c r="M49" s="329"/>
      <c r="N49" s="329"/>
      <c r="O49" s="329"/>
      <c r="P49" s="329"/>
      <c r="Q49" s="329"/>
      <c r="R49" s="329"/>
      <c r="S49" s="329"/>
      <c r="T49" s="329"/>
      <c r="U49" s="329"/>
      <c r="V49" s="329"/>
      <c r="W49" s="329"/>
      <c r="X49" s="329"/>
      <c r="Y49" s="329"/>
      <c r="Z49" s="329"/>
      <c r="AA49" s="329"/>
      <c r="AB49" s="329"/>
      <c r="AC49" s="329"/>
      <c r="AD49" s="329"/>
      <c r="AE49" s="329"/>
      <c r="AF49" s="329"/>
      <c r="AG49" s="329"/>
    </row>
    <row r="50" spans="1:33" ht="24" customHeight="1" x14ac:dyDescent="0.25">
      <c r="A50" s="296" t="s">
        <v>505</v>
      </c>
      <c r="B50" s="329"/>
      <c r="C50" s="329"/>
      <c r="D50" s="329"/>
      <c r="E50" s="329"/>
      <c r="F50" s="329"/>
      <c r="G50" s="329"/>
      <c r="H50" s="329"/>
      <c r="I50" s="329"/>
      <c r="J50" s="329"/>
      <c r="K50" s="329"/>
      <c r="L50" s="329"/>
      <c r="M50" s="329"/>
      <c r="N50" s="329"/>
      <c r="O50" s="329"/>
      <c r="P50" s="329"/>
      <c r="Q50" s="329"/>
      <c r="R50" s="329"/>
      <c r="S50" s="329"/>
      <c r="T50" s="329"/>
      <c r="U50" s="329"/>
      <c r="V50" s="329"/>
      <c r="W50" s="329"/>
      <c r="X50" s="329"/>
      <c r="Y50" s="329"/>
      <c r="Z50" s="329"/>
      <c r="AA50" s="329"/>
      <c r="AB50" s="329"/>
      <c r="AC50" s="329"/>
      <c r="AD50" s="329"/>
      <c r="AE50" s="329"/>
      <c r="AF50" s="329"/>
      <c r="AG50" s="329"/>
    </row>
    <row r="51" spans="1:33" ht="24" customHeight="1" x14ac:dyDescent="0.25">
      <c r="A51" s="296" t="s">
        <v>506</v>
      </c>
      <c r="B51" s="329"/>
      <c r="C51" s="329"/>
      <c r="D51" s="329"/>
      <c r="E51" s="329"/>
      <c r="F51" s="329"/>
      <c r="G51" s="329"/>
      <c r="H51" s="329"/>
      <c r="I51" s="329"/>
      <c r="J51" s="329"/>
      <c r="K51" s="329"/>
      <c r="L51" s="329"/>
      <c r="M51" s="329"/>
      <c r="N51" s="329"/>
      <c r="O51" s="329"/>
      <c r="P51" s="329"/>
      <c r="Q51" s="329"/>
      <c r="R51" s="329"/>
      <c r="S51" s="329"/>
      <c r="T51" s="329"/>
      <c r="U51" s="329"/>
      <c r="V51" s="329"/>
      <c r="W51" s="329"/>
      <c r="X51" s="329"/>
      <c r="Y51" s="329"/>
      <c r="Z51" s="329"/>
      <c r="AA51" s="329"/>
      <c r="AB51" s="329"/>
      <c r="AC51" s="329"/>
      <c r="AD51" s="329"/>
      <c r="AE51" s="329"/>
      <c r="AF51" s="329"/>
      <c r="AG51" s="329"/>
    </row>
    <row r="52" spans="1:33" ht="24" customHeight="1" x14ac:dyDescent="0.25">
      <c r="A52" s="333" t="s">
        <v>507</v>
      </c>
      <c r="B52" s="333"/>
      <c r="C52" s="333"/>
      <c r="D52" s="333"/>
      <c r="E52" s="333"/>
      <c r="F52" s="333"/>
      <c r="G52" s="333"/>
      <c r="H52" s="333"/>
      <c r="I52" s="333"/>
      <c r="J52" s="333"/>
      <c r="K52" s="333"/>
      <c r="L52" s="333"/>
      <c r="M52" s="333"/>
      <c r="N52" s="333"/>
      <c r="O52" s="333"/>
      <c r="P52" s="333"/>
      <c r="Q52" s="333"/>
      <c r="R52" s="333"/>
      <c r="S52" s="333"/>
      <c r="T52" s="333"/>
      <c r="U52" s="333"/>
      <c r="V52" s="333"/>
      <c r="W52" s="333"/>
      <c r="X52" s="333"/>
      <c r="Y52" s="333"/>
      <c r="Z52" s="333"/>
      <c r="AA52" s="333"/>
      <c r="AB52" s="333"/>
      <c r="AC52" s="333"/>
      <c r="AD52" s="333"/>
      <c r="AE52" s="333"/>
      <c r="AF52" s="333"/>
      <c r="AG52" s="333"/>
    </row>
    <row r="53" spans="1:33" s="31" customFormat="1" ht="48" customHeight="1" x14ac:dyDescent="0.25">
      <c r="A53" s="297" t="s">
        <v>502</v>
      </c>
      <c r="B53" s="332" t="s">
        <v>508</v>
      </c>
      <c r="C53" s="332"/>
      <c r="D53" s="332" t="s">
        <v>508</v>
      </c>
      <c r="E53" s="332"/>
      <c r="F53" s="332"/>
      <c r="G53" s="332"/>
      <c r="H53" s="332" t="s">
        <v>508</v>
      </c>
      <c r="I53" s="332"/>
      <c r="J53" s="332" t="s">
        <v>508</v>
      </c>
      <c r="K53" s="332"/>
      <c r="L53" s="332" t="s">
        <v>508</v>
      </c>
      <c r="M53" s="332"/>
      <c r="N53" s="332"/>
      <c r="O53" s="332"/>
      <c r="P53" s="332"/>
      <c r="Q53" s="332"/>
      <c r="R53" s="332"/>
      <c r="S53" s="332"/>
      <c r="T53" s="332" t="s">
        <v>508</v>
      </c>
      <c r="U53" s="332"/>
      <c r="V53" s="332" t="s">
        <v>508</v>
      </c>
      <c r="W53" s="332"/>
      <c r="X53" s="332" t="s">
        <v>508</v>
      </c>
      <c r="Y53" s="332"/>
      <c r="Z53" s="332" t="s">
        <v>508</v>
      </c>
      <c r="AA53" s="332"/>
      <c r="AB53" s="332"/>
      <c r="AC53" s="332"/>
      <c r="AD53" s="332" t="s">
        <v>508</v>
      </c>
      <c r="AE53" s="332"/>
      <c r="AF53" s="332" t="s">
        <v>508</v>
      </c>
      <c r="AG53" s="332"/>
    </row>
    <row r="54" spans="1:33" ht="24" customHeight="1" x14ac:dyDescent="0.25">
      <c r="A54" s="298" t="s">
        <v>503</v>
      </c>
      <c r="B54" s="329"/>
      <c r="C54" s="329"/>
      <c r="D54" s="329"/>
      <c r="E54" s="329"/>
      <c r="F54" s="329"/>
      <c r="G54" s="329"/>
      <c r="H54" s="329"/>
      <c r="I54" s="329"/>
      <c r="J54" s="329"/>
      <c r="K54" s="329"/>
      <c r="L54" s="329"/>
      <c r="M54" s="329"/>
      <c r="N54" s="329"/>
      <c r="O54" s="329"/>
      <c r="P54" s="329"/>
      <c r="Q54" s="329"/>
      <c r="R54" s="329"/>
      <c r="S54" s="329"/>
      <c r="T54" s="329"/>
      <c r="U54" s="329"/>
      <c r="V54" s="329"/>
      <c r="W54" s="329"/>
      <c r="X54" s="329"/>
      <c r="Y54" s="329"/>
      <c r="Z54" s="329"/>
      <c r="AA54" s="329"/>
      <c r="AB54" s="329"/>
      <c r="AC54" s="329"/>
      <c r="AD54" s="329"/>
      <c r="AE54" s="329"/>
      <c r="AF54" s="329"/>
      <c r="AG54" s="329"/>
    </row>
    <row r="55" spans="1:33" ht="24" customHeight="1" x14ac:dyDescent="0.25">
      <c r="A55" s="298" t="s">
        <v>504</v>
      </c>
      <c r="B55" s="329"/>
      <c r="C55" s="329"/>
      <c r="D55" s="329"/>
      <c r="E55" s="329"/>
      <c r="F55" s="329"/>
      <c r="G55" s="329"/>
      <c r="H55" s="329"/>
      <c r="I55" s="329"/>
      <c r="J55" s="329"/>
      <c r="K55" s="329"/>
      <c r="L55" s="329"/>
      <c r="M55" s="329"/>
      <c r="N55" s="329"/>
      <c r="O55" s="329"/>
      <c r="P55" s="329"/>
      <c r="Q55" s="329"/>
      <c r="R55" s="329"/>
      <c r="S55" s="329"/>
      <c r="T55" s="329"/>
      <c r="U55" s="329"/>
      <c r="V55" s="329"/>
      <c r="W55" s="329"/>
      <c r="X55" s="329"/>
      <c r="Y55" s="329"/>
      <c r="Z55" s="329"/>
      <c r="AA55" s="329"/>
      <c r="AB55" s="329"/>
      <c r="AC55" s="329"/>
      <c r="AD55" s="329"/>
      <c r="AE55" s="329"/>
      <c r="AF55" s="329"/>
      <c r="AG55" s="329"/>
    </row>
    <row r="56" spans="1:33" ht="24" customHeight="1" x14ac:dyDescent="0.25">
      <c r="A56" s="298" t="s">
        <v>505</v>
      </c>
      <c r="B56" s="329"/>
      <c r="C56" s="329"/>
      <c r="D56" s="329"/>
      <c r="E56" s="329"/>
      <c r="F56" s="329"/>
      <c r="G56" s="329"/>
      <c r="H56" s="329"/>
      <c r="I56" s="329"/>
      <c r="J56" s="329"/>
      <c r="K56" s="329"/>
      <c r="L56" s="329"/>
      <c r="M56" s="329"/>
      <c r="N56" s="329"/>
      <c r="O56" s="329"/>
      <c r="P56" s="329"/>
      <c r="Q56" s="329"/>
      <c r="R56" s="329"/>
      <c r="S56" s="329"/>
      <c r="T56" s="329"/>
      <c r="U56" s="329"/>
      <c r="V56" s="329"/>
      <c r="W56" s="329"/>
      <c r="X56" s="329"/>
      <c r="Y56" s="329"/>
      <c r="Z56" s="329"/>
      <c r="AA56" s="329"/>
      <c r="AB56" s="329"/>
      <c r="AC56" s="329"/>
      <c r="AD56" s="329"/>
      <c r="AE56" s="329"/>
      <c r="AF56" s="329"/>
      <c r="AG56" s="329"/>
    </row>
    <row r="57" spans="1:33" ht="24" customHeight="1" x14ac:dyDescent="0.25">
      <c r="A57" s="298" t="s">
        <v>506</v>
      </c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9"/>
      <c r="V57" s="329"/>
      <c r="W57" s="329"/>
      <c r="X57" s="329"/>
      <c r="Y57" s="329"/>
      <c r="Z57" s="329"/>
      <c r="AA57" s="329"/>
      <c r="AB57" s="329"/>
      <c r="AC57" s="329"/>
      <c r="AD57" s="329"/>
      <c r="AE57" s="329"/>
      <c r="AF57" s="329"/>
      <c r="AG57" s="329"/>
    </row>
    <row r="58" spans="1:33" x14ac:dyDescent="0.25">
      <c r="A58" s="36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</row>
  </sheetData>
  <mergeCells count="339"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R5:AF5"/>
    <mergeCell ref="A10:AF10"/>
    <mergeCell ref="B7:C7"/>
    <mergeCell ref="D7:E7"/>
    <mergeCell ref="F7:G7"/>
    <mergeCell ref="H7:I7"/>
    <mergeCell ref="A1:AF1"/>
    <mergeCell ref="D2:N2"/>
    <mergeCell ref="B4:H4"/>
    <mergeCell ref="A5:P5"/>
    <mergeCell ref="J4:P4"/>
    <mergeCell ref="Z4:AF4"/>
    <mergeCell ref="P2:AF2"/>
    <mergeCell ref="R4:X4"/>
    <mergeCell ref="AD7:AE7"/>
    <mergeCell ref="AF7:AG7"/>
    <mergeCell ref="B8:C8"/>
    <mergeCell ref="D8:E8"/>
    <mergeCell ref="F8:G8"/>
    <mergeCell ref="H8:I8"/>
    <mergeCell ref="J8:K8"/>
    <mergeCell ref="L8:M8"/>
    <mergeCell ref="Z8:AA8"/>
    <mergeCell ref="AB8:AC8"/>
    <mergeCell ref="T7:U7"/>
    <mergeCell ref="V7:W7"/>
    <mergeCell ref="X7:Y7"/>
    <mergeCell ref="Z7:AA7"/>
    <mergeCell ref="AB7:AC7"/>
    <mergeCell ref="P7:Q7"/>
    <mergeCell ref="R7:S7"/>
    <mergeCell ref="AD8:AE8"/>
    <mergeCell ref="AF8:AG8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N8:O8"/>
    <mergeCell ref="P8:Q8"/>
    <mergeCell ref="R8:S8"/>
    <mergeCell ref="T8:U8"/>
    <mergeCell ref="V8:W8"/>
    <mergeCell ref="X8:Y8"/>
    <mergeCell ref="D29:E29"/>
    <mergeCell ref="F29:G29"/>
    <mergeCell ref="H29:I29"/>
    <mergeCell ref="J29:K29"/>
    <mergeCell ref="L29:M29"/>
    <mergeCell ref="N29:O29"/>
    <mergeCell ref="P29:Q29"/>
    <mergeCell ref="R29:S29"/>
    <mergeCell ref="J7:K7"/>
    <mergeCell ref="L7:M7"/>
    <mergeCell ref="N7:O7"/>
    <mergeCell ref="T29:U29"/>
    <mergeCell ref="V29:W29"/>
    <mergeCell ref="X29:Y29"/>
    <mergeCell ref="Z29:AA29"/>
    <mergeCell ref="AB29:AC29"/>
    <mergeCell ref="AD29:AE29"/>
    <mergeCell ref="AF29:AG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AD30:AE30"/>
    <mergeCell ref="AF30:AG30"/>
    <mergeCell ref="B29:C29"/>
    <mergeCell ref="X31:Y31"/>
    <mergeCell ref="Z31:AA31"/>
    <mergeCell ref="AB31:AC31"/>
    <mergeCell ref="AD31:AE31"/>
    <mergeCell ref="AF31:AG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B31:C31"/>
    <mergeCell ref="D31:E31"/>
    <mergeCell ref="F31:G31"/>
    <mergeCell ref="H33:I33"/>
    <mergeCell ref="J33:K33"/>
    <mergeCell ref="L33:M33"/>
    <mergeCell ref="N33:O33"/>
    <mergeCell ref="P33:Q33"/>
    <mergeCell ref="R33:S33"/>
    <mergeCell ref="T31:U31"/>
    <mergeCell ref="V31:W31"/>
    <mergeCell ref="H31:I31"/>
    <mergeCell ref="J31:K31"/>
    <mergeCell ref="L31:M31"/>
    <mergeCell ref="N31:O31"/>
    <mergeCell ref="P31:Q31"/>
    <mergeCell ref="R31:S31"/>
    <mergeCell ref="AD34:AE34"/>
    <mergeCell ref="AE35:AF35"/>
    <mergeCell ref="U35:V35"/>
    <mergeCell ref="W35:X35"/>
    <mergeCell ref="Y35:Z35"/>
    <mergeCell ref="AA35:AB35"/>
    <mergeCell ref="AC35:AD35"/>
    <mergeCell ref="AF34:AG34"/>
    <mergeCell ref="U36:V36"/>
    <mergeCell ref="W36:X36"/>
    <mergeCell ref="Y36:Z36"/>
    <mergeCell ref="AA36:AB36"/>
    <mergeCell ref="AC36:AD36"/>
    <mergeCell ref="AE36:AF36"/>
    <mergeCell ref="AD33:AE33"/>
    <mergeCell ref="AF33:AG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T33:U33"/>
    <mergeCell ref="V33:W33"/>
    <mergeCell ref="X33:Y33"/>
    <mergeCell ref="Z33:AA33"/>
    <mergeCell ref="AB33:AC33"/>
    <mergeCell ref="B33:C33"/>
    <mergeCell ref="D33:E33"/>
    <mergeCell ref="F33:G33"/>
    <mergeCell ref="AD37:AE37"/>
    <mergeCell ref="AF37:AG37"/>
    <mergeCell ref="B38:AG38"/>
    <mergeCell ref="B40:AG40"/>
    <mergeCell ref="B41:AG41"/>
    <mergeCell ref="A39:AG39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B42:AG42"/>
    <mergeCell ref="B43:AG43"/>
    <mergeCell ref="B44:AG44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46:AG46"/>
    <mergeCell ref="AF48:AG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Z49:AA49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R50:S50"/>
    <mergeCell ref="T50:U50"/>
    <mergeCell ref="V50:W50"/>
    <mergeCell ref="X50:Y50"/>
    <mergeCell ref="Z50:AA50"/>
    <mergeCell ref="AB48:AC48"/>
    <mergeCell ref="AD48:AE48"/>
    <mergeCell ref="T48:U48"/>
    <mergeCell ref="V48:W48"/>
    <mergeCell ref="X48:Y48"/>
    <mergeCell ref="Z48:AA48"/>
    <mergeCell ref="R53:S53"/>
    <mergeCell ref="T53:U53"/>
    <mergeCell ref="V53:W53"/>
    <mergeCell ref="X53:Y53"/>
    <mergeCell ref="Z53:AA53"/>
    <mergeCell ref="AB50:AC50"/>
    <mergeCell ref="AD50:AE50"/>
    <mergeCell ref="AF50:AG50"/>
    <mergeCell ref="AB49:AC49"/>
    <mergeCell ref="AD49:AE49"/>
    <mergeCell ref="AF49:AG49"/>
    <mergeCell ref="AB53:AC53"/>
    <mergeCell ref="AD53:AE53"/>
    <mergeCell ref="AF53:AG53"/>
    <mergeCell ref="A52:AG52"/>
    <mergeCell ref="B51:AG51"/>
    <mergeCell ref="B50:C50"/>
    <mergeCell ref="D50:E50"/>
    <mergeCell ref="F50:G50"/>
    <mergeCell ref="H50:I50"/>
    <mergeCell ref="J50:K50"/>
    <mergeCell ref="L50:M50"/>
    <mergeCell ref="N50:O50"/>
    <mergeCell ref="P50:Q50"/>
    <mergeCell ref="B53:C53"/>
    <mergeCell ref="D53:E53"/>
    <mergeCell ref="F53:G53"/>
    <mergeCell ref="H53:I53"/>
    <mergeCell ref="J53:K53"/>
    <mergeCell ref="L53:M53"/>
    <mergeCell ref="N53:O53"/>
    <mergeCell ref="P53:Q53"/>
    <mergeCell ref="B54:C54"/>
    <mergeCell ref="D54:E54"/>
    <mergeCell ref="F54:G54"/>
    <mergeCell ref="H54:I54"/>
    <mergeCell ref="J54:K54"/>
    <mergeCell ref="L54:M54"/>
    <mergeCell ref="N54:O54"/>
    <mergeCell ref="P54:Q54"/>
    <mergeCell ref="AB54:AC54"/>
    <mergeCell ref="AD54:AE54"/>
    <mergeCell ref="AF54:AG54"/>
    <mergeCell ref="B55:C55"/>
    <mergeCell ref="D55:E55"/>
    <mergeCell ref="F55:G55"/>
    <mergeCell ref="H55:I55"/>
    <mergeCell ref="J55:K55"/>
    <mergeCell ref="L55:M55"/>
    <mergeCell ref="N55:O55"/>
    <mergeCell ref="P55:Q55"/>
    <mergeCell ref="R55:S55"/>
    <mergeCell ref="T55:U55"/>
    <mergeCell ref="V55:W55"/>
    <mergeCell ref="X55:Y55"/>
    <mergeCell ref="Z55:AA55"/>
    <mergeCell ref="T54:U54"/>
    <mergeCell ref="V54:W54"/>
    <mergeCell ref="X54:Y54"/>
    <mergeCell ref="Z54:AA54"/>
    <mergeCell ref="R54:S54"/>
    <mergeCell ref="B57:AG57"/>
    <mergeCell ref="AB56:AC56"/>
    <mergeCell ref="AD56:AE56"/>
    <mergeCell ref="AF56:AG56"/>
    <mergeCell ref="AB55:AC55"/>
    <mergeCell ref="AD55:AE55"/>
    <mergeCell ref="AF55:AG55"/>
    <mergeCell ref="B56:C56"/>
    <mergeCell ref="D56:E56"/>
    <mergeCell ref="F56:G56"/>
    <mergeCell ref="H56:I56"/>
    <mergeCell ref="J56:K56"/>
    <mergeCell ref="L56:M56"/>
    <mergeCell ref="N56:O56"/>
    <mergeCell ref="P56:Q56"/>
    <mergeCell ref="R56:S56"/>
    <mergeCell ref="T56:U56"/>
    <mergeCell ref="V56:W56"/>
    <mergeCell ref="X56:Y56"/>
    <mergeCell ref="Z56:AA56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</mergeCells>
  <conditionalFormatting sqref="B8 D8 F8 H8 J8 L8 N8 P8 R8 T8 V8 X8 Z8 AB8 AD8 AF8">
    <cfRule type="expression" dxfId="16" priority="1">
      <formula>B8="—"</formula>
    </cfRule>
    <cfRule type="expression" dxfId="15" priority="2">
      <formula>B8&lt;&gt;"—"</formula>
    </cfRule>
  </conditionalFormatting>
  <conditionalFormatting sqref="C36">
    <cfRule type="cellIs" dxfId="14" priority="48" stopIfTrue="1" operator="greaterThan">
      <formula>1000</formula>
    </cfRule>
  </conditionalFormatting>
  <conditionalFormatting sqref="E36">
    <cfRule type="cellIs" dxfId="13" priority="49" stopIfTrue="1" operator="greaterThan">
      <formula>1000</formula>
    </cfRule>
  </conditionalFormatting>
  <conditionalFormatting sqref="G36">
    <cfRule type="cellIs" dxfId="12" priority="50" stopIfTrue="1" operator="greaterThan">
      <formula>1000</formula>
    </cfRule>
  </conditionalFormatting>
  <conditionalFormatting sqref="I36">
    <cfRule type="cellIs" dxfId="11" priority="51" stopIfTrue="1" operator="greaterThan">
      <formula>1000</formula>
    </cfRule>
  </conditionalFormatting>
  <conditionalFormatting sqref="K36">
    <cfRule type="cellIs" dxfId="10" priority="52" stopIfTrue="1" operator="greaterThan">
      <formula>1000</formula>
    </cfRule>
  </conditionalFormatting>
  <conditionalFormatting sqref="M36">
    <cfRule type="cellIs" dxfId="9" priority="53" stopIfTrue="1" operator="greaterThan">
      <formula>1000</formula>
    </cfRule>
  </conditionalFormatting>
  <conditionalFormatting sqref="O36">
    <cfRule type="cellIs" dxfId="8" priority="54" stopIfTrue="1" operator="greaterThan">
      <formula>1000</formula>
    </cfRule>
  </conditionalFormatting>
  <conditionalFormatting sqref="Q36">
    <cfRule type="cellIs" dxfId="7" priority="55" stopIfTrue="1" operator="greaterThan">
      <formula>1000</formula>
    </cfRule>
  </conditionalFormatting>
  <conditionalFormatting sqref="S36">
    <cfRule type="cellIs" dxfId="6" priority="56" stopIfTrue="1" operator="greaterThan">
      <formula>1000</formula>
    </cfRule>
  </conditionalFormatting>
  <conditionalFormatting sqref="U36">
    <cfRule type="cellIs" dxfId="5" priority="57" stopIfTrue="1" operator="greaterThan">
      <formula>1000</formula>
    </cfRule>
  </conditionalFormatting>
  <conditionalFormatting sqref="W36">
    <cfRule type="cellIs" dxfId="4" priority="58" stopIfTrue="1" operator="greaterThan">
      <formula>1000</formula>
    </cfRule>
  </conditionalFormatting>
  <conditionalFormatting sqref="Y36">
    <cfRule type="cellIs" dxfId="3" priority="59" stopIfTrue="1" operator="greaterThan">
      <formula>1000</formula>
    </cfRule>
  </conditionalFormatting>
  <conditionalFormatting sqref="AA36">
    <cfRule type="cellIs" dxfId="2" priority="60" stopIfTrue="1" operator="greaterThan">
      <formula>1000</formula>
    </cfRule>
  </conditionalFormatting>
  <conditionalFormatting sqref="AC36">
    <cfRule type="cellIs" dxfId="1" priority="61" stopIfTrue="1" operator="greaterThan">
      <formula>1000</formula>
    </cfRule>
  </conditionalFormatting>
  <conditionalFormatting sqref="AE36">
    <cfRule type="cellIs" dxfId="0" priority="62" stopIfTrue="1" operator="greaterThan">
      <formula>1000</formula>
    </cfRule>
  </conditionalFormatting>
  <printOptions horizontalCentered="1"/>
  <pageMargins left="0.19685039370078738" right="0.19685039370078738" top="0.23622047244094485" bottom="0.23622047244094485" header="0.5" footer="0.5"/>
  <pageSetup paperSize="8" orientation="landscape" r:id="rId1"/>
  <headerFooter>
    <oddFooter>&amp;C&amp;8 23842B1 · TIRATA 1 · Pagina &amp;P di &amp;N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84EF-4781-43DE-995F-8D1B2BEF563E}">
  <sheetPr>
    <pageSetUpPr fitToPage="1"/>
  </sheetPr>
  <dimension ref="A1:AG410"/>
  <sheetViews>
    <sheetView showGridLines="0" zoomScale="80" zoomScaleNormal="80" workbookViewId="0">
      <pane xSplit="29" ySplit="6" topLeftCell="AD7" activePane="bottomRight" state="frozen"/>
      <selection pane="topRight" activeCell="AD1" sqref="AD1"/>
      <selection pane="bottomLeft" activeCell="A7" sqref="A7"/>
      <selection pane="bottomRight" activeCell="R10" sqref="R10"/>
    </sheetView>
  </sheetViews>
  <sheetFormatPr baseColWidth="10" defaultColWidth="9.140625" defaultRowHeight="12.75" x14ac:dyDescent="0.2"/>
  <cols>
    <col min="1" max="1" width="0.5703125" style="50" customWidth="1"/>
    <col min="2" max="2" width="6.140625" style="50" customWidth="1"/>
    <col min="3" max="3" width="8.85546875" style="52" customWidth="1"/>
    <col min="4" max="4" width="9.42578125" style="67" customWidth="1"/>
    <col min="5" max="5" width="10" style="54" bestFit="1" customWidth="1"/>
    <col min="6" max="6" width="4.7109375" style="50" bestFit="1" customWidth="1"/>
    <col min="7" max="7" width="8.140625" style="50" customWidth="1"/>
    <col min="8" max="8" width="4.5703125" style="50" bestFit="1" customWidth="1"/>
    <col min="9" max="9" width="8.42578125" style="50" bestFit="1" customWidth="1"/>
    <col min="10" max="10" width="7.28515625" style="50" customWidth="1"/>
    <col min="11" max="11" width="10" style="50" customWidth="1"/>
    <col min="12" max="12" width="9.28515625" style="50" customWidth="1"/>
    <col min="13" max="13" width="8.5703125" style="50" customWidth="1"/>
    <col min="14" max="14" width="6.85546875" style="50" customWidth="1"/>
    <col min="15" max="15" width="7.28515625" style="57" customWidth="1"/>
    <col min="16" max="16" width="6.7109375" style="68" customWidth="1"/>
    <col min="17" max="17" width="8.5703125" style="59" customWidth="1"/>
    <col min="18" max="18" width="9.7109375" style="60" customWidth="1"/>
    <col min="19" max="19" width="4.42578125" style="60" customWidth="1"/>
    <col min="20" max="20" width="2.7109375" style="60" customWidth="1"/>
    <col min="21" max="21" width="4.42578125" style="60" customWidth="1"/>
    <col min="22" max="22" width="4.85546875" style="60" bestFit="1" customWidth="1"/>
    <col min="23" max="23" width="4.85546875" style="60" customWidth="1"/>
    <col min="24" max="24" width="8.42578125" style="60" customWidth="1"/>
    <col min="25" max="25" width="4.7109375" style="60" customWidth="1"/>
    <col min="26" max="26" width="5.7109375" style="60" customWidth="1"/>
    <col min="27" max="27" width="4.5703125" style="60" bestFit="1" customWidth="1"/>
    <col min="28" max="28" width="4.7109375" style="60" bestFit="1" customWidth="1"/>
    <col min="29" max="29" width="6.28515625" style="50" customWidth="1"/>
    <col min="30" max="30" width="75.28515625" style="67" bestFit="1" customWidth="1"/>
    <col min="31" max="256" width="9.140625" style="50"/>
    <col min="257" max="257" width="0.5703125" style="50" customWidth="1"/>
    <col min="258" max="258" width="6.140625" style="50" customWidth="1"/>
    <col min="259" max="259" width="8.85546875" style="50" customWidth="1"/>
    <col min="260" max="260" width="9.42578125" style="50" customWidth="1"/>
    <col min="261" max="261" width="10" style="50" bestFit="1" customWidth="1"/>
    <col min="262" max="262" width="4.7109375" style="50" bestFit="1" customWidth="1"/>
    <col min="263" max="263" width="8.140625" style="50" customWidth="1"/>
    <col min="264" max="264" width="4.5703125" style="50" bestFit="1" customWidth="1"/>
    <col min="265" max="265" width="8.42578125" style="50" bestFit="1" customWidth="1"/>
    <col min="266" max="266" width="7.28515625" style="50" customWidth="1"/>
    <col min="267" max="267" width="10" style="50" customWidth="1"/>
    <col min="268" max="268" width="9.28515625" style="50" customWidth="1"/>
    <col min="269" max="269" width="8.5703125" style="50" customWidth="1"/>
    <col min="270" max="270" width="6.85546875" style="50" customWidth="1"/>
    <col min="271" max="271" width="7.28515625" style="50" customWidth="1"/>
    <col min="272" max="272" width="6.7109375" style="50" customWidth="1"/>
    <col min="273" max="273" width="8.5703125" style="50" customWidth="1"/>
    <col min="274" max="274" width="9.7109375" style="50" customWidth="1"/>
    <col min="275" max="275" width="4.42578125" style="50" customWidth="1"/>
    <col min="276" max="276" width="2.7109375" style="50" customWidth="1"/>
    <col min="277" max="277" width="4.42578125" style="50" customWidth="1"/>
    <col min="278" max="278" width="4.85546875" style="50" bestFit="1" customWidth="1"/>
    <col min="279" max="279" width="4.85546875" style="50" customWidth="1"/>
    <col min="280" max="280" width="8.42578125" style="50" customWidth="1"/>
    <col min="281" max="281" width="4.7109375" style="50" customWidth="1"/>
    <col min="282" max="282" width="5.7109375" style="50" customWidth="1"/>
    <col min="283" max="283" width="4.5703125" style="50" bestFit="1" customWidth="1"/>
    <col min="284" max="284" width="4.7109375" style="50" bestFit="1" customWidth="1"/>
    <col min="285" max="285" width="6.28515625" style="50" customWidth="1"/>
    <col min="286" max="286" width="75.28515625" style="50" bestFit="1" customWidth="1"/>
    <col min="287" max="512" width="9.140625" style="50"/>
    <col min="513" max="513" width="0.5703125" style="50" customWidth="1"/>
    <col min="514" max="514" width="6.140625" style="50" customWidth="1"/>
    <col min="515" max="515" width="8.85546875" style="50" customWidth="1"/>
    <col min="516" max="516" width="9.42578125" style="50" customWidth="1"/>
    <col min="517" max="517" width="10" style="50" bestFit="1" customWidth="1"/>
    <col min="518" max="518" width="4.7109375" style="50" bestFit="1" customWidth="1"/>
    <col min="519" max="519" width="8.140625" style="50" customWidth="1"/>
    <col min="520" max="520" width="4.5703125" style="50" bestFit="1" customWidth="1"/>
    <col min="521" max="521" width="8.42578125" style="50" bestFit="1" customWidth="1"/>
    <col min="522" max="522" width="7.28515625" style="50" customWidth="1"/>
    <col min="523" max="523" width="10" style="50" customWidth="1"/>
    <col min="524" max="524" width="9.28515625" style="50" customWidth="1"/>
    <col min="525" max="525" width="8.5703125" style="50" customWidth="1"/>
    <col min="526" max="526" width="6.85546875" style="50" customWidth="1"/>
    <col min="527" max="527" width="7.28515625" style="50" customWidth="1"/>
    <col min="528" max="528" width="6.7109375" style="50" customWidth="1"/>
    <col min="529" max="529" width="8.5703125" style="50" customWidth="1"/>
    <col min="530" max="530" width="9.7109375" style="50" customWidth="1"/>
    <col min="531" max="531" width="4.42578125" style="50" customWidth="1"/>
    <col min="532" max="532" width="2.7109375" style="50" customWidth="1"/>
    <col min="533" max="533" width="4.42578125" style="50" customWidth="1"/>
    <col min="534" max="534" width="4.85546875" style="50" bestFit="1" customWidth="1"/>
    <col min="535" max="535" width="4.85546875" style="50" customWidth="1"/>
    <col min="536" max="536" width="8.42578125" style="50" customWidth="1"/>
    <col min="537" max="537" width="4.7109375" style="50" customWidth="1"/>
    <col min="538" max="538" width="5.7109375" style="50" customWidth="1"/>
    <col min="539" max="539" width="4.5703125" style="50" bestFit="1" customWidth="1"/>
    <col min="540" max="540" width="4.7109375" style="50" bestFit="1" customWidth="1"/>
    <col min="541" max="541" width="6.28515625" style="50" customWidth="1"/>
    <col min="542" max="542" width="75.28515625" style="50" bestFit="1" customWidth="1"/>
    <col min="543" max="768" width="9.140625" style="50"/>
    <col min="769" max="769" width="0.5703125" style="50" customWidth="1"/>
    <col min="770" max="770" width="6.140625" style="50" customWidth="1"/>
    <col min="771" max="771" width="8.85546875" style="50" customWidth="1"/>
    <col min="772" max="772" width="9.42578125" style="50" customWidth="1"/>
    <col min="773" max="773" width="10" style="50" bestFit="1" customWidth="1"/>
    <col min="774" max="774" width="4.7109375" style="50" bestFit="1" customWidth="1"/>
    <col min="775" max="775" width="8.140625" style="50" customWidth="1"/>
    <col min="776" max="776" width="4.5703125" style="50" bestFit="1" customWidth="1"/>
    <col min="777" max="777" width="8.42578125" style="50" bestFit="1" customWidth="1"/>
    <col min="778" max="778" width="7.28515625" style="50" customWidth="1"/>
    <col min="779" max="779" width="10" style="50" customWidth="1"/>
    <col min="780" max="780" width="9.28515625" style="50" customWidth="1"/>
    <col min="781" max="781" width="8.5703125" style="50" customWidth="1"/>
    <col min="782" max="782" width="6.85546875" style="50" customWidth="1"/>
    <col min="783" max="783" width="7.28515625" style="50" customWidth="1"/>
    <col min="784" max="784" width="6.7109375" style="50" customWidth="1"/>
    <col min="785" max="785" width="8.5703125" style="50" customWidth="1"/>
    <col min="786" max="786" width="9.7109375" style="50" customWidth="1"/>
    <col min="787" max="787" width="4.42578125" style="50" customWidth="1"/>
    <col min="788" max="788" width="2.7109375" style="50" customWidth="1"/>
    <col min="789" max="789" width="4.42578125" style="50" customWidth="1"/>
    <col min="790" max="790" width="4.85546875" style="50" bestFit="1" customWidth="1"/>
    <col min="791" max="791" width="4.85546875" style="50" customWidth="1"/>
    <col min="792" max="792" width="8.42578125" style="50" customWidth="1"/>
    <col min="793" max="793" width="4.7109375" style="50" customWidth="1"/>
    <col min="794" max="794" width="5.7109375" style="50" customWidth="1"/>
    <col min="795" max="795" width="4.5703125" style="50" bestFit="1" customWidth="1"/>
    <col min="796" max="796" width="4.7109375" style="50" bestFit="1" customWidth="1"/>
    <col min="797" max="797" width="6.28515625" style="50" customWidth="1"/>
    <col min="798" max="798" width="75.28515625" style="50" bestFit="1" customWidth="1"/>
    <col min="799" max="1024" width="9.140625" style="50"/>
    <col min="1025" max="1025" width="0.5703125" style="50" customWidth="1"/>
    <col min="1026" max="1026" width="6.140625" style="50" customWidth="1"/>
    <col min="1027" max="1027" width="8.85546875" style="50" customWidth="1"/>
    <col min="1028" max="1028" width="9.42578125" style="50" customWidth="1"/>
    <col min="1029" max="1029" width="10" style="50" bestFit="1" customWidth="1"/>
    <col min="1030" max="1030" width="4.7109375" style="50" bestFit="1" customWidth="1"/>
    <col min="1031" max="1031" width="8.140625" style="50" customWidth="1"/>
    <col min="1032" max="1032" width="4.5703125" style="50" bestFit="1" customWidth="1"/>
    <col min="1033" max="1033" width="8.42578125" style="50" bestFit="1" customWidth="1"/>
    <col min="1034" max="1034" width="7.28515625" style="50" customWidth="1"/>
    <col min="1035" max="1035" width="10" style="50" customWidth="1"/>
    <col min="1036" max="1036" width="9.28515625" style="50" customWidth="1"/>
    <col min="1037" max="1037" width="8.5703125" style="50" customWidth="1"/>
    <col min="1038" max="1038" width="6.85546875" style="50" customWidth="1"/>
    <col min="1039" max="1039" width="7.28515625" style="50" customWidth="1"/>
    <col min="1040" max="1040" width="6.7109375" style="50" customWidth="1"/>
    <col min="1041" max="1041" width="8.5703125" style="50" customWidth="1"/>
    <col min="1042" max="1042" width="9.7109375" style="50" customWidth="1"/>
    <col min="1043" max="1043" width="4.42578125" style="50" customWidth="1"/>
    <col min="1044" max="1044" width="2.7109375" style="50" customWidth="1"/>
    <col min="1045" max="1045" width="4.42578125" style="50" customWidth="1"/>
    <col min="1046" max="1046" width="4.85546875" style="50" bestFit="1" customWidth="1"/>
    <col min="1047" max="1047" width="4.85546875" style="50" customWidth="1"/>
    <col min="1048" max="1048" width="8.42578125" style="50" customWidth="1"/>
    <col min="1049" max="1049" width="4.7109375" style="50" customWidth="1"/>
    <col min="1050" max="1050" width="5.7109375" style="50" customWidth="1"/>
    <col min="1051" max="1051" width="4.5703125" style="50" bestFit="1" customWidth="1"/>
    <col min="1052" max="1052" width="4.7109375" style="50" bestFit="1" customWidth="1"/>
    <col min="1053" max="1053" width="6.28515625" style="50" customWidth="1"/>
    <col min="1054" max="1054" width="75.28515625" style="50" bestFit="1" customWidth="1"/>
    <col min="1055" max="1280" width="9.140625" style="50"/>
    <col min="1281" max="1281" width="0.5703125" style="50" customWidth="1"/>
    <col min="1282" max="1282" width="6.140625" style="50" customWidth="1"/>
    <col min="1283" max="1283" width="8.85546875" style="50" customWidth="1"/>
    <col min="1284" max="1284" width="9.42578125" style="50" customWidth="1"/>
    <col min="1285" max="1285" width="10" style="50" bestFit="1" customWidth="1"/>
    <col min="1286" max="1286" width="4.7109375" style="50" bestFit="1" customWidth="1"/>
    <col min="1287" max="1287" width="8.140625" style="50" customWidth="1"/>
    <col min="1288" max="1288" width="4.5703125" style="50" bestFit="1" customWidth="1"/>
    <col min="1289" max="1289" width="8.42578125" style="50" bestFit="1" customWidth="1"/>
    <col min="1290" max="1290" width="7.28515625" style="50" customWidth="1"/>
    <col min="1291" max="1291" width="10" style="50" customWidth="1"/>
    <col min="1292" max="1292" width="9.28515625" style="50" customWidth="1"/>
    <col min="1293" max="1293" width="8.5703125" style="50" customWidth="1"/>
    <col min="1294" max="1294" width="6.85546875" style="50" customWidth="1"/>
    <col min="1295" max="1295" width="7.28515625" style="50" customWidth="1"/>
    <col min="1296" max="1296" width="6.7109375" style="50" customWidth="1"/>
    <col min="1297" max="1297" width="8.5703125" style="50" customWidth="1"/>
    <col min="1298" max="1298" width="9.7109375" style="50" customWidth="1"/>
    <col min="1299" max="1299" width="4.42578125" style="50" customWidth="1"/>
    <col min="1300" max="1300" width="2.7109375" style="50" customWidth="1"/>
    <col min="1301" max="1301" width="4.42578125" style="50" customWidth="1"/>
    <col min="1302" max="1302" width="4.85546875" style="50" bestFit="1" customWidth="1"/>
    <col min="1303" max="1303" width="4.85546875" style="50" customWidth="1"/>
    <col min="1304" max="1304" width="8.42578125" style="50" customWidth="1"/>
    <col min="1305" max="1305" width="4.7109375" style="50" customWidth="1"/>
    <col min="1306" max="1306" width="5.7109375" style="50" customWidth="1"/>
    <col min="1307" max="1307" width="4.5703125" style="50" bestFit="1" customWidth="1"/>
    <col min="1308" max="1308" width="4.7109375" style="50" bestFit="1" customWidth="1"/>
    <col min="1309" max="1309" width="6.28515625" style="50" customWidth="1"/>
    <col min="1310" max="1310" width="75.28515625" style="50" bestFit="1" customWidth="1"/>
    <col min="1311" max="1536" width="9.140625" style="50"/>
    <col min="1537" max="1537" width="0.5703125" style="50" customWidth="1"/>
    <col min="1538" max="1538" width="6.140625" style="50" customWidth="1"/>
    <col min="1539" max="1539" width="8.85546875" style="50" customWidth="1"/>
    <col min="1540" max="1540" width="9.42578125" style="50" customWidth="1"/>
    <col min="1541" max="1541" width="10" style="50" bestFit="1" customWidth="1"/>
    <col min="1542" max="1542" width="4.7109375" style="50" bestFit="1" customWidth="1"/>
    <col min="1543" max="1543" width="8.140625" style="50" customWidth="1"/>
    <col min="1544" max="1544" width="4.5703125" style="50" bestFit="1" customWidth="1"/>
    <col min="1545" max="1545" width="8.42578125" style="50" bestFit="1" customWidth="1"/>
    <col min="1546" max="1546" width="7.28515625" style="50" customWidth="1"/>
    <col min="1547" max="1547" width="10" style="50" customWidth="1"/>
    <col min="1548" max="1548" width="9.28515625" style="50" customWidth="1"/>
    <col min="1549" max="1549" width="8.5703125" style="50" customWidth="1"/>
    <col min="1550" max="1550" width="6.85546875" style="50" customWidth="1"/>
    <col min="1551" max="1551" width="7.28515625" style="50" customWidth="1"/>
    <col min="1552" max="1552" width="6.7109375" style="50" customWidth="1"/>
    <col min="1553" max="1553" width="8.5703125" style="50" customWidth="1"/>
    <col min="1554" max="1554" width="9.7109375" style="50" customWidth="1"/>
    <col min="1555" max="1555" width="4.42578125" style="50" customWidth="1"/>
    <col min="1556" max="1556" width="2.7109375" style="50" customWidth="1"/>
    <col min="1557" max="1557" width="4.42578125" style="50" customWidth="1"/>
    <col min="1558" max="1558" width="4.85546875" style="50" bestFit="1" customWidth="1"/>
    <col min="1559" max="1559" width="4.85546875" style="50" customWidth="1"/>
    <col min="1560" max="1560" width="8.42578125" style="50" customWidth="1"/>
    <col min="1561" max="1561" width="4.7109375" style="50" customWidth="1"/>
    <col min="1562" max="1562" width="5.7109375" style="50" customWidth="1"/>
    <col min="1563" max="1563" width="4.5703125" style="50" bestFit="1" customWidth="1"/>
    <col min="1564" max="1564" width="4.7109375" style="50" bestFit="1" customWidth="1"/>
    <col min="1565" max="1565" width="6.28515625" style="50" customWidth="1"/>
    <col min="1566" max="1566" width="75.28515625" style="50" bestFit="1" customWidth="1"/>
    <col min="1567" max="1792" width="9.140625" style="50"/>
    <col min="1793" max="1793" width="0.5703125" style="50" customWidth="1"/>
    <col min="1794" max="1794" width="6.140625" style="50" customWidth="1"/>
    <col min="1795" max="1795" width="8.85546875" style="50" customWidth="1"/>
    <col min="1796" max="1796" width="9.42578125" style="50" customWidth="1"/>
    <col min="1797" max="1797" width="10" style="50" bestFit="1" customWidth="1"/>
    <col min="1798" max="1798" width="4.7109375" style="50" bestFit="1" customWidth="1"/>
    <col min="1799" max="1799" width="8.140625" style="50" customWidth="1"/>
    <col min="1800" max="1800" width="4.5703125" style="50" bestFit="1" customWidth="1"/>
    <col min="1801" max="1801" width="8.42578125" style="50" bestFit="1" customWidth="1"/>
    <col min="1802" max="1802" width="7.28515625" style="50" customWidth="1"/>
    <col min="1803" max="1803" width="10" style="50" customWidth="1"/>
    <col min="1804" max="1804" width="9.28515625" style="50" customWidth="1"/>
    <col min="1805" max="1805" width="8.5703125" style="50" customWidth="1"/>
    <col min="1806" max="1806" width="6.85546875" style="50" customWidth="1"/>
    <col min="1807" max="1807" width="7.28515625" style="50" customWidth="1"/>
    <col min="1808" max="1808" width="6.7109375" style="50" customWidth="1"/>
    <col min="1809" max="1809" width="8.5703125" style="50" customWidth="1"/>
    <col min="1810" max="1810" width="9.7109375" style="50" customWidth="1"/>
    <col min="1811" max="1811" width="4.42578125" style="50" customWidth="1"/>
    <col min="1812" max="1812" width="2.7109375" style="50" customWidth="1"/>
    <col min="1813" max="1813" width="4.42578125" style="50" customWidth="1"/>
    <col min="1814" max="1814" width="4.85546875" style="50" bestFit="1" customWidth="1"/>
    <col min="1815" max="1815" width="4.85546875" style="50" customWidth="1"/>
    <col min="1816" max="1816" width="8.42578125" style="50" customWidth="1"/>
    <col min="1817" max="1817" width="4.7109375" style="50" customWidth="1"/>
    <col min="1818" max="1818" width="5.7109375" style="50" customWidth="1"/>
    <col min="1819" max="1819" width="4.5703125" style="50" bestFit="1" customWidth="1"/>
    <col min="1820" max="1820" width="4.7109375" style="50" bestFit="1" customWidth="1"/>
    <col min="1821" max="1821" width="6.28515625" style="50" customWidth="1"/>
    <col min="1822" max="1822" width="75.28515625" style="50" bestFit="1" customWidth="1"/>
    <col min="1823" max="2048" width="9.140625" style="50"/>
    <col min="2049" max="2049" width="0.5703125" style="50" customWidth="1"/>
    <col min="2050" max="2050" width="6.140625" style="50" customWidth="1"/>
    <col min="2051" max="2051" width="8.85546875" style="50" customWidth="1"/>
    <col min="2052" max="2052" width="9.42578125" style="50" customWidth="1"/>
    <col min="2053" max="2053" width="10" style="50" bestFit="1" customWidth="1"/>
    <col min="2054" max="2054" width="4.7109375" style="50" bestFit="1" customWidth="1"/>
    <col min="2055" max="2055" width="8.140625" style="50" customWidth="1"/>
    <col min="2056" max="2056" width="4.5703125" style="50" bestFit="1" customWidth="1"/>
    <col min="2057" max="2057" width="8.42578125" style="50" bestFit="1" customWidth="1"/>
    <col min="2058" max="2058" width="7.28515625" style="50" customWidth="1"/>
    <col min="2059" max="2059" width="10" style="50" customWidth="1"/>
    <col min="2060" max="2060" width="9.28515625" style="50" customWidth="1"/>
    <col min="2061" max="2061" width="8.5703125" style="50" customWidth="1"/>
    <col min="2062" max="2062" width="6.85546875" style="50" customWidth="1"/>
    <col min="2063" max="2063" width="7.28515625" style="50" customWidth="1"/>
    <col min="2064" max="2064" width="6.7109375" style="50" customWidth="1"/>
    <col min="2065" max="2065" width="8.5703125" style="50" customWidth="1"/>
    <col min="2066" max="2066" width="9.7109375" style="50" customWidth="1"/>
    <col min="2067" max="2067" width="4.42578125" style="50" customWidth="1"/>
    <col min="2068" max="2068" width="2.7109375" style="50" customWidth="1"/>
    <col min="2069" max="2069" width="4.42578125" style="50" customWidth="1"/>
    <col min="2070" max="2070" width="4.85546875" style="50" bestFit="1" customWidth="1"/>
    <col min="2071" max="2071" width="4.85546875" style="50" customWidth="1"/>
    <col min="2072" max="2072" width="8.42578125" style="50" customWidth="1"/>
    <col min="2073" max="2073" width="4.7109375" style="50" customWidth="1"/>
    <col min="2074" max="2074" width="5.7109375" style="50" customWidth="1"/>
    <col min="2075" max="2075" width="4.5703125" style="50" bestFit="1" customWidth="1"/>
    <col min="2076" max="2076" width="4.7109375" style="50" bestFit="1" customWidth="1"/>
    <col min="2077" max="2077" width="6.28515625" style="50" customWidth="1"/>
    <col min="2078" max="2078" width="75.28515625" style="50" bestFit="1" customWidth="1"/>
    <col min="2079" max="2304" width="9.140625" style="50"/>
    <col min="2305" max="2305" width="0.5703125" style="50" customWidth="1"/>
    <col min="2306" max="2306" width="6.140625" style="50" customWidth="1"/>
    <col min="2307" max="2307" width="8.85546875" style="50" customWidth="1"/>
    <col min="2308" max="2308" width="9.42578125" style="50" customWidth="1"/>
    <col min="2309" max="2309" width="10" style="50" bestFit="1" customWidth="1"/>
    <col min="2310" max="2310" width="4.7109375" style="50" bestFit="1" customWidth="1"/>
    <col min="2311" max="2311" width="8.140625" style="50" customWidth="1"/>
    <col min="2312" max="2312" width="4.5703125" style="50" bestFit="1" customWidth="1"/>
    <col min="2313" max="2313" width="8.42578125" style="50" bestFit="1" customWidth="1"/>
    <col min="2314" max="2314" width="7.28515625" style="50" customWidth="1"/>
    <col min="2315" max="2315" width="10" style="50" customWidth="1"/>
    <col min="2316" max="2316" width="9.28515625" style="50" customWidth="1"/>
    <col min="2317" max="2317" width="8.5703125" style="50" customWidth="1"/>
    <col min="2318" max="2318" width="6.85546875" style="50" customWidth="1"/>
    <col min="2319" max="2319" width="7.28515625" style="50" customWidth="1"/>
    <col min="2320" max="2320" width="6.7109375" style="50" customWidth="1"/>
    <col min="2321" max="2321" width="8.5703125" style="50" customWidth="1"/>
    <col min="2322" max="2322" width="9.7109375" style="50" customWidth="1"/>
    <col min="2323" max="2323" width="4.42578125" style="50" customWidth="1"/>
    <col min="2324" max="2324" width="2.7109375" style="50" customWidth="1"/>
    <col min="2325" max="2325" width="4.42578125" style="50" customWidth="1"/>
    <col min="2326" max="2326" width="4.85546875" style="50" bestFit="1" customWidth="1"/>
    <col min="2327" max="2327" width="4.85546875" style="50" customWidth="1"/>
    <col min="2328" max="2328" width="8.42578125" style="50" customWidth="1"/>
    <col min="2329" max="2329" width="4.7109375" style="50" customWidth="1"/>
    <col min="2330" max="2330" width="5.7109375" style="50" customWidth="1"/>
    <col min="2331" max="2331" width="4.5703125" style="50" bestFit="1" customWidth="1"/>
    <col min="2332" max="2332" width="4.7109375" style="50" bestFit="1" customWidth="1"/>
    <col min="2333" max="2333" width="6.28515625" style="50" customWidth="1"/>
    <col min="2334" max="2334" width="75.28515625" style="50" bestFit="1" customWidth="1"/>
    <col min="2335" max="2560" width="9.140625" style="50"/>
    <col min="2561" max="2561" width="0.5703125" style="50" customWidth="1"/>
    <col min="2562" max="2562" width="6.140625" style="50" customWidth="1"/>
    <col min="2563" max="2563" width="8.85546875" style="50" customWidth="1"/>
    <col min="2564" max="2564" width="9.42578125" style="50" customWidth="1"/>
    <col min="2565" max="2565" width="10" style="50" bestFit="1" customWidth="1"/>
    <col min="2566" max="2566" width="4.7109375" style="50" bestFit="1" customWidth="1"/>
    <col min="2567" max="2567" width="8.140625" style="50" customWidth="1"/>
    <col min="2568" max="2568" width="4.5703125" style="50" bestFit="1" customWidth="1"/>
    <col min="2569" max="2569" width="8.42578125" style="50" bestFit="1" customWidth="1"/>
    <col min="2570" max="2570" width="7.28515625" style="50" customWidth="1"/>
    <col min="2571" max="2571" width="10" style="50" customWidth="1"/>
    <col min="2572" max="2572" width="9.28515625" style="50" customWidth="1"/>
    <col min="2573" max="2573" width="8.5703125" style="50" customWidth="1"/>
    <col min="2574" max="2574" width="6.85546875" style="50" customWidth="1"/>
    <col min="2575" max="2575" width="7.28515625" style="50" customWidth="1"/>
    <col min="2576" max="2576" width="6.7109375" style="50" customWidth="1"/>
    <col min="2577" max="2577" width="8.5703125" style="50" customWidth="1"/>
    <col min="2578" max="2578" width="9.7109375" style="50" customWidth="1"/>
    <col min="2579" max="2579" width="4.42578125" style="50" customWidth="1"/>
    <col min="2580" max="2580" width="2.7109375" style="50" customWidth="1"/>
    <col min="2581" max="2581" width="4.42578125" style="50" customWidth="1"/>
    <col min="2582" max="2582" width="4.85546875" style="50" bestFit="1" customWidth="1"/>
    <col min="2583" max="2583" width="4.85546875" style="50" customWidth="1"/>
    <col min="2584" max="2584" width="8.42578125" style="50" customWidth="1"/>
    <col min="2585" max="2585" width="4.7109375" style="50" customWidth="1"/>
    <col min="2586" max="2586" width="5.7109375" style="50" customWidth="1"/>
    <col min="2587" max="2587" width="4.5703125" style="50" bestFit="1" customWidth="1"/>
    <col min="2588" max="2588" width="4.7109375" style="50" bestFit="1" customWidth="1"/>
    <col min="2589" max="2589" width="6.28515625" style="50" customWidth="1"/>
    <col min="2590" max="2590" width="75.28515625" style="50" bestFit="1" customWidth="1"/>
    <col min="2591" max="2816" width="9.140625" style="50"/>
    <col min="2817" max="2817" width="0.5703125" style="50" customWidth="1"/>
    <col min="2818" max="2818" width="6.140625" style="50" customWidth="1"/>
    <col min="2819" max="2819" width="8.85546875" style="50" customWidth="1"/>
    <col min="2820" max="2820" width="9.42578125" style="50" customWidth="1"/>
    <col min="2821" max="2821" width="10" style="50" bestFit="1" customWidth="1"/>
    <col min="2822" max="2822" width="4.7109375" style="50" bestFit="1" customWidth="1"/>
    <col min="2823" max="2823" width="8.140625" style="50" customWidth="1"/>
    <col min="2824" max="2824" width="4.5703125" style="50" bestFit="1" customWidth="1"/>
    <col min="2825" max="2825" width="8.42578125" style="50" bestFit="1" customWidth="1"/>
    <col min="2826" max="2826" width="7.28515625" style="50" customWidth="1"/>
    <col min="2827" max="2827" width="10" style="50" customWidth="1"/>
    <col min="2828" max="2828" width="9.28515625" style="50" customWidth="1"/>
    <col min="2829" max="2829" width="8.5703125" style="50" customWidth="1"/>
    <col min="2830" max="2830" width="6.85546875" style="50" customWidth="1"/>
    <col min="2831" max="2831" width="7.28515625" style="50" customWidth="1"/>
    <col min="2832" max="2832" width="6.7109375" style="50" customWidth="1"/>
    <col min="2833" max="2833" width="8.5703125" style="50" customWidth="1"/>
    <col min="2834" max="2834" width="9.7109375" style="50" customWidth="1"/>
    <col min="2835" max="2835" width="4.42578125" style="50" customWidth="1"/>
    <col min="2836" max="2836" width="2.7109375" style="50" customWidth="1"/>
    <col min="2837" max="2837" width="4.42578125" style="50" customWidth="1"/>
    <col min="2838" max="2838" width="4.85546875" style="50" bestFit="1" customWidth="1"/>
    <col min="2839" max="2839" width="4.85546875" style="50" customWidth="1"/>
    <col min="2840" max="2840" width="8.42578125" style="50" customWidth="1"/>
    <col min="2841" max="2841" width="4.7109375" style="50" customWidth="1"/>
    <col min="2842" max="2842" width="5.7109375" style="50" customWidth="1"/>
    <col min="2843" max="2843" width="4.5703125" style="50" bestFit="1" customWidth="1"/>
    <col min="2844" max="2844" width="4.7109375" style="50" bestFit="1" customWidth="1"/>
    <col min="2845" max="2845" width="6.28515625" style="50" customWidth="1"/>
    <col min="2846" max="2846" width="75.28515625" style="50" bestFit="1" customWidth="1"/>
    <col min="2847" max="3072" width="9.140625" style="50"/>
    <col min="3073" max="3073" width="0.5703125" style="50" customWidth="1"/>
    <col min="3074" max="3074" width="6.140625" style="50" customWidth="1"/>
    <col min="3075" max="3075" width="8.85546875" style="50" customWidth="1"/>
    <col min="3076" max="3076" width="9.42578125" style="50" customWidth="1"/>
    <col min="3077" max="3077" width="10" style="50" bestFit="1" customWidth="1"/>
    <col min="3078" max="3078" width="4.7109375" style="50" bestFit="1" customWidth="1"/>
    <col min="3079" max="3079" width="8.140625" style="50" customWidth="1"/>
    <col min="3080" max="3080" width="4.5703125" style="50" bestFit="1" customWidth="1"/>
    <col min="3081" max="3081" width="8.42578125" style="50" bestFit="1" customWidth="1"/>
    <col min="3082" max="3082" width="7.28515625" style="50" customWidth="1"/>
    <col min="3083" max="3083" width="10" style="50" customWidth="1"/>
    <col min="3084" max="3084" width="9.28515625" style="50" customWidth="1"/>
    <col min="3085" max="3085" width="8.5703125" style="50" customWidth="1"/>
    <col min="3086" max="3086" width="6.85546875" style="50" customWidth="1"/>
    <col min="3087" max="3087" width="7.28515625" style="50" customWidth="1"/>
    <col min="3088" max="3088" width="6.7109375" style="50" customWidth="1"/>
    <col min="3089" max="3089" width="8.5703125" style="50" customWidth="1"/>
    <col min="3090" max="3090" width="9.7109375" style="50" customWidth="1"/>
    <col min="3091" max="3091" width="4.42578125" style="50" customWidth="1"/>
    <col min="3092" max="3092" width="2.7109375" style="50" customWidth="1"/>
    <col min="3093" max="3093" width="4.42578125" style="50" customWidth="1"/>
    <col min="3094" max="3094" width="4.85546875" style="50" bestFit="1" customWidth="1"/>
    <col min="3095" max="3095" width="4.85546875" style="50" customWidth="1"/>
    <col min="3096" max="3096" width="8.42578125" style="50" customWidth="1"/>
    <col min="3097" max="3097" width="4.7109375" style="50" customWidth="1"/>
    <col min="3098" max="3098" width="5.7109375" style="50" customWidth="1"/>
    <col min="3099" max="3099" width="4.5703125" style="50" bestFit="1" customWidth="1"/>
    <col min="3100" max="3100" width="4.7109375" style="50" bestFit="1" customWidth="1"/>
    <col min="3101" max="3101" width="6.28515625" style="50" customWidth="1"/>
    <col min="3102" max="3102" width="75.28515625" style="50" bestFit="1" customWidth="1"/>
    <col min="3103" max="3328" width="9.140625" style="50"/>
    <col min="3329" max="3329" width="0.5703125" style="50" customWidth="1"/>
    <col min="3330" max="3330" width="6.140625" style="50" customWidth="1"/>
    <col min="3331" max="3331" width="8.85546875" style="50" customWidth="1"/>
    <col min="3332" max="3332" width="9.42578125" style="50" customWidth="1"/>
    <col min="3333" max="3333" width="10" style="50" bestFit="1" customWidth="1"/>
    <col min="3334" max="3334" width="4.7109375" style="50" bestFit="1" customWidth="1"/>
    <col min="3335" max="3335" width="8.140625" style="50" customWidth="1"/>
    <col min="3336" max="3336" width="4.5703125" style="50" bestFit="1" customWidth="1"/>
    <col min="3337" max="3337" width="8.42578125" style="50" bestFit="1" customWidth="1"/>
    <col min="3338" max="3338" width="7.28515625" style="50" customWidth="1"/>
    <col min="3339" max="3339" width="10" style="50" customWidth="1"/>
    <col min="3340" max="3340" width="9.28515625" style="50" customWidth="1"/>
    <col min="3341" max="3341" width="8.5703125" style="50" customWidth="1"/>
    <col min="3342" max="3342" width="6.85546875" style="50" customWidth="1"/>
    <col min="3343" max="3343" width="7.28515625" style="50" customWidth="1"/>
    <col min="3344" max="3344" width="6.7109375" style="50" customWidth="1"/>
    <col min="3345" max="3345" width="8.5703125" style="50" customWidth="1"/>
    <col min="3346" max="3346" width="9.7109375" style="50" customWidth="1"/>
    <col min="3347" max="3347" width="4.42578125" style="50" customWidth="1"/>
    <col min="3348" max="3348" width="2.7109375" style="50" customWidth="1"/>
    <col min="3349" max="3349" width="4.42578125" style="50" customWidth="1"/>
    <col min="3350" max="3350" width="4.85546875" style="50" bestFit="1" customWidth="1"/>
    <col min="3351" max="3351" width="4.85546875" style="50" customWidth="1"/>
    <col min="3352" max="3352" width="8.42578125" style="50" customWidth="1"/>
    <col min="3353" max="3353" width="4.7109375" style="50" customWidth="1"/>
    <col min="3354" max="3354" width="5.7109375" style="50" customWidth="1"/>
    <col min="3355" max="3355" width="4.5703125" style="50" bestFit="1" customWidth="1"/>
    <col min="3356" max="3356" width="4.7109375" style="50" bestFit="1" customWidth="1"/>
    <col min="3357" max="3357" width="6.28515625" style="50" customWidth="1"/>
    <col min="3358" max="3358" width="75.28515625" style="50" bestFit="1" customWidth="1"/>
    <col min="3359" max="3584" width="9.140625" style="50"/>
    <col min="3585" max="3585" width="0.5703125" style="50" customWidth="1"/>
    <col min="3586" max="3586" width="6.140625" style="50" customWidth="1"/>
    <col min="3587" max="3587" width="8.85546875" style="50" customWidth="1"/>
    <col min="3588" max="3588" width="9.42578125" style="50" customWidth="1"/>
    <col min="3589" max="3589" width="10" style="50" bestFit="1" customWidth="1"/>
    <col min="3590" max="3590" width="4.7109375" style="50" bestFit="1" customWidth="1"/>
    <col min="3591" max="3591" width="8.140625" style="50" customWidth="1"/>
    <col min="3592" max="3592" width="4.5703125" style="50" bestFit="1" customWidth="1"/>
    <col min="3593" max="3593" width="8.42578125" style="50" bestFit="1" customWidth="1"/>
    <col min="3594" max="3594" width="7.28515625" style="50" customWidth="1"/>
    <col min="3595" max="3595" width="10" style="50" customWidth="1"/>
    <col min="3596" max="3596" width="9.28515625" style="50" customWidth="1"/>
    <col min="3597" max="3597" width="8.5703125" style="50" customWidth="1"/>
    <col min="3598" max="3598" width="6.85546875" style="50" customWidth="1"/>
    <col min="3599" max="3599" width="7.28515625" style="50" customWidth="1"/>
    <col min="3600" max="3600" width="6.7109375" style="50" customWidth="1"/>
    <col min="3601" max="3601" width="8.5703125" style="50" customWidth="1"/>
    <col min="3602" max="3602" width="9.7109375" style="50" customWidth="1"/>
    <col min="3603" max="3603" width="4.42578125" style="50" customWidth="1"/>
    <col min="3604" max="3604" width="2.7109375" style="50" customWidth="1"/>
    <col min="3605" max="3605" width="4.42578125" style="50" customWidth="1"/>
    <col min="3606" max="3606" width="4.85546875" style="50" bestFit="1" customWidth="1"/>
    <col min="3607" max="3607" width="4.85546875" style="50" customWidth="1"/>
    <col min="3608" max="3608" width="8.42578125" style="50" customWidth="1"/>
    <col min="3609" max="3609" width="4.7109375" style="50" customWidth="1"/>
    <col min="3610" max="3610" width="5.7109375" style="50" customWidth="1"/>
    <col min="3611" max="3611" width="4.5703125" style="50" bestFit="1" customWidth="1"/>
    <col min="3612" max="3612" width="4.7109375" style="50" bestFit="1" customWidth="1"/>
    <col min="3613" max="3613" width="6.28515625" style="50" customWidth="1"/>
    <col min="3614" max="3614" width="75.28515625" style="50" bestFit="1" customWidth="1"/>
    <col min="3615" max="3840" width="9.140625" style="50"/>
    <col min="3841" max="3841" width="0.5703125" style="50" customWidth="1"/>
    <col min="3842" max="3842" width="6.140625" style="50" customWidth="1"/>
    <col min="3843" max="3843" width="8.85546875" style="50" customWidth="1"/>
    <col min="3844" max="3844" width="9.42578125" style="50" customWidth="1"/>
    <col min="3845" max="3845" width="10" style="50" bestFit="1" customWidth="1"/>
    <col min="3846" max="3846" width="4.7109375" style="50" bestFit="1" customWidth="1"/>
    <col min="3847" max="3847" width="8.140625" style="50" customWidth="1"/>
    <col min="3848" max="3848" width="4.5703125" style="50" bestFit="1" customWidth="1"/>
    <col min="3849" max="3849" width="8.42578125" style="50" bestFit="1" customWidth="1"/>
    <col min="3850" max="3850" width="7.28515625" style="50" customWidth="1"/>
    <col min="3851" max="3851" width="10" style="50" customWidth="1"/>
    <col min="3852" max="3852" width="9.28515625" style="50" customWidth="1"/>
    <col min="3853" max="3853" width="8.5703125" style="50" customWidth="1"/>
    <col min="3854" max="3854" width="6.85546875" style="50" customWidth="1"/>
    <col min="3855" max="3855" width="7.28515625" style="50" customWidth="1"/>
    <col min="3856" max="3856" width="6.7109375" style="50" customWidth="1"/>
    <col min="3857" max="3857" width="8.5703125" style="50" customWidth="1"/>
    <col min="3858" max="3858" width="9.7109375" style="50" customWidth="1"/>
    <col min="3859" max="3859" width="4.42578125" style="50" customWidth="1"/>
    <col min="3860" max="3860" width="2.7109375" style="50" customWidth="1"/>
    <col min="3861" max="3861" width="4.42578125" style="50" customWidth="1"/>
    <col min="3862" max="3862" width="4.85546875" style="50" bestFit="1" customWidth="1"/>
    <col min="3863" max="3863" width="4.85546875" style="50" customWidth="1"/>
    <col min="3864" max="3864" width="8.42578125" style="50" customWidth="1"/>
    <col min="3865" max="3865" width="4.7109375" style="50" customWidth="1"/>
    <col min="3866" max="3866" width="5.7109375" style="50" customWidth="1"/>
    <col min="3867" max="3867" width="4.5703125" style="50" bestFit="1" customWidth="1"/>
    <col min="3868" max="3868" width="4.7109375" style="50" bestFit="1" customWidth="1"/>
    <col min="3869" max="3869" width="6.28515625" style="50" customWidth="1"/>
    <col min="3870" max="3870" width="75.28515625" style="50" bestFit="1" customWidth="1"/>
    <col min="3871" max="4096" width="9.140625" style="50"/>
    <col min="4097" max="4097" width="0.5703125" style="50" customWidth="1"/>
    <col min="4098" max="4098" width="6.140625" style="50" customWidth="1"/>
    <col min="4099" max="4099" width="8.85546875" style="50" customWidth="1"/>
    <col min="4100" max="4100" width="9.42578125" style="50" customWidth="1"/>
    <col min="4101" max="4101" width="10" style="50" bestFit="1" customWidth="1"/>
    <col min="4102" max="4102" width="4.7109375" style="50" bestFit="1" customWidth="1"/>
    <col min="4103" max="4103" width="8.140625" style="50" customWidth="1"/>
    <col min="4104" max="4104" width="4.5703125" style="50" bestFit="1" customWidth="1"/>
    <col min="4105" max="4105" width="8.42578125" style="50" bestFit="1" customWidth="1"/>
    <col min="4106" max="4106" width="7.28515625" style="50" customWidth="1"/>
    <col min="4107" max="4107" width="10" style="50" customWidth="1"/>
    <col min="4108" max="4108" width="9.28515625" style="50" customWidth="1"/>
    <col min="4109" max="4109" width="8.5703125" style="50" customWidth="1"/>
    <col min="4110" max="4110" width="6.85546875" style="50" customWidth="1"/>
    <col min="4111" max="4111" width="7.28515625" style="50" customWidth="1"/>
    <col min="4112" max="4112" width="6.7109375" style="50" customWidth="1"/>
    <col min="4113" max="4113" width="8.5703125" style="50" customWidth="1"/>
    <col min="4114" max="4114" width="9.7109375" style="50" customWidth="1"/>
    <col min="4115" max="4115" width="4.42578125" style="50" customWidth="1"/>
    <col min="4116" max="4116" width="2.7109375" style="50" customWidth="1"/>
    <col min="4117" max="4117" width="4.42578125" style="50" customWidth="1"/>
    <col min="4118" max="4118" width="4.85546875" style="50" bestFit="1" customWidth="1"/>
    <col min="4119" max="4119" width="4.85546875" style="50" customWidth="1"/>
    <col min="4120" max="4120" width="8.42578125" style="50" customWidth="1"/>
    <col min="4121" max="4121" width="4.7109375" style="50" customWidth="1"/>
    <col min="4122" max="4122" width="5.7109375" style="50" customWidth="1"/>
    <col min="4123" max="4123" width="4.5703125" style="50" bestFit="1" customWidth="1"/>
    <col min="4124" max="4124" width="4.7109375" style="50" bestFit="1" customWidth="1"/>
    <col min="4125" max="4125" width="6.28515625" style="50" customWidth="1"/>
    <col min="4126" max="4126" width="75.28515625" style="50" bestFit="1" customWidth="1"/>
    <col min="4127" max="4352" width="9.140625" style="50"/>
    <col min="4353" max="4353" width="0.5703125" style="50" customWidth="1"/>
    <col min="4354" max="4354" width="6.140625" style="50" customWidth="1"/>
    <col min="4355" max="4355" width="8.85546875" style="50" customWidth="1"/>
    <col min="4356" max="4356" width="9.42578125" style="50" customWidth="1"/>
    <col min="4357" max="4357" width="10" style="50" bestFit="1" customWidth="1"/>
    <col min="4358" max="4358" width="4.7109375" style="50" bestFit="1" customWidth="1"/>
    <col min="4359" max="4359" width="8.140625" style="50" customWidth="1"/>
    <col min="4360" max="4360" width="4.5703125" style="50" bestFit="1" customWidth="1"/>
    <col min="4361" max="4361" width="8.42578125" style="50" bestFit="1" customWidth="1"/>
    <col min="4362" max="4362" width="7.28515625" style="50" customWidth="1"/>
    <col min="4363" max="4363" width="10" style="50" customWidth="1"/>
    <col min="4364" max="4364" width="9.28515625" style="50" customWidth="1"/>
    <col min="4365" max="4365" width="8.5703125" style="50" customWidth="1"/>
    <col min="4366" max="4366" width="6.85546875" style="50" customWidth="1"/>
    <col min="4367" max="4367" width="7.28515625" style="50" customWidth="1"/>
    <col min="4368" max="4368" width="6.7109375" style="50" customWidth="1"/>
    <col min="4369" max="4369" width="8.5703125" style="50" customWidth="1"/>
    <col min="4370" max="4370" width="9.7109375" style="50" customWidth="1"/>
    <col min="4371" max="4371" width="4.42578125" style="50" customWidth="1"/>
    <col min="4372" max="4372" width="2.7109375" style="50" customWidth="1"/>
    <col min="4373" max="4373" width="4.42578125" style="50" customWidth="1"/>
    <col min="4374" max="4374" width="4.85546875" style="50" bestFit="1" customWidth="1"/>
    <col min="4375" max="4375" width="4.85546875" style="50" customWidth="1"/>
    <col min="4376" max="4376" width="8.42578125" style="50" customWidth="1"/>
    <col min="4377" max="4377" width="4.7109375" style="50" customWidth="1"/>
    <col min="4378" max="4378" width="5.7109375" style="50" customWidth="1"/>
    <col min="4379" max="4379" width="4.5703125" style="50" bestFit="1" customWidth="1"/>
    <col min="4380" max="4380" width="4.7109375" style="50" bestFit="1" customWidth="1"/>
    <col min="4381" max="4381" width="6.28515625" style="50" customWidth="1"/>
    <col min="4382" max="4382" width="75.28515625" style="50" bestFit="1" customWidth="1"/>
    <col min="4383" max="4608" width="9.140625" style="50"/>
    <col min="4609" max="4609" width="0.5703125" style="50" customWidth="1"/>
    <col min="4610" max="4610" width="6.140625" style="50" customWidth="1"/>
    <col min="4611" max="4611" width="8.85546875" style="50" customWidth="1"/>
    <col min="4612" max="4612" width="9.42578125" style="50" customWidth="1"/>
    <col min="4613" max="4613" width="10" style="50" bestFit="1" customWidth="1"/>
    <col min="4614" max="4614" width="4.7109375" style="50" bestFit="1" customWidth="1"/>
    <col min="4615" max="4615" width="8.140625" style="50" customWidth="1"/>
    <col min="4616" max="4616" width="4.5703125" style="50" bestFit="1" customWidth="1"/>
    <col min="4617" max="4617" width="8.42578125" style="50" bestFit="1" customWidth="1"/>
    <col min="4618" max="4618" width="7.28515625" style="50" customWidth="1"/>
    <col min="4619" max="4619" width="10" style="50" customWidth="1"/>
    <col min="4620" max="4620" width="9.28515625" style="50" customWidth="1"/>
    <col min="4621" max="4621" width="8.5703125" style="50" customWidth="1"/>
    <col min="4622" max="4622" width="6.85546875" style="50" customWidth="1"/>
    <col min="4623" max="4623" width="7.28515625" style="50" customWidth="1"/>
    <col min="4624" max="4624" width="6.7109375" style="50" customWidth="1"/>
    <col min="4625" max="4625" width="8.5703125" style="50" customWidth="1"/>
    <col min="4626" max="4626" width="9.7109375" style="50" customWidth="1"/>
    <col min="4627" max="4627" width="4.42578125" style="50" customWidth="1"/>
    <col min="4628" max="4628" width="2.7109375" style="50" customWidth="1"/>
    <col min="4629" max="4629" width="4.42578125" style="50" customWidth="1"/>
    <col min="4630" max="4630" width="4.85546875" style="50" bestFit="1" customWidth="1"/>
    <col min="4631" max="4631" width="4.85546875" style="50" customWidth="1"/>
    <col min="4632" max="4632" width="8.42578125" style="50" customWidth="1"/>
    <col min="4633" max="4633" width="4.7109375" style="50" customWidth="1"/>
    <col min="4634" max="4634" width="5.7109375" style="50" customWidth="1"/>
    <col min="4635" max="4635" width="4.5703125" style="50" bestFit="1" customWidth="1"/>
    <col min="4636" max="4636" width="4.7109375" style="50" bestFit="1" customWidth="1"/>
    <col min="4637" max="4637" width="6.28515625" style="50" customWidth="1"/>
    <col min="4638" max="4638" width="75.28515625" style="50" bestFit="1" customWidth="1"/>
    <col min="4639" max="4864" width="9.140625" style="50"/>
    <col min="4865" max="4865" width="0.5703125" style="50" customWidth="1"/>
    <col min="4866" max="4866" width="6.140625" style="50" customWidth="1"/>
    <col min="4867" max="4867" width="8.85546875" style="50" customWidth="1"/>
    <col min="4868" max="4868" width="9.42578125" style="50" customWidth="1"/>
    <col min="4869" max="4869" width="10" style="50" bestFit="1" customWidth="1"/>
    <col min="4870" max="4870" width="4.7109375" style="50" bestFit="1" customWidth="1"/>
    <col min="4871" max="4871" width="8.140625" style="50" customWidth="1"/>
    <col min="4872" max="4872" width="4.5703125" style="50" bestFit="1" customWidth="1"/>
    <col min="4873" max="4873" width="8.42578125" style="50" bestFit="1" customWidth="1"/>
    <col min="4874" max="4874" width="7.28515625" style="50" customWidth="1"/>
    <col min="4875" max="4875" width="10" style="50" customWidth="1"/>
    <col min="4876" max="4876" width="9.28515625" style="50" customWidth="1"/>
    <col min="4877" max="4877" width="8.5703125" style="50" customWidth="1"/>
    <col min="4878" max="4878" width="6.85546875" style="50" customWidth="1"/>
    <col min="4879" max="4879" width="7.28515625" style="50" customWidth="1"/>
    <col min="4880" max="4880" width="6.7109375" style="50" customWidth="1"/>
    <col min="4881" max="4881" width="8.5703125" style="50" customWidth="1"/>
    <col min="4882" max="4882" width="9.7109375" style="50" customWidth="1"/>
    <col min="4883" max="4883" width="4.42578125" style="50" customWidth="1"/>
    <col min="4884" max="4884" width="2.7109375" style="50" customWidth="1"/>
    <col min="4885" max="4885" width="4.42578125" style="50" customWidth="1"/>
    <col min="4886" max="4886" width="4.85546875" style="50" bestFit="1" customWidth="1"/>
    <col min="4887" max="4887" width="4.85546875" style="50" customWidth="1"/>
    <col min="4888" max="4888" width="8.42578125" style="50" customWidth="1"/>
    <col min="4889" max="4889" width="4.7109375" style="50" customWidth="1"/>
    <col min="4890" max="4890" width="5.7109375" style="50" customWidth="1"/>
    <col min="4891" max="4891" width="4.5703125" style="50" bestFit="1" customWidth="1"/>
    <col min="4892" max="4892" width="4.7109375" style="50" bestFit="1" customWidth="1"/>
    <col min="4893" max="4893" width="6.28515625" style="50" customWidth="1"/>
    <col min="4894" max="4894" width="75.28515625" style="50" bestFit="1" customWidth="1"/>
    <col min="4895" max="5120" width="9.140625" style="50"/>
    <col min="5121" max="5121" width="0.5703125" style="50" customWidth="1"/>
    <col min="5122" max="5122" width="6.140625" style="50" customWidth="1"/>
    <col min="5123" max="5123" width="8.85546875" style="50" customWidth="1"/>
    <col min="5124" max="5124" width="9.42578125" style="50" customWidth="1"/>
    <col min="5125" max="5125" width="10" style="50" bestFit="1" customWidth="1"/>
    <col min="5126" max="5126" width="4.7109375" style="50" bestFit="1" customWidth="1"/>
    <col min="5127" max="5127" width="8.140625" style="50" customWidth="1"/>
    <col min="5128" max="5128" width="4.5703125" style="50" bestFit="1" customWidth="1"/>
    <col min="5129" max="5129" width="8.42578125" style="50" bestFit="1" customWidth="1"/>
    <col min="5130" max="5130" width="7.28515625" style="50" customWidth="1"/>
    <col min="5131" max="5131" width="10" style="50" customWidth="1"/>
    <col min="5132" max="5132" width="9.28515625" style="50" customWidth="1"/>
    <col min="5133" max="5133" width="8.5703125" style="50" customWidth="1"/>
    <col min="5134" max="5134" width="6.85546875" style="50" customWidth="1"/>
    <col min="5135" max="5135" width="7.28515625" style="50" customWidth="1"/>
    <col min="5136" max="5136" width="6.7109375" style="50" customWidth="1"/>
    <col min="5137" max="5137" width="8.5703125" style="50" customWidth="1"/>
    <col min="5138" max="5138" width="9.7109375" style="50" customWidth="1"/>
    <col min="5139" max="5139" width="4.42578125" style="50" customWidth="1"/>
    <col min="5140" max="5140" width="2.7109375" style="50" customWidth="1"/>
    <col min="5141" max="5141" width="4.42578125" style="50" customWidth="1"/>
    <col min="5142" max="5142" width="4.85546875" style="50" bestFit="1" customWidth="1"/>
    <col min="5143" max="5143" width="4.85546875" style="50" customWidth="1"/>
    <col min="5144" max="5144" width="8.42578125" style="50" customWidth="1"/>
    <col min="5145" max="5145" width="4.7109375" style="50" customWidth="1"/>
    <col min="5146" max="5146" width="5.7109375" style="50" customWidth="1"/>
    <col min="5147" max="5147" width="4.5703125" style="50" bestFit="1" customWidth="1"/>
    <col min="5148" max="5148" width="4.7109375" style="50" bestFit="1" customWidth="1"/>
    <col min="5149" max="5149" width="6.28515625" style="50" customWidth="1"/>
    <col min="5150" max="5150" width="75.28515625" style="50" bestFit="1" customWidth="1"/>
    <col min="5151" max="5376" width="9.140625" style="50"/>
    <col min="5377" max="5377" width="0.5703125" style="50" customWidth="1"/>
    <col min="5378" max="5378" width="6.140625" style="50" customWidth="1"/>
    <col min="5379" max="5379" width="8.85546875" style="50" customWidth="1"/>
    <col min="5380" max="5380" width="9.42578125" style="50" customWidth="1"/>
    <col min="5381" max="5381" width="10" style="50" bestFit="1" customWidth="1"/>
    <col min="5382" max="5382" width="4.7109375" style="50" bestFit="1" customWidth="1"/>
    <col min="5383" max="5383" width="8.140625" style="50" customWidth="1"/>
    <col min="5384" max="5384" width="4.5703125" style="50" bestFit="1" customWidth="1"/>
    <col min="5385" max="5385" width="8.42578125" style="50" bestFit="1" customWidth="1"/>
    <col min="5386" max="5386" width="7.28515625" style="50" customWidth="1"/>
    <col min="5387" max="5387" width="10" style="50" customWidth="1"/>
    <col min="5388" max="5388" width="9.28515625" style="50" customWidth="1"/>
    <col min="5389" max="5389" width="8.5703125" style="50" customWidth="1"/>
    <col min="5390" max="5390" width="6.85546875" style="50" customWidth="1"/>
    <col min="5391" max="5391" width="7.28515625" style="50" customWidth="1"/>
    <col min="5392" max="5392" width="6.7109375" style="50" customWidth="1"/>
    <col min="5393" max="5393" width="8.5703125" style="50" customWidth="1"/>
    <col min="5394" max="5394" width="9.7109375" style="50" customWidth="1"/>
    <col min="5395" max="5395" width="4.42578125" style="50" customWidth="1"/>
    <col min="5396" max="5396" width="2.7109375" style="50" customWidth="1"/>
    <col min="5397" max="5397" width="4.42578125" style="50" customWidth="1"/>
    <col min="5398" max="5398" width="4.85546875" style="50" bestFit="1" customWidth="1"/>
    <col min="5399" max="5399" width="4.85546875" style="50" customWidth="1"/>
    <col min="5400" max="5400" width="8.42578125" style="50" customWidth="1"/>
    <col min="5401" max="5401" width="4.7109375" style="50" customWidth="1"/>
    <col min="5402" max="5402" width="5.7109375" style="50" customWidth="1"/>
    <col min="5403" max="5403" width="4.5703125" style="50" bestFit="1" customWidth="1"/>
    <col min="5404" max="5404" width="4.7109375" style="50" bestFit="1" customWidth="1"/>
    <col min="5405" max="5405" width="6.28515625" style="50" customWidth="1"/>
    <col min="5406" max="5406" width="75.28515625" style="50" bestFit="1" customWidth="1"/>
    <col min="5407" max="5632" width="9.140625" style="50"/>
    <col min="5633" max="5633" width="0.5703125" style="50" customWidth="1"/>
    <col min="5634" max="5634" width="6.140625" style="50" customWidth="1"/>
    <col min="5635" max="5635" width="8.85546875" style="50" customWidth="1"/>
    <col min="5636" max="5636" width="9.42578125" style="50" customWidth="1"/>
    <col min="5637" max="5637" width="10" style="50" bestFit="1" customWidth="1"/>
    <col min="5638" max="5638" width="4.7109375" style="50" bestFit="1" customWidth="1"/>
    <col min="5639" max="5639" width="8.140625" style="50" customWidth="1"/>
    <col min="5640" max="5640" width="4.5703125" style="50" bestFit="1" customWidth="1"/>
    <col min="5641" max="5641" width="8.42578125" style="50" bestFit="1" customWidth="1"/>
    <col min="5642" max="5642" width="7.28515625" style="50" customWidth="1"/>
    <col min="5643" max="5643" width="10" style="50" customWidth="1"/>
    <col min="5644" max="5644" width="9.28515625" style="50" customWidth="1"/>
    <col min="5645" max="5645" width="8.5703125" style="50" customWidth="1"/>
    <col min="5646" max="5646" width="6.85546875" style="50" customWidth="1"/>
    <col min="5647" max="5647" width="7.28515625" style="50" customWidth="1"/>
    <col min="5648" max="5648" width="6.7109375" style="50" customWidth="1"/>
    <col min="5649" max="5649" width="8.5703125" style="50" customWidth="1"/>
    <col min="5650" max="5650" width="9.7109375" style="50" customWidth="1"/>
    <col min="5651" max="5651" width="4.42578125" style="50" customWidth="1"/>
    <col min="5652" max="5652" width="2.7109375" style="50" customWidth="1"/>
    <col min="5653" max="5653" width="4.42578125" style="50" customWidth="1"/>
    <col min="5654" max="5654" width="4.85546875" style="50" bestFit="1" customWidth="1"/>
    <col min="5655" max="5655" width="4.85546875" style="50" customWidth="1"/>
    <col min="5656" max="5656" width="8.42578125" style="50" customWidth="1"/>
    <col min="5657" max="5657" width="4.7109375" style="50" customWidth="1"/>
    <col min="5658" max="5658" width="5.7109375" style="50" customWidth="1"/>
    <col min="5659" max="5659" width="4.5703125" style="50" bestFit="1" customWidth="1"/>
    <col min="5660" max="5660" width="4.7109375" style="50" bestFit="1" customWidth="1"/>
    <col min="5661" max="5661" width="6.28515625" style="50" customWidth="1"/>
    <col min="5662" max="5662" width="75.28515625" style="50" bestFit="1" customWidth="1"/>
    <col min="5663" max="5888" width="9.140625" style="50"/>
    <col min="5889" max="5889" width="0.5703125" style="50" customWidth="1"/>
    <col min="5890" max="5890" width="6.140625" style="50" customWidth="1"/>
    <col min="5891" max="5891" width="8.85546875" style="50" customWidth="1"/>
    <col min="5892" max="5892" width="9.42578125" style="50" customWidth="1"/>
    <col min="5893" max="5893" width="10" style="50" bestFit="1" customWidth="1"/>
    <col min="5894" max="5894" width="4.7109375" style="50" bestFit="1" customWidth="1"/>
    <col min="5895" max="5895" width="8.140625" style="50" customWidth="1"/>
    <col min="5896" max="5896" width="4.5703125" style="50" bestFit="1" customWidth="1"/>
    <col min="5897" max="5897" width="8.42578125" style="50" bestFit="1" customWidth="1"/>
    <col min="5898" max="5898" width="7.28515625" style="50" customWidth="1"/>
    <col min="5899" max="5899" width="10" style="50" customWidth="1"/>
    <col min="5900" max="5900" width="9.28515625" style="50" customWidth="1"/>
    <col min="5901" max="5901" width="8.5703125" style="50" customWidth="1"/>
    <col min="5902" max="5902" width="6.85546875" style="50" customWidth="1"/>
    <col min="5903" max="5903" width="7.28515625" style="50" customWidth="1"/>
    <col min="5904" max="5904" width="6.7109375" style="50" customWidth="1"/>
    <col min="5905" max="5905" width="8.5703125" style="50" customWidth="1"/>
    <col min="5906" max="5906" width="9.7109375" style="50" customWidth="1"/>
    <col min="5907" max="5907" width="4.42578125" style="50" customWidth="1"/>
    <col min="5908" max="5908" width="2.7109375" style="50" customWidth="1"/>
    <col min="5909" max="5909" width="4.42578125" style="50" customWidth="1"/>
    <col min="5910" max="5910" width="4.85546875" style="50" bestFit="1" customWidth="1"/>
    <col min="5911" max="5911" width="4.85546875" style="50" customWidth="1"/>
    <col min="5912" max="5912" width="8.42578125" style="50" customWidth="1"/>
    <col min="5913" max="5913" width="4.7109375" style="50" customWidth="1"/>
    <col min="5914" max="5914" width="5.7109375" style="50" customWidth="1"/>
    <col min="5915" max="5915" width="4.5703125" style="50" bestFit="1" customWidth="1"/>
    <col min="5916" max="5916" width="4.7109375" style="50" bestFit="1" customWidth="1"/>
    <col min="5917" max="5917" width="6.28515625" style="50" customWidth="1"/>
    <col min="5918" max="5918" width="75.28515625" style="50" bestFit="1" customWidth="1"/>
    <col min="5919" max="6144" width="9.140625" style="50"/>
    <col min="6145" max="6145" width="0.5703125" style="50" customWidth="1"/>
    <col min="6146" max="6146" width="6.140625" style="50" customWidth="1"/>
    <col min="6147" max="6147" width="8.85546875" style="50" customWidth="1"/>
    <col min="6148" max="6148" width="9.42578125" style="50" customWidth="1"/>
    <col min="6149" max="6149" width="10" style="50" bestFit="1" customWidth="1"/>
    <col min="6150" max="6150" width="4.7109375" style="50" bestFit="1" customWidth="1"/>
    <col min="6151" max="6151" width="8.140625" style="50" customWidth="1"/>
    <col min="6152" max="6152" width="4.5703125" style="50" bestFit="1" customWidth="1"/>
    <col min="6153" max="6153" width="8.42578125" style="50" bestFit="1" customWidth="1"/>
    <col min="6154" max="6154" width="7.28515625" style="50" customWidth="1"/>
    <col min="6155" max="6155" width="10" style="50" customWidth="1"/>
    <col min="6156" max="6156" width="9.28515625" style="50" customWidth="1"/>
    <col min="6157" max="6157" width="8.5703125" style="50" customWidth="1"/>
    <col min="6158" max="6158" width="6.85546875" style="50" customWidth="1"/>
    <col min="6159" max="6159" width="7.28515625" style="50" customWidth="1"/>
    <col min="6160" max="6160" width="6.7109375" style="50" customWidth="1"/>
    <col min="6161" max="6161" width="8.5703125" style="50" customWidth="1"/>
    <col min="6162" max="6162" width="9.7109375" style="50" customWidth="1"/>
    <col min="6163" max="6163" width="4.42578125" style="50" customWidth="1"/>
    <col min="6164" max="6164" width="2.7109375" style="50" customWidth="1"/>
    <col min="6165" max="6165" width="4.42578125" style="50" customWidth="1"/>
    <col min="6166" max="6166" width="4.85546875" style="50" bestFit="1" customWidth="1"/>
    <col min="6167" max="6167" width="4.85546875" style="50" customWidth="1"/>
    <col min="6168" max="6168" width="8.42578125" style="50" customWidth="1"/>
    <col min="6169" max="6169" width="4.7109375" style="50" customWidth="1"/>
    <col min="6170" max="6170" width="5.7109375" style="50" customWidth="1"/>
    <col min="6171" max="6171" width="4.5703125" style="50" bestFit="1" customWidth="1"/>
    <col min="6172" max="6172" width="4.7109375" style="50" bestFit="1" customWidth="1"/>
    <col min="6173" max="6173" width="6.28515625" style="50" customWidth="1"/>
    <col min="6174" max="6174" width="75.28515625" style="50" bestFit="1" customWidth="1"/>
    <col min="6175" max="6400" width="9.140625" style="50"/>
    <col min="6401" max="6401" width="0.5703125" style="50" customWidth="1"/>
    <col min="6402" max="6402" width="6.140625" style="50" customWidth="1"/>
    <col min="6403" max="6403" width="8.85546875" style="50" customWidth="1"/>
    <col min="6404" max="6404" width="9.42578125" style="50" customWidth="1"/>
    <col min="6405" max="6405" width="10" style="50" bestFit="1" customWidth="1"/>
    <col min="6406" max="6406" width="4.7109375" style="50" bestFit="1" customWidth="1"/>
    <col min="6407" max="6407" width="8.140625" style="50" customWidth="1"/>
    <col min="6408" max="6408" width="4.5703125" style="50" bestFit="1" customWidth="1"/>
    <col min="6409" max="6409" width="8.42578125" style="50" bestFit="1" customWidth="1"/>
    <col min="6410" max="6410" width="7.28515625" style="50" customWidth="1"/>
    <col min="6411" max="6411" width="10" style="50" customWidth="1"/>
    <col min="6412" max="6412" width="9.28515625" style="50" customWidth="1"/>
    <col min="6413" max="6413" width="8.5703125" style="50" customWidth="1"/>
    <col min="6414" max="6414" width="6.85546875" style="50" customWidth="1"/>
    <col min="6415" max="6415" width="7.28515625" style="50" customWidth="1"/>
    <col min="6416" max="6416" width="6.7109375" style="50" customWidth="1"/>
    <col min="6417" max="6417" width="8.5703125" style="50" customWidth="1"/>
    <col min="6418" max="6418" width="9.7109375" style="50" customWidth="1"/>
    <col min="6419" max="6419" width="4.42578125" style="50" customWidth="1"/>
    <col min="6420" max="6420" width="2.7109375" style="50" customWidth="1"/>
    <col min="6421" max="6421" width="4.42578125" style="50" customWidth="1"/>
    <col min="6422" max="6422" width="4.85546875" style="50" bestFit="1" customWidth="1"/>
    <col min="6423" max="6423" width="4.85546875" style="50" customWidth="1"/>
    <col min="6424" max="6424" width="8.42578125" style="50" customWidth="1"/>
    <col min="6425" max="6425" width="4.7109375" style="50" customWidth="1"/>
    <col min="6426" max="6426" width="5.7109375" style="50" customWidth="1"/>
    <col min="6427" max="6427" width="4.5703125" style="50" bestFit="1" customWidth="1"/>
    <col min="6428" max="6428" width="4.7109375" style="50" bestFit="1" customWidth="1"/>
    <col min="6429" max="6429" width="6.28515625" style="50" customWidth="1"/>
    <col min="6430" max="6430" width="75.28515625" style="50" bestFit="1" customWidth="1"/>
    <col min="6431" max="6656" width="9.140625" style="50"/>
    <col min="6657" max="6657" width="0.5703125" style="50" customWidth="1"/>
    <col min="6658" max="6658" width="6.140625" style="50" customWidth="1"/>
    <col min="6659" max="6659" width="8.85546875" style="50" customWidth="1"/>
    <col min="6660" max="6660" width="9.42578125" style="50" customWidth="1"/>
    <col min="6661" max="6661" width="10" style="50" bestFit="1" customWidth="1"/>
    <col min="6662" max="6662" width="4.7109375" style="50" bestFit="1" customWidth="1"/>
    <col min="6663" max="6663" width="8.140625" style="50" customWidth="1"/>
    <col min="6664" max="6664" width="4.5703125" style="50" bestFit="1" customWidth="1"/>
    <col min="6665" max="6665" width="8.42578125" style="50" bestFit="1" customWidth="1"/>
    <col min="6666" max="6666" width="7.28515625" style="50" customWidth="1"/>
    <col min="6667" max="6667" width="10" style="50" customWidth="1"/>
    <col min="6668" max="6668" width="9.28515625" style="50" customWidth="1"/>
    <col min="6669" max="6669" width="8.5703125" style="50" customWidth="1"/>
    <col min="6670" max="6670" width="6.85546875" style="50" customWidth="1"/>
    <col min="6671" max="6671" width="7.28515625" style="50" customWidth="1"/>
    <col min="6672" max="6672" width="6.7109375" style="50" customWidth="1"/>
    <col min="6673" max="6673" width="8.5703125" style="50" customWidth="1"/>
    <col min="6674" max="6674" width="9.7109375" style="50" customWidth="1"/>
    <col min="6675" max="6675" width="4.42578125" style="50" customWidth="1"/>
    <col min="6676" max="6676" width="2.7109375" style="50" customWidth="1"/>
    <col min="6677" max="6677" width="4.42578125" style="50" customWidth="1"/>
    <col min="6678" max="6678" width="4.85546875" style="50" bestFit="1" customWidth="1"/>
    <col min="6679" max="6679" width="4.85546875" style="50" customWidth="1"/>
    <col min="6680" max="6680" width="8.42578125" style="50" customWidth="1"/>
    <col min="6681" max="6681" width="4.7109375" style="50" customWidth="1"/>
    <col min="6682" max="6682" width="5.7109375" style="50" customWidth="1"/>
    <col min="6683" max="6683" width="4.5703125" style="50" bestFit="1" customWidth="1"/>
    <col min="6684" max="6684" width="4.7109375" style="50" bestFit="1" customWidth="1"/>
    <col min="6685" max="6685" width="6.28515625" style="50" customWidth="1"/>
    <col min="6686" max="6686" width="75.28515625" style="50" bestFit="1" customWidth="1"/>
    <col min="6687" max="6912" width="9.140625" style="50"/>
    <col min="6913" max="6913" width="0.5703125" style="50" customWidth="1"/>
    <col min="6914" max="6914" width="6.140625" style="50" customWidth="1"/>
    <col min="6915" max="6915" width="8.85546875" style="50" customWidth="1"/>
    <col min="6916" max="6916" width="9.42578125" style="50" customWidth="1"/>
    <col min="6917" max="6917" width="10" style="50" bestFit="1" customWidth="1"/>
    <col min="6918" max="6918" width="4.7109375" style="50" bestFit="1" customWidth="1"/>
    <col min="6919" max="6919" width="8.140625" style="50" customWidth="1"/>
    <col min="6920" max="6920" width="4.5703125" style="50" bestFit="1" customWidth="1"/>
    <col min="6921" max="6921" width="8.42578125" style="50" bestFit="1" customWidth="1"/>
    <col min="6922" max="6922" width="7.28515625" style="50" customWidth="1"/>
    <col min="6923" max="6923" width="10" style="50" customWidth="1"/>
    <col min="6924" max="6924" width="9.28515625" style="50" customWidth="1"/>
    <col min="6925" max="6925" width="8.5703125" style="50" customWidth="1"/>
    <col min="6926" max="6926" width="6.85546875" style="50" customWidth="1"/>
    <col min="6927" max="6927" width="7.28515625" style="50" customWidth="1"/>
    <col min="6928" max="6928" width="6.7109375" style="50" customWidth="1"/>
    <col min="6929" max="6929" width="8.5703125" style="50" customWidth="1"/>
    <col min="6930" max="6930" width="9.7109375" style="50" customWidth="1"/>
    <col min="6931" max="6931" width="4.42578125" style="50" customWidth="1"/>
    <col min="6932" max="6932" width="2.7109375" style="50" customWidth="1"/>
    <col min="6933" max="6933" width="4.42578125" style="50" customWidth="1"/>
    <col min="6934" max="6934" width="4.85546875" style="50" bestFit="1" customWidth="1"/>
    <col min="6935" max="6935" width="4.85546875" style="50" customWidth="1"/>
    <col min="6936" max="6936" width="8.42578125" style="50" customWidth="1"/>
    <col min="6937" max="6937" width="4.7109375" style="50" customWidth="1"/>
    <col min="6938" max="6938" width="5.7109375" style="50" customWidth="1"/>
    <col min="6939" max="6939" width="4.5703125" style="50" bestFit="1" customWidth="1"/>
    <col min="6940" max="6940" width="4.7109375" style="50" bestFit="1" customWidth="1"/>
    <col min="6941" max="6941" width="6.28515625" style="50" customWidth="1"/>
    <col min="6942" max="6942" width="75.28515625" style="50" bestFit="1" customWidth="1"/>
    <col min="6943" max="7168" width="9.140625" style="50"/>
    <col min="7169" max="7169" width="0.5703125" style="50" customWidth="1"/>
    <col min="7170" max="7170" width="6.140625" style="50" customWidth="1"/>
    <col min="7171" max="7171" width="8.85546875" style="50" customWidth="1"/>
    <col min="7172" max="7172" width="9.42578125" style="50" customWidth="1"/>
    <col min="7173" max="7173" width="10" style="50" bestFit="1" customWidth="1"/>
    <col min="7174" max="7174" width="4.7109375" style="50" bestFit="1" customWidth="1"/>
    <col min="7175" max="7175" width="8.140625" style="50" customWidth="1"/>
    <col min="7176" max="7176" width="4.5703125" style="50" bestFit="1" customWidth="1"/>
    <col min="7177" max="7177" width="8.42578125" style="50" bestFit="1" customWidth="1"/>
    <col min="7178" max="7178" width="7.28515625" style="50" customWidth="1"/>
    <col min="7179" max="7179" width="10" style="50" customWidth="1"/>
    <col min="7180" max="7180" width="9.28515625" style="50" customWidth="1"/>
    <col min="7181" max="7181" width="8.5703125" style="50" customWidth="1"/>
    <col min="7182" max="7182" width="6.85546875" style="50" customWidth="1"/>
    <col min="7183" max="7183" width="7.28515625" style="50" customWidth="1"/>
    <col min="7184" max="7184" width="6.7109375" style="50" customWidth="1"/>
    <col min="7185" max="7185" width="8.5703125" style="50" customWidth="1"/>
    <col min="7186" max="7186" width="9.7109375" style="50" customWidth="1"/>
    <col min="7187" max="7187" width="4.42578125" style="50" customWidth="1"/>
    <col min="7188" max="7188" width="2.7109375" style="50" customWidth="1"/>
    <col min="7189" max="7189" width="4.42578125" style="50" customWidth="1"/>
    <col min="7190" max="7190" width="4.85546875" style="50" bestFit="1" customWidth="1"/>
    <col min="7191" max="7191" width="4.85546875" style="50" customWidth="1"/>
    <col min="7192" max="7192" width="8.42578125" style="50" customWidth="1"/>
    <col min="7193" max="7193" width="4.7109375" style="50" customWidth="1"/>
    <col min="7194" max="7194" width="5.7109375" style="50" customWidth="1"/>
    <col min="7195" max="7195" width="4.5703125" style="50" bestFit="1" customWidth="1"/>
    <col min="7196" max="7196" width="4.7109375" style="50" bestFit="1" customWidth="1"/>
    <col min="7197" max="7197" width="6.28515625" style="50" customWidth="1"/>
    <col min="7198" max="7198" width="75.28515625" style="50" bestFit="1" customWidth="1"/>
    <col min="7199" max="7424" width="9.140625" style="50"/>
    <col min="7425" max="7425" width="0.5703125" style="50" customWidth="1"/>
    <col min="7426" max="7426" width="6.140625" style="50" customWidth="1"/>
    <col min="7427" max="7427" width="8.85546875" style="50" customWidth="1"/>
    <col min="7428" max="7428" width="9.42578125" style="50" customWidth="1"/>
    <col min="7429" max="7429" width="10" style="50" bestFit="1" customWidth="1"/>
    <col min="7430" max="7430" width="4.7109375" style="50" bestFit="1" customWidth="1"/>
    <col min="7431" max="7431" width="8.140625" style="50" customWidth="1"/>
    <col min="7432" max="7432" width="4.5703125" style="50" bestFit="1" customWidth="1"/>
    <col min="7433" max="7433" width="8.42578125" style="50" bestFit="1" customWidth="1"/>
    <col min="7434" max="7434" width="7.28515625" style="50" customWidth="1"/>
    <col min="7435" max="7435" width="10" style="50" customWidth="1"/>
    <col min="7436" max="7436" width="9.28515625" style="50" customWidth="1"/>
    <col min="7437" max="7437" width="8.5703125" style="50" customWidth="1"/>
    <col min="7438" max="7438" width="6.85546875" style="50" customWidth="1"/>
    <col min="7439" max="7439" width="7.28515625" style="50" customWidth="1"/>
    <col min="7440" max="7440" width="6.7109375" style="50" customWidth="1"/>
    <col min="7441" max="7441" width="8.5703125" style="50" customWidth="1"/>
    <col min="7442" max="7442" width="9.7109375" style="50" customWidth="1"/>
    <col min="7443" max="7443" width="4.42578125" style="50" customWidth="1"/>
    <col min="7444" max="7444" width="2.7109375" style="50" customWidth="1"/>
    <col min="7445" max="7445" width="4.42578125" style="50" customWidth="1"/>
    <col min="7446" max="7446" width="4.85546875" style="50" bestFit="1" customWidth="1"/>
    <col min="7447" max="7447" width="4.85546875" style="50" customWidth="1"/>
    <col min="7448" max="7448" width="8.42578125" style="50" customWidth="1"/>
    <col min="7449" max="7449" width="4.7109375" style="50" customWidth="1"/>
    <col min="7450" max="7450" width="5.7109375" style="50" customWidth="1"/>
    <col min="7451" max="7451" width="4.5703125" style="50" bestFit="1" customWidth="1"/>
    <col min="7452" max="7452" width="4.7109375" style="50" bestFit="1" customWidth="1"/>
    <col min="7453" max="7453" width="6.28515625" style="50" customWidth="1"/>
    <col min="7454" max="7454" width="75.28515625" style="50" bestFit="1" customWidth="1"/>
    <col min="7455" max="7680" width="9.140625" style="50"/>
    <col min="7681" max="7681" width="0.5703125" style="50" customWidth="1"/>
    <col min="7682" max="7682" width="6.140625" style="50" customWidth="1"/>
    <col min="7683" max="7683" width="8.85546875" style="50" customWidth="1"/>
    <col min="7684" max="7684" width="9.42578125" style="50" customWidth="1"/>
    <col min="7685" max="7685" width="10" style="50" bestFit="1" customWidth="1"/>
    <col min="7686" max="7686" width="4.7109375" style="50" bestFit="1" customWidth="1"/>
    <col min="7687" max="7687" width="8.140625" style="50" customWidth="1"/>
    <col min="7688" max="7688" width="4.5703125" style="50" bestFit="1" customWidth="1"/>
    <col min="7689" max="7689" width="8.42578125" style="50" bestFit="1" customWidth="1"/>
    <col min="7690" max="7690" width="7.28515625" style="50" customWidth="1"/>
    <col min="7691" max="7691" width="10" style="50" customWidth="1"/>
    <col min="7692" max="7692" width="9.28515625" style="50" customWidth="1"/>
    <col min="7693" max="7693" width="8.5703125" style="50" customWidth="1"/>
    <col min="7694" max="7694" width="6.85546875" style="50" customWidth="1"/>
    <col min="7695" max="7695" width="7.28515625" style="50" customWidth="1"/>
    <col min="7696" max="7696" width="6.7109375" style="50" customWidth="1"/>
    <col min="7697" max="7697" width="8.5703125" style="50" customWidth="1"/>
    <col min="7698" max="7698" width="9.7109375" style="50" customWidth="1"/>
    <col min="7699" max="7699" width="4.42578125" style="50" customWidth="1"/>
    <col min="7700" max="7700" width="2.7109375" style="50" customWidth="1"/>
    <col min="7701" max="7701" width="4.42578125" style="50" customWidth="1"/>
    <col min="7702" max="7702" width="4.85546875" style="50" bestFit="1" customWidth="1"/>
    <col min="7703" max="7703" width="4.85546875" style="50" customWidth="1"/>
    <col min="7704" max="7704" width="8.42578125" style="50" customWidth="1"/>
    <col min="7705" max="7705" width="4.7109375" style="50" customWidth="1"/>
    <col min="7706" max="7706" width="5.7109375" style="50" customWidth="1"/>
    <col min="7707" max="7707" width="4.5703125" style="50" bestFit="1" customWidth="1"/>
    <col min="7708" max="7708" width="4.7109375" style="50" bestFit="1" customWidth="1"/>
    <col min="7709" max="7709" width="6.28515625" style="50" customWidth="1"/>
    <col min="7710" max="7710" width="75.28515625" style="50" bestFit="1" customWidth="1"/>
    <col min="7711" max="7936" width="9.140625" style="50"/>
    <col min="7937" max="7937" width="0.5703125" style="50" customWidth="1"/>
    <col min="7938" max="7938" width="6.140625" style="50" customWidth="1"/>
    <col min="7939" max="7939" width="8.85546875" style="50" customWidth="1"/>
    <col min="7940" max="7940" width="9.42578125" style="50" customWidth="1"/>
    <col min="7941" max="7941" width="10" style="50" bestFit="1" customWidth="1"/>
    <col min="7942" max="7942" width="4.7109375" style="50" bestFit="1" customWidth="1"/>
    <col min="7943" max="7943" width="8.140625" style="50" customWidth="1"/>
    <col min="7944" max="7944" width="4.5703125" style="50" bestFit="1" customWidth="1"/>
    <col min="7945" max="7945" width="8.42578125" style="50" bestFit="1" customWidth="1"/>
    <col min="7946" max="7946" width="7.28515625" style="50" customWidth="1"/>
    <col min="7947" max="7947" width="10" style="50" customWidth="1"/>
    <col min="7948" max="7948" width="9.28515625" style="50" customWidth="1"/>
    <col min="7949" max="7949" width="8.5703125" style="50" customWidth="1"/>
    <col min="7950" max="7950" width="6.85546875" style="50" customWidth="1"/>
    <col min="7951" max="7951" width="7.28515625" style="50" customWidth="1"/>
    <col min="7952" max="7952" width="6.7109375" style="50" customWidth="1"/>
    <col min="7953" max="7953" width="8.5703125" style="50" customWidth="1"/>
    <col min="7954" max="7954" width="9.7109375" style="50" customWidth="1"/>
    <col min="7955" max="7955" width="4.42578125" style="50" customWidth="1"/>
    <col min="7956" max="7956" width="2.7109375" style="50" customWidth="1"/>
    <col min="7957" max="7957" width="4.42578125" style="50" customWidth="1"/>
    <col min="7958" max="7958" width="4.85546875" style="50" bestFit="1" customWidth="1"/>
    <col min="7959" max="7959" width="4.85546875" style="50" customWidth="1"/>
    <col min="7960" max="7960" width="8.42578125" style="50" customWidth="1"/>
    <col min="7961" max="7961" width="4.7109375" style="50" customWidth="1"/>
    <col min="7962" max="7962" width="5.7109375" style="50" customWidth="1"/>
    <col min="7963" max="7963" width="4.5703125" style="50" bestFit="1" customWidth="1"/>
    <col min="7964" max="7964" width="4.7109375" style="50" bestFit="1" customWidth="1"/>
    <col min="7965" max="7965" width="6.28515625" style="50" customWidth="1"/>
    <col min="7966" max="7966" width="75.28515625" style="50" bestFit="1" customWidth="1"/>
    <col min="7967" max="8192" width="9.140625" style="50"/>
    <col min="8193" max="8193" width="0.5703125" style="50" customWidth="1"/>
    <col min="8194" max="8194" width="6.140625" style="50" customWidth="1"/>
    <col min="8195" max="8195" width="8.85546875" style="50" customWidth="1"/>
    <col min="8196" max="8196" width="9.42578125" style="50" customWidth="1"/>
    <col min="8197" max="8197" width="10" style="50" bestFit="1" customWidth="1"/>
    <col min="8198" max="8198" width="4.7109375" style="50" bestFit="1" customWidth="1"/>
    <col min="8199" max="8199" width="8.140625" style="50" customWidth="1"/>
    <col min="8200" max="8200" width="4.5703125" style="50" bestFit="1" customWidth="1"/>
    <col min="8201" max="8201" width="8.42578125" style="50" bestFit="1" customWidth="1"/>
    <col min="8202" max="8202" width="7.28515625" style="50" customWidth="1"/>
    <col min="8203" max="8203" width="10" style="50" customWidth="1"/>
    <col min="8204" max="8204" width="9.28515625" style="50" customWidth="1"/>
    <col min="8205" max="8205" width="8.5703125" style="50" customWidth="1"/>
    <col min="8206" max="8206" width="6.85546875" style="50" customWidth="1"/>
    <col min="8207" max="8207" width="7.28515625" style="50" customWidth="1"/>
    <col min="8208" max="8208" width="6.7109375" style="50" customWidth="1"/>
    <col min="8209" max="8209" width="8.5703125" style="50" customWidth="1"/>
    <col min="8210" max="8210" width="9.7109375" style="50" customWidth="1"/>
    <col min="8211" max="8211" width="4.42578125" style="50" customWidth="1"/>
    <col min="8212" max="8212" width="2.7109375" style="50" customWidth="1"/>
    <col min="8213" max="8213" width="4.42578125" style="50" customWidth="1"/>
    <col min="8214" max="8214" width="4.85546875" style="50" bestFit="1" customWidth="1"/>
    <col min="8215" max="8215" width="4.85546875" style="50" customWidth="1"/>
    <col min="8216" max="8216" width="8.42578125" style="50" customWidth="1"/>
    <col min="8217" max="8217" width="4.7109375" style="50" customWidth="1"/>
    <col min="8218" max="8218" width="5.7109375" style="50" customWidth="1"/>
    <col min="8219" max="8219" width="4.5703125" style="50" bestFit="1" customWidth="1"/>
    <col min="8220" max="8220" width="4.7109375" style="50" bestFit="1" customWidth="1"/>
    <col min="8221" max="8221" width="6.28515625" style="50" customWidth="1"/>
    <col min="8222" max="8222" width="75.28515625" style="50" bestFit="1" customWidth="1"/>
    <col min="8223" max="8448" width="9.140625" style="50"/>
    <col min="8449" max="8449" width="0.5703125" style="50" customWidth="1"/>
    <col min="8450" max="8450" width="6.140625" style="50" customWidth="1"/>
    <col min="8451" max="8451" width="8.85546875" style="50" customWidth="1"/>
    <col min="8452" max="8452" width="9.42578125" style="50" customWidth="1"/>
    <col min="8453" max="8453" width="10" style="50" bestFit="1" customWidth="1"/>
    <col min="8454" max="8454" width="4.7109375" style="50" bestFit="1" customWidth="1"/>
    <col min="8455" max="8455" width="8.140625" style="50" customWidth="1"/>
    <col min="8456" max="8456" width="4.5703125" style="50" bestFit="1" customWidth="1"/>
    <col min="8457" max="8457" width="8.42578125" style="50" bestFit="1" customWidth="1"/>
    <col min="8458" max="8458" width="7.28515625" style="50" customWidth="1"/>
    <col min="8459" max="8459" width="10" style="50" customWidth="1"/>
    <col min="8460" max="8460" width="9.28515625" style="50" customWidth="1"/>
    <col min="8461" max="8461" width="8.5703125" style="50" customWidth="1"/>
    <col min="8462" max="8462" width="6.85546875" style="50" customWidth="1"/>
    <col min="8463" max="8463" width="7.28515625" style="50" customWidth="1"/>
    <col min="8464" max="8464" width="6.7109375" style="50" customWidth="1"/>
    <col min="8465" max="8465" width="8.5703125" style="50" customWidth="1"/>
    <col min="8466" max="8466" width="9.7109375" style="50" customWidth="1"/>
    <col min="8467" max="8467" width="4.42578125" style="50" customWidth="1"/>
    <col min="8468" max="8468" width="2.7109375" style="50" customWidth="1"/>
    <col min="8469" max="8469" width="4.42578125" style="50" customWidth="1"/>
    <col min="8470" max="8470" width="4.85546875" style="50" bestFit="1" customWidth="1"/>
    <col min="8471" max="8471" width="4.85546875" style="50" customWidth="1"/>
    <col min="8472" max="8472" width="8.42578125" style="50" customWidth="1"/>
    <col min="8473" max="8473" width="4.7109375" style="50" customWidth="1"/>
    <col min="8474" max="8474" width="5.7109375" style="50" customWidth="1"/>
    <col min="8475" max="8475" width="4.5703125" style="50" bestFit="1" customWidth="1"/>
    <col min="8476" max="8476" width="4.7109375" style="50" bestFit="1" customWidth="1"/>
    <col min="8477" max="8477" width="6.28515625" style="50" customWidth="1"/>
    <col min="8478" max="8478" width="75.28515625" style="50" bestFit="1" customWidth="1"/>
    <col min="8479" max="8704" width="9.140625" style="50"/>
    <col min="8705" max="8705" width="0.5703125" style="50" customWidth="1"/>
    <col min="8706" max="8706" width="6.140625" style="50" customWidth="1"/>
    <col min="8707" max="8707" width="8.85546875" style="50" customWidth="1"/>
    <col min="8708" max="8708" width="9.42578125" style="50" customWidth="1"/>
    <col min="8709" max="8709" width="10" style="50" bestFit="1" customWidth="1"/>
    <col min="8710" max="8710" width="4.7109375" style="50" bestFit="1" customWidth="1"/>
    <col min="8711" max="8711" width="8.140625" style="50" customWidth="1"/>
    <col min="8712" max="8712" width="4.5703125" style="50" bestFit="1" customWidth="1"/>
    <col min="8713" max="8713" width="8.42578125" style="50" bestFit="1" customWidth="1"/>
    <col min="8714" max="8714" width="7.28515625" style="50" customWidth="1"/>
    <col min="8715" max="8715" width="10" style="50" customWidth="1"/>
    <col min="8716" max="8716" width="9.28515625" style="50" customWidth="1"/>
    <col min="8717" max="8717" width="8.5703125" style="50" customWidth="1"/>
    <col min="8718" max="8718" width="6.85546875" style="50" customWidth="1"/>
    <col min="8719" max="8719" width="7.28515625" style="50" customWidth="1"/>
    <col min="8720" max="8720" width="6.7109375" style="50" customWidth="1"/>
    <col min="8721" max="8721" width="8.5703125" style="50" customWidth="1"/>
    <col min="8722" max="8722" width="9.7109375" style="50" customWidth="1"/>
    <col min="8723" max="8723" width="4.42578125" style="50" customWidth="1"/>
    <col min="8724" max="8724" width="2.7109375" style="50" customWidth="1"/>
    <col min="8725" max="8725" width="4.42578125" style="50" customWidth="1"/>
    <col min="8726" max="8726" width="4.85546875" style="50" bestFit="1" customWidth="1"/>
    <col min="8727" max="8727" width="4.85546875" style="50" customWidth="1"/>
    <col min="8728" max="8728" width="8.42578125" style="50" customWidth="1"/>
    <col min="8729" max="8729" width="4.7109375" style="50" customWidth="1"/>
    <col min="8730" max="8730" width="5.7109375" style="50" customWidth="1"/>
    <col min="8731" max="8731" width="4.5703125" style="50" bestFit="1" customWidth="1"/>
    <col min="8732" max="8732" width="4.7109375" style="50" bestFit="1" customWidth="1"/>
    <col min="8733" max="8733" width="6.28515625" style="50" customWidth="1"/>
    <col min="8734" max="8734" width="75.28515625" style="50" bestFit="1" customWidth="1"/>
    <col min="8735" max="8960" width="9.140625" style="50"/>
    <col min="8961" max="8961" width="0.5703125" style="50" customWidth="1"/>
    <col min="8962" max="8962" width="6.140625" style="50" customWidth="1"/>
    <col min="8963" max="8963" width="8.85546875" style="50" customWidth="1"/>
    <col min="8964" max="8964" width="9.42578125" style="50" customWidth="1"/>
    <col min="8965" max="8965" width="10" style="50" bestFit="1" customWidth="1"/>
    <col min="8966" max="8966" width="4.7109375" style="50" bestFit="1" customWidth="1"/>
    <col min="8967" max="8967" width="8.140625" style="50" customWidth="1"/>
    <col min="8968" max="8968" width="4.5703125" style="50" bestFit="1" customWidth="1"/>
    <col min="8969" max="8969" width="8.42578125" style="50" bestFit="1" customWidth="1"/>
    <col min="8970" max="8970" width="7.28515625" style="50" customWidth="1"/>
    <col min="8971" max="8971" width="10" style="50" customWidth="1"/>
    <col min="8972" max="8972" width="9.28515625" style="50" customWidth="1"/>
    <col min="8973" max="8973" width="8.5703125" style="50" customWidth="1"/>
    <col min="8974" max="8974" width="6.85546875" style="50" customWidth="1"/>
    <col min="8975" max="8975" width="7.28515625" style="50" customWidth="1"/>
    <col min="8976" max="8976" width="6.7109375" style="50" customWidth="1"/>
    <col min="8977" max="8977" width="8.5703125" style="50" customWidth="1"/>
    <col min="8978" max="8978" width="9.7109375" style="50" customWidth="1"/>
    <col min="8979" max="8979" width="4.42578125" style="50" customWidth="1"/>
    <col min="8980" max="8980" width="2.7109375" style="50" customWidth="1"/>
    <col min="8981" max="8981" width="4.42578125" style="50" customWidth="1"/>
    <col min="8982" max="8982" width="4.85546875" style="50" bestFit="1" customWidth="1"/>
    <col min="8983" max="8983" width="4.85546875" style="50" customWidth="1"/>
    <col min="8984" max="8984" width="8.42578125" style="50" customWidth="1"/>
    <col min="8985" max="8985" width="4.7109375" style="50" customWidth="1"/>
    <col min="8986" max="8986" width="5.7109375" style="50" customWidth="1"/>
    <col min="8987" max="8987" width="4.5703125" style="50" bestFit="1" customWidth="1"/>
    <col min="8988" max="8988" width="4.7109375" style="50" bestFit="1" customWidth="1"/>
    <col min="8989" max="8989" width="6.28515625" style="50" customWidth="1"/>
    <col min="8990" max="8990" width="75.28515625" style="50" bestFit="1" customWidth="1"/>
    <col min="8991" max="9216" width="9.140625" style="50"/>
    <col min="9217" max="9217" width="0.5703125" style="50" customWidth="1"/>
    <col min="9218" max="9218" width="6.140625" style="50" customWidth="1"/>
    <col min="9219" max="9219" width="8.85546875" style="50" customWidth="1"/>
    <col min="9220" max="9220" width="9.42578125" style="50" customWidth="1"/>
    <col min="9221" max="9221" width="10" style="50" bestFit="1" customWidth="1"/>
    <col min="9222" max="9222" width="4.7109375" style="50" bestFit="1" customWidth="1"/>
    <col min="9223" max="9223" width="8.140625" style="50" customWidth="1"/>
    <col min="9224" max="9224" width="4.5703125" style="50" bestFit="1" customWidth="1"/>
    <col min="9225" max="9225" width="8.42578125" style="50" bestFit="1" customWidth="1"/>
    <col min="9226" max="9226" width="7.28515625" style="50" customWidth="1"/>
    <col min="9227" max="9227" width="10" style="50" customWidth="1"/>
    <col min="9228" max="9228" width="9.28515625" style="50" customWidth="1"/>
    <col min="9229" max="9229" width="8.5703125" style="50" customWidth="1"/>
    <col min="9230" max="9230" width="6.85546875" style="50" customWidth="1"/>
    <col min="9231" max="9231" width="7.28515625" style="50" customWidth="1"/>
    <col min="9232" max="9232" width="6.7109375" style="50" customWidth="1"/>
    <col min="9233" max="9233" width="8.5703125" style="50" customWidth="1"/>
    <col min="9234" max="9234" width="9.7109375" style="50" customWidth="1"/>
    <col min="9235" max="9235" width="4.42578125" style="50" customWidth="1"/>
    <col min="9236" max="9236" width="2.7109375" style="50" customWidth="1"/>
    <col min="9237" max="9237" width="4.42578125" style="50" customWidth="1"/>
    <col min="9238" max="9238" width="4.85546875" style="50" bestFit="1" customWidth="1"/>
    <col min="9239" max="9239" width="4.85546875" style="50" customWidth="1"/>
    <col min="9240" max="9240" width="8.42578125" style="50" customWidth="1"/>
    <col min="9241" max="9241" width="4.7109375" style="50" customWidth="1"/>
    <col min="9242" max="9242" width="5.7109375" style="50" customWidth="1"/>
    <col min="9243" max="9243" width="4.5703125" style="50" bestFit="1" customWidth="1"/>
    <col min="9244" max="9244" width="4.7109375" style="50" bestFit="1" customWidth="1"/>
    <col min="9245" max="9245" width="6.28515625" style="50" customWidth="1"/>
    <col min="9246" max="9246" width="75.28515625" style="50" bestFit="1" customWidth="1"/>
    <col min="9247" max="9472" width="9.140625" style="50"/>
    <col min="9473" max="9473" width="0.5703125" style="50" customWidth="1"/>
    <col min="9474" max="9474" width="6.140625" style="50" customWidth="1"/>
    <col min="9475" max="9475" width="8.85546875" style="50" customWidth="1"/>
    <col min="9476" max="9476" width="9.42578125" style="50" customWidth="1"/>
    <col min="9477" max="9477" width="10" style="50" bestFit="1" customWidth="1"/>
    <col min="9478" max="9478" width="4.7109375" style="50" bestFit="1" customWidth="1"/>
    <col min="9479" max="9479" width="8.140625" style="50" customWidth="1"/>
    <col min="9480" max="9480" width="4.5703125" style="50" bestFit="1" customWidth="1"/>
    <col min="9481" max="9481" width="8.42578125" style="50" bestFit="1" customWidth="1"/>
    <col min="9482" max="9482" width="7.28515625" style="50" customWidth="1"/>
    <col min="9483" max="9483" width="10" style="50" customWidth="1"/>
    <col min="9484" max="9484" width="9.28515625" style="50" customWidth="1"/>
    <col min="9485" max="9485" width="8.5703125" style="50" customWidth="1"/>
    <col min="9486" max="9486" width="6.85546875" style="50" customWidth="1"/>
    <col min="9487" max="9487" width="7.28515625" style="50" customWidth="1"/>
    <col min="9488" max="9488" width="6.7109375" style="50" customWidth="1"/>
    <col min="9489" max="9489" width="8.5703125" style="50" customWidth="1"/>
    <col min="9490" max="9490" width="9.7109375" style="50" customWidth="1"/>
    <col min="9491" max="9491" width="4.42578125" style="50" customWidth="1"/>
    <col min="9492" max="9492" width="2.7109375" style="50" customWidth="1"/>
    <col min="9493" max="9493" width="4.42578125" style="50" customWidth="1"/>
    <col min="9494" max="9494" width="4.85546875" style="50" bestFit="1" customWidth="1"/>
    <col min="9495" max="9495" width="4.85546875" style="50" customWidth="1"/>
    <col min="9496" max="9496" width="8.42578125" style="50" customWidth="1"/>
    <col min="9497" max="9497" width="4.7109375" style="50" customWidth="1"/>
    <col min="9498" max="9498" width="5.7109375" style="50" customWidth="1"/>
    <col min="9499" max="9499" width="4.5703125" style="50" bestFit="1" customWidth="1"/>
    <col min="9500" max="9500" width="4.7109375" style="50" bestFit="1" customWidth="1"/>
    <col min="9501" max="9501" width="6.28515625" style="50" customWidth="1"/>
    <col min="9502" max="9502" width="75.28515625" style="50" bestFit="1" customWidth="1"/>
    <col min="9503" max="9728" width="9.140625" style="50"/>
    <col min="9729" max="9729" width="0.5703125" style="50" customWidth="1"/>
    <col min="9730" max="9730" width="6.140625" style="50" customWidth="1"/>
    <col min="9731" max="9731" width="8.85546875" style="50" customWidth="1"/>
    <col min="9732" max="9732" width="9.42578125" style="50" customWidth="1"/>
    <col min="9733" max="9733" width="10" style="50" bestFit="1" customWidth="1"/>
    <col min="9734" max="9734" width="4.7109375" style="50" bestFit="1" customWidth="1"/>
    <col min="9735" max="9735" width="8.140625" style="50" customWidth="1"/>
    <col min="9736" max="9736" width="4.5703125" style="50" bestFit="1" customWidth="1"/>
    <col min="9737" max="9737" width="8.42578125" style="50" bestFit="1" customWidth="1"/>
    <col min="9738" max="9738" width="7.28515625" style="50" customWidth="1"/>
    <col min="9739" max="9739" width="10" style="50" customWidth="1"/>
    <col min="9740" max="9740" width="9.28515625" style="50" customWidth="1"/>
    <col min="9741" max="9741" width="8.5703125" style="50" customWidth="1"/>
    <col min="9742" max="9742" width="6.85546875" style="50" customWidth="1"/>
    <col min="9743" max="9743" width="7.28515625" style="50" customWidth="1"/>
    <col min="9744" max="9744" width="6.7109375" style="50" customWidth="1"/>
    <col min="9745" max="9745" width="8.5703125" style="50" customWidth="1"/>
    <col min="9746" max="9746" width="9.7109375" style="50" customWidth="1"/>
    <col min="9747" max="9747" width="4.42578125" style="50" customWidth="1"/>
    <col min="9748" max="9748" width="2.7109375" style="50" customWidth="1"/>
    <col min="9749" max="9749" width="4.42578125" style="50" customWidth="1"/>
    <col min="9750" max="9750" width="4.85546875" style="50" bestFit="1" customWidth="1"/>
    <col min="9751" max="9751" width="4.85546875" style="50" customWidth="1"/>
    <col min="9752" max="9752" width="8.42578125" style="50" customWidth="1"/>
    <col min="9753" max="9753" width="4.7109375" style="50" customWidth="1"/>
    <col min="9754" max="9754" width="5.7109375" style="50" customWidth="1"/>
    <col min="9755" max="9755" width="4.5703125" style="50" bestFit="1" customWidth="1"/>
    <col min="9756" max="9756" width="4.7109375" style="50" bestFit="1" customWidth="1"/>
    <col min="9757" max="9757" width="6.28515625" style="50" customWidth="1"/>
    <col min="9758" max="9758" width="75.28515625" style="50" bestFit="1" customWidth="1"/>
    <col min="9759" max="9984" width="9.140625" style="50"/>
    <col min="9985" max="9985" width="0.5703125" style="50" customWidth="1"/>
    <col min="9986" max="9986" width="6.140625" style="50" customWidth="1"/>
    <col min="9987" max="9987" width="8.85546875" style="50" customWidth="1"/>
    <col min="9988" max="9988" width="9.42578125" style="50" customWidth="1"/>
    <col min="9989" max="9989" width="10" style="50" bestFit="1" customWidth="1"/>
    <col min="9990" max="9990" width="4.7109375" style="50" bestFit="1" customWidth="1"/>
    <col min="9991" max="9991" width="8.140625" style="50" customWidth="1"/>
    <col min="9992" max="9992" width="4.5703125" style="50" bestFit="1" customWidth="1"/>
    <col min="9993" max="9993" width="8.42578125" style="50" bestFit="1" customWidth="1"/>
    <col min="9994" max="9994" width="7.28515625" style="50" customWidth="1"/>
    <col min="9995" max="9995" width="10" style="50" customWidth="1"/>
    <col min="9996" max="9996" width="9.28515625" style="50" customWidth="1"/>
    <col min="9997" max="9997" width="8.5703125" style="50" customWidth="1"/>
    <col min="9998" max="9998" width="6.85546875" style="50" customWidth="1"/>
    <col min="9999" max="9999" width="7.28515625" style="50" customWidth="1"/>
    <col min="10000" max="10000" width="6.7109375" style="50" customWidth="1"/>
    <col min="10001" max="10001" width="8.5703125" style="50" customWidth="1"/>
    <col min="10002" max="10002" width="9.7109375" style="50" customWidth="1"/>
    <col min="10003" max="10003" width="4.42578125" style="50" customWidth="1"/>
    <col min="10004" max="10004" width="2.7109375" style="50" customWidth="1"/>
    <col min="10005" max="10005" width="4.42578125" style="50" customWidth="1"/>
    <col min="10006" max="10006" width="4.85546875" style="50" bestFit="1" customWidth="1"/>
    <col min="10007" max="10007" width="4.85546875" style="50" customWidth="1"/>
    <col min="10008" max="10008" width="8.42578125" style="50" customWidth="1"/>
    <col min="10009" max="10009" width="4.7109375" style="50" customWidth="1"/>
    <col min="10010" max="10010" width="5.7109375" style="50" customWidth="1"/>
    <col min="10011" max="10011" width="4.5703125" style="50" bestFit="1" customWidth="1"/>
    <col min="10012" max="10012" width="4.7109375" style="50" bestFit="1" customWidth="1"/>
    <col min="10013" max="10013" width="6.28515625" style="50" customWidth="1"/>
    <col min="10014" max="10014" width="75.28515625" style="50" bestFit="1" customWidth="1"/>
    <col min="10015" max="10240" width="9.140625" style="50"/>
    <col min="10241" max="10241" width="0.5703125" style="50" customWidth="1"/>
    <col min="10242" max="10242" width="6.140625" style="50" customWidth="1"/>
    <col min="10243" max="10243" width="8.85546875" style="50" customWidth="1"/>
    <col min="10244" max="10244" width="9.42578125" style="50" customWidth="1"/>
    <col min="10245" max="10245" width="10" style="50" bestFit="1" customWidth="1"/>
    <col min="10246" max="10246" width="4.7109375" style="50" bestFit="1" customWidth="1"/>
    <col min="10247" max="10247" width="8.140625" style="50" customWidth="1"/>
    <col min="10248" max="10248" width="4.5703125" style="50" bestFit="1" customWidth="1"/>
    <col min="10249" max="10249" width="8.42578125" style="50" bestFit="1" customWidth="1"/>
    <col min="10250" max="10250" width="7.28515625" style="50" customWidth="1"/>
    <col min="10251" max="10251" width="10" style="50" customWidth="1"/>
    <col min="10252" max="10252" width="9.28515625" style="50" customWidth="1"/>
    <col min="10253" max="10253" width="8.5703125" style="50" customWidth="1"/>
    <col min="10254" max="10254" width="6.85546875" style="50" customWidth="1"/>
    <col min="10255" max="10255" width="7.28515625" style="50" customWidth="1"/>
    <col min="10256" max="10256" width="6.7109375" style="50" customWidth="1"/>
    <col min="10257" max="10257" width="8.5703125" style="50" customWidth="1"/>
    <col min="10258" max="10258" width="9.7109375" style="50" customWidth="1"/>
    <col min="10259" max="10259" width="4.42578125" style="50" customWidth="1"/>
    <col min="10260" max="10260" width="2.7109375" style="50" customWidth="1"/>
    <col min="10261" max="10261" width="4.42578125" style="50" customWidth="1"/>
    <col min="10262" max="10262" width="4.85546875" style="50" bestFit="1" customWidth="1"/>
    <col min="10263" max="10263" width="4.85546875" style="50" customWidth="1"/>
    <col min="10264" max="10264" width="8.42578125" style="50" customWidth="1"/>
    <col min="10265" max="10265" width="4.7109375" style="50" customWidth="1"/>
    <col min="10266" max="10266" width="5.7109375" style="50" customWidth="1"/>
    <col min="10267" max="10267" width="4.5703125" style="50" bestFit="1" customWidth="1"/>
    <col min="10268" max="10268" width="4.7109375" style="50" bestFit="1" customWidth="1"/>
    <col min="10269" max="10269" width="6.28515625" style="50" customWidth="1"/>
    <col min="10270" max="10270" width="75.28515625" style="50" bestFit="1" customWidth="1"/>
    <col min="10271" max="10496" width="9.140625" style="50"/>
    <col min="10497" max="10497" width="0.5703125" style="50" customWidth="1"/>
    <col min="10498" max="10498" width="6.140625" style="50" customWidth="1"/>
    <col min="10499" max="10499" width="8.85546875" style="50" customWidth="1"/>
    <col min="10500" max="10500" width="9.42578125" style="50" customWidth="1"/>
    <col min="10501" max="10501" width="10" style="50" bestFit="1" customWidth="1"/>
    <col min="10502" max="10502" width="4.7109375" style="50" bestFit="1" customWidth="1"/>
    <col min="10503" max="10503" width="8.140625" style="50" customWidth="1"/>
    <col min="10504" max="10504" width="4.5703125" style="50" bestFit="1" customWidth="1"/>
    <col min="10505" max="10505" width="8.42578125" style="50" bestFit="1" customWidth="1"/>
    <col min="10506" max="10506" width="7.28515625" style="50" customWidth="1"/>
    <col min="10507" max="10507" width="10" style="50" customWidth="1"/>
    <col min="10508" max="10508" width="9.28515625" style="50" customWidth="1"/>
    <col min="10509" max="10509" width="8.5703125" style="50" customWidth="1"/>
    <col min="10510" max="10510" width="6.85546875" style="50" customWidth="1"/>
    <col min="10511" max="10511" width="7.28515625" style="50" customWidth="1"/>
    <col min="10512" max="10512" width="6.7109375" style="50" customWidth="1"/>
    <col min="10513" max="10513" width="8.5703125" style="50" customWidth="1"/>
    <col min="10514" max="10514" width="9.7109375" style="50" customWidth="1"/>
    <col min="10515" max="10515" width="4.42578125" style="50" customWidth="1"/>
    <col min="10516" max="10516" width="2.7109375" style="50" customWidth="1"/>
    <col min="10517" max="10517" width="4.42578125" style="50" customWidth="1"/>
    <col min="10518" max="10518" width="4.85546875" style="50" bestFit="1" customWidth="1"/>
    <col min="10519" max="10519" width="4.85546875" style="50" customWidth="1"/>
    <col min="10520" max="10520" width="8.42578125" style="50" customWidth="1"/>
    <col min="10521" max="10521" width="4.7109375" style="50" customWidth="1"/>
    <col min="10522" max="10522" width="5.7109375" style="50" customWidth="1"/>
    <col min="10523" max="10523" width="4.5703125" style="50" bestFit="1" customWidth="1"/>
    <col min="10524" max="10524" width="4.7109375" style="50" bestFit="1" customWidth="1"/>
    <col min="10525" max="10525" width="6.28515625" style="50" customWidth="1"/>
    <col min="10526" max="10526" width="75.28515625" style="50" bestFit="1" customWidth="1"/>
    <col min="10527" max="10752" width="9.140625" style="50"/>
    <col min="10753" max="10753" width="0.5703125" style="50" customWidth="1"/>
    <col min="10754" max="10754" width="6.140625" style="50" customWidth="1"/>
    <col min="10755" max="10755" width="8.85546875" style="50" customWidth="1"/>
    <col min="10756" max="10756" width="9.42578125" style="50" customWidth="1"/>
    <col min="10757" max="10757" width="10" style="50" bestFit="1" customWidth="1"/>
    <col min="10758" max="10758" width="4.7109375" style="50" bestFit="1" customWidth="1"/>
    <col min="10759" max="10759" width="8.140625" style="50" customWidth="1"/>
    <col min="10760" max="10760" width="4.5703125" style="50" bestFit="1" customWidth="1"/>
    <col min="10761" max="10761" width="8.42578125" style="50" bestFit="1" customWidth="1"/>
    <col min="10762" max="10762" width="7.28515625" style="50" customWidth="1"/>
    <col min="10763" max="10763" width="10" style="50" customWidth="1"/>
    <col min="10764" max="10764" width="9.28515625" style="50" customWidth="1"/>
    <col min="10765" max="10765" width="8.5703125" style="50" customWidth="1"/>
    <col min="10766" max="10766" width="6.85546875" style="50" customWidth="1"/>
    <col min="10767" max="10767" width="7.28515625" style="50" customWidth="1"/>
    <col min="10768" max="10768" width="6.7109375" style="50" customWidth="1"/>
    <col min="10769" max="10769" width="8.5703125" style="50" customWidth="1"/>
    <col min="10770" max="10770" width="9.7109375" style="50" customWidth="1"/>
    <col min="10771" max="10771" width="4.42578125" style="50" customWidth="1"/>
    <col min="10772" max="10772" width="2.7109375" style="50" customWidth="1"/>
    <col min="10773" max="10773" width="4.42578125" style="50" customWidth="1"/>
    <col min="10774" max="10774" width="4.85546875" style="50" bestFit="1" customWidth="1"/>
    <col min="10775" max="10775" width="4.85546875" style="50" customWidth="1"/>
    <col min="10776" max="10776" width="8.42578125" style="50" customWidth="1"/>
    <col min="10777" max="10777" width="4.7109375" style="50" customWidth="1"/>
    <col min="10778" max="10778" width="5.7109375" style="50" customWidth="1"/>
    <col min="10779" max="10779" width="4.5703125" style="50" bestFit="1" customWidth="1"/>
    <col min="10780" max="10780" width="4.7109375" style="50" bestFit="1" customWidth="1"/>
    <col min="10781" max="10781" width="6.28515625" style="50" customWidth="1"/>
    <col min="10782" max="10782" width="75.28515625" style="50" bestFit="1" customWidth="1"/>
    <col min="10783" max="11008" width="9.140625" style="50"/>
    <col min="11009" max="11009" width="0.5703125" style="50" customWidth="1"/>
    <col min="11010" max="11010" width="6.140625" style="50" customWidth="1"/>
    <col min="11011" max="11011" width="8.85546875" style="50" customWidth="1"/>
    <col min="11012" max="11012" width="9.42578125" style="50" customWidth="1"/>
    <col min="11013" max="11013" width="10" style="50" bestFit="1" customWidth="1"/>
    <col min="11014" max="11014" width="4.7109375" style="50" bestFit="1" customWidth="1"/>
    <col min="11015" max="11015" width="8.140625" style="50" customWidth="1"/>
    <col min="11016" max="11016" width="4.5703125" style="50" bestFit="1" customWidth="1"/>
    <col min="11017" max="11017" width="8.42578125" style="50" bestFit="1" customWidth="1"/>
    <col min="11018" max="11018" width="7.28515625" style="50" customWidth="1"/>
    <col min="11019" max="11019" width="10" style="50" customWidth="1"/>
    <col min="11020" max="11020" width="9.28515625" style="50" customWidth="1"/>
    <col min="11021" max="11021" width="8.5703125" style="50" customWidth="1"/>
    <col min="11022" max="11022" width="6.85546875" style="50" customWidth="1"/>
    <col min="11023" max="11023" width="7.28515625" style="50" customWidth="1"/>
    <col min="11024" max="11024" width="6.7109375" style="50" customWidth="1"/>
    <col min="11025" max="11025" width="8.5703125" style="50" customWidth="1"/>
    <col min="11026" max="11026" width="9.7109375" style="50" customWidth="1"/>
    <col min="11027" max="11027" width="4.42578125" style="50" customWidth="1"/>
    <col min="11028" max="11028" width="2.7109375" style="50" customWidth="1"/>
    <col min="11029" max="11029" width="4.42578125" style="50" customWidth="1"/>
    <col min="11030" max="11030" width="4.85546875" style="50" bestFit="1" customWidth="1"/>
    <col min="11031" max="11031" width="4.85546875" style="50" customWidth="1"/>
    <col min="11032" max="11032" width="8.42578125" style="50" customWidth="1"/>
    <col min="11033" max="11033" width="4.7109375" style="50" customWidth="1"/>
    <col min="11034" max="11034" width="5.7109375" style="50" customWidth="1"/>
    <col min="11035" max="11035" width="4.5703125" style="50" bestFit="1" customWidth="1"/>
    <col min="11036" max="11036" width="4.7109375" style="50" bestFit="1" customWidth="1"/>
    <col min="11037" max="11037" width="6.28515625" style="50" customWidth="1"/>
    <col min="11038" max="11038" width="75.28515625" style="50" bestFit="1" customWidth="1"/>
    <col min="11039" max="11264" width="9.140625" style="50"/>
    <col min="11265" max="11265" width="0.5703125" style="50" customWidth="1"/>
    <col min="11266" max="11266" width="6.140625" style="50" customWidth="1"/>
    <col min="11267" max="11267" width="8.85546875" style="50" customWidth="1"/>
    <col min="11268" max="11268" width="9.42578125" style="50" customWidth="1"/>
    <col min="11269" max="11269" width="10" style="50" bestFit="1" customWidth="1"/>
    <col min="11270" max="11270" width="4.7109375" style="50" bestFit="1" customWidth="1"/>
    <col min="11271" max="11271" width="8.140625" style="50" customWidth="1"/>
    <col min="11272" max="11272" width="4.5703125" style="50" bestFit="1" customWidth="1"/>
    <col min="11273" max="11273" width="8.42578125" style="50" bestFit="1" customWidth="1"/>
    <col min="11274" max="11274" width="7.28515625" style="50" customWidth="1"/>
    <col min="11275" max="11275" width="10" style="50" customWidth="1"/>
    <col min="11276" max="11276" width="9.28515625" style="50" customWidth="1"/>
    <col min="11277" max="11277" width="8.5703125" style="50" customWidth="1"/>
    <col min="11278" max="11278" width="6.85546875" style="50" customWidth="1"/>
    <col min="11279" max="11279" width="7.28515625" style="50" customWidth="1"/>
    <col min="11280" max="11280" width="6.7109375" style="50" customWidth="1"/>
    <col min="11281" max="11281" width="8.5703125" style="50" customWidth="1"/>
    <col min="11282" max="11282" width="9.7109375" style="50" customWidth="1"/>
    <col min="11283" max="11283" width="4.42578125" style="50" customWidth="1"/>
    <col min="11284" max="11284" width="2.7109375" style="50" customWidth="1"/>
    <col min="11285" max="11285" width="4.42578125" style="50" customWidth="1"/>
    <col min="11286" max="11286" width="4.85546875" style="50" bestFit="1" customWidth="1"/>
    <col min="11287" max="11287" width="4.85546875" style="50" customWidth="1"/>
    <col min="11288" max="11288" width="8.42578125" style="50" customWidth="1"/>
    <col min="11289" max="11289" width="4.7109375" style="50" customWidth="1"/>
    <col min="11290" max="11290" width="5.7109375" style="50" customWidth="1"/>
    <col min="11291" max="11291" width="4.5703125" style="50" bestFit="1" customWidth="1"/>
    <col min="11292" max="11292" width="4.7109375" style="50" bestFit="1" customWidth="1"/>
    <col min="11293" max="11293" width="6.28515625" style="50" customWidth="1"/>
    <col min="11294" max="11294" width="75.28515625" style="50" bestFit="1" customWidth="1"/>
    <col min="11295" max="11520" width="9.140625" style="50"/>
    <col min="11521" max="11521" width="0.5703125" style="50" customWidth="1"/>
    <col min="11522" max="11522" width="6.140625" style="50" customWidth="1"/>
    <col min="11523" max="11523" width="8.85546875" style="50" customWidth="1"/>
    <col min="11524" max="11524" width="9.42578125" style="50" customWidth="1"/>
    <col min="11525" max="11525" width="10" style="50" bestFit="1" customWidth="1"/>
    <col min="11526" max="11526" width="4.7109375" style="50" bestFit="1" customWidth="1"/>
    <col min="11527" max="11527" width="8.140625" style="50" customWidth="1"/>
    <col min="11528" max="11528" width="4.5703125" style="50" bestFit="1" customWidth="1"/>
    <col min="11529" max="11529" width="8.42578125" style="50" bestFit="1" customWidth="1"/>
    <col min="11530" max="11530" width="7.28515625" style="50" customWidth="1"/>
    <col min="11531" max="11531" width="10" style="50" customWidth="1"/>
    <col min="11532" max="11532" width="9.28515625" style="50" customWidth="1"/>
    <col min="11533" max="11533" width="8.5703125" style="50" customWidth="1"/>
    <col min="11534" max="11534" width="6.85546875" style="50" customWidth="1"/>
    <col min="11535" max="11535" width="7.28515625" style="50" customWidth="1"/>
    <col min="11536" max="11536" width="6.7109375" style="50" customWidth="1"/>
    <col min="11537" max="11537" width="8.5703125" style="50" customWidth="1"/>
    <col min="11538" max="11538" width="9.7109375" style="50" customWidth="1"/>
    <col min="11539" max="11539" width="4.42578125" style="50" customWidth="1"/>
    <col min="11540" max="11540" width="2.7109375" style="50" customWidth="1"/>
    <col min="11541" max="11541" width="4.42578125" style="50" customWidth="1"/>
    <col min="11542" max="11542" width="4.85546875" style="50" bestFit="1" customWidth="1"/>
    <col min="11543" max="11543" width="4.85546875" style="50" customWidth="1"/>
    <col min="11544" max="11544" width="8.42578125" style="50" customWidth="1"/>
    <col min="11545" max="11545" width="4.7109375" style="50" customWidth="1"/>
    <col min="11546" max="11546" width="5.7109375" style="50" customWidth="1"/>
    <col min="11547" max="11547" width="4.5703125" style="50" bestFit="1" customWidth="1"/>
    <col min="11548" max="11548" width="4.7109375" style="50" bestFit="1" customWidth="1"/>
    <col min="11549" max="11549" width="6.28515625" style="50" customWidth="1"/>
    <col min="11550" max="11550" width="75.28515625" style="50" bestFit="1" customWidth="1"/>
    <col min="11551" max="11776" width="9.140625" style="50"/>
    <col min="11777" max="11777" width="0.5703125" style="50" customWidth="1"/>
    <col min="11778" max="11778" width="6.140625" style="50" customWidth="1"/>
    <col min="11779" max="11779" width="8.85546875" style="50" customWidth="1"/>
    <col min="11780" max="11780" width="9.42578125" style="50" customWidth="1"/>
    <col min="11781" max="11781" width="10" style="50" bestFit="1" customWidth="1"/>
    <col min="11782" max="11782" width="4.7109375" style="50" bestFit="1" customWidth="1"/>
    <col min="11783" max="11783" width="8.140625" style="50" customWidth="1"/>
    <col min="11784" max="11784" width="4.5703125" style="50" bestFit="1" customWidth="1"/>
    <col min="11785" max="11785" width="8.42578125" style="50" bestFit="1" customWidth="1"/>
    <col min="11786" max="11786" width="7.28515625" style="50" customWidth="1"/>
    <col min="11787" max="11787" width="10" style="50" customWidth="1"/>
    <col min="11788" max="11788" width="9.28515625" style="50" customWidth="1"/>
    <col min="11789" max="11789" width="8.5703125" style="50" customWidth="1"/>
    <col min="11790" max="11790" width="6.85546875" style="50" customWidth="1"/>
    <col min="11791" max="11791" width="7.28515625" style="50" customWidth="1"/>
    <col min="11792" max="11792" width="6.7109375" style="50" customWidth="1"/>
    <col min="11793" max="11793" width="8.5703125" style="50" customWidth="1"/>
    <col min="11794" max="11794" width="9.7109375" style="50" customWidth="1"/>
    <col min="11795" max="11795" width="4.42578125" style="50" customWidth="1"/>
    <col min="11796" max="11796" width="2.7109375" style="50" customWidth="1"/>
    <col min="11797" max="11797" width="4.42578125" style="50" customWidth="1"/>
    <col min="11798" max="11798" width="4.85546875" style="50" bestFit="1" customWidth="1"/>
    <col min="11799" max="11799" width="4.85546875" style="50" customWidth="1"/>
    <col min="11800" max="11800" width="8.42578125" style="50" customWidth="1"/>
    <col min="11801" max="11801" width="4.7109375" style="50" customWidth="1"/>
    <col min="11802" max="11802" width="5.7109375" style="50" customWidth="1"/>
    <col min="11803" max="11803" width="4.5703125" style="50" bestFit="1" customWidth="1"/>
    <col min="11804" max="11804" width="4.7109375" style="50" bestFit="1" customWidth="1"/>
    <col min="11805" max="11805" width="6.28515625" style="50" customWidth="1"/>
    <col min="11806" max="11806" width="75.28515625" style="50" bestFit="1" customWidth="1"/>
    <col min="11807" max="12032" width="9.140625" style="50"/>
    <col min="12033" max="12033" width="0.5703125" style="50" customWidth="1"/>
    <col min="12034" max="12034" width="6.140625" style="50" customWidth="1"/>
    <col min="12035" max="12035" width="8.85546875" style="50" customWidth="1"/>
    <col min="12036" max="12036" width="9.42578125" style="50" customWidth="1"/>
    <col min="12037" max="12037" width="10" style="50" bestFit="1" customWidth="1"/>
    <col min="12038" max="12038" width="4.7109375" style="50" bestFit="1" customWidth="1"/>
    <col min="12039" max="12039" width="8.140625" style="50" customWidth="1"/>
    <col min="12040" max="12040" width="4.5703125" style="50" bestFit="1" customWidth="1"/>
    <col min="12041" max="12041" width="8.42578125" style="50" bestFit="1" customWidth="1"/>
    <col min="12042" max="12042" width="7.28515625" style="50" customWidth="1"/>
    <col min="12043" max="12043" width="10" style="50" customWidth="1"/>
    <col min="12044" max="12044" width="9.28515625" style="50" customWidth="1"/>
    <col min="12045" max="12045" width="8.5703125" style="50" customWidth="1"/>
    <col min="12046" max="12046" width="6.85546875" style="50" customWidth="1"/>
    <col min="12047" max="12047" width="7.28515625" style="50" customWidth="1"/>
    <col min="12048" max="12048" width="6.7109375" style="50" customWidth="1"/>
    <col min="12049" max="12049" width="8.5703125" style="50" customWidth="1"/>
    <col min="12050" max="12050" width="9.7109375" style="50" customWidth="1"/>
    <col min="12051" max="12051" width="4.42578125" style="50" customWidth="1"/>
    <col min="12052" max="12052" width="2.7109375" style="50" customWidth="1"/>
    <col min="12053" max="12053" width="4.42578125" style="50" customWidth="1"/>
    <col min="12054" max="12054" width="4.85546875" style="50" bestFit="1" customWidth="1"/>
    <col min="12055" max="12055" width="4.85546875" style="50" customWidth="1"/>
    <col min="12056" max="12056" width="8.42578125" style="50" customWidth="1"/>
    <col min="12057" max="12057" width="4.7109375" style="50" customWidth="1"/>
    <col min="12058" max="12058" width="5.7109375" style="50" customWidth="1"/>
    <col min="12059" max="12059" width="4.5703125" style="50" bestFit="1" customWidth="1"/>
    <col min="12060" max="12060" width="4.7109375" style="50" bestFit="1" customWidth="1"/>
    <col min="12061" max="12061" width="6.28515625" style="50" customWidth="1"/>
    <col min="12062" max="12062" width="75.28515625" style="50" bestFit="1" customWidth="1"/>
    <col min="12063" max="12288" width="9.140625" style="50"/>
    <col min="12289" max="12289" width="0.5703125" style="50" customWidth="1"/>
    <col min="12290" max="12290" width="6.140625" style="50" customWidth="1"/>
    <col min="12291" max="12291" width="8.85546875" style="50" customWidth="1"/>
    <col min="12292" max="12292" width="9.42578125" style="50" customWidth="1"/>
    <col min="12293" max="12293" width="10" style="50" bestFit="1" customWidth="1"/>
    <col min="12294" max="12294" width="4.7109375" style="50" bestFit="1" customWidth="1"/>
    <col min="12295" max="12295" width="8.140625" style="50" customWidth="1"/>
    <col min="12296" max="12296" width="4.5703125" style="50" bestFit="1" customWidth="1"/>
    <col min="12297" max="12297" width="8.42578125" style="50" bestFit="1" customWidth="1"/>
    <col min="12298" max="12298" width="7.28515625" style="50" customWidth="1"/>
    <col min="12299" max="12299" width="10" style="50" customWidth="1"/>
    <col min="12300" max="12300" width="9.28515625" style="50" customWidth="1"/>
    <col min="12301" max="12301" width="8.5703125" style="50" customWidth="1"/>
    <col min="12302" max="12302" width="6.85546875" style="50" customWidth="1"/>
    <col min="12303" max="12303" width="7.28515625" style="50" customWidth="1"/>
    <col min="12304" max="12304" width="6.7109375" style="50" customWidth="1"/>
    <col min="12305" max="12305" width="8.5703125" style="50" customWidth="1"/>
    <col min="12306" max="12306" width="9.7109375" style="50" customWidth="1"/>
    <col min="12307" max="12307" width="4.42578125" style="50" customWidth="1"/>
    <col min="12308" max="12308" width="2.7109375" style="50" customWidth="1"/>
    <col min="12309" max="12309" width="4.42578125" style="50" customWidth="1"/>
    <col min="12310" max="12310" width="4.85546875" style="50" bestFit="1" customWidth="1"/>
    <col min="12311" max="12311" width="4.85546875" style="50" customWidth="1"/>
    <col min="12312" max="12312" width="8.42578125" style="50" customWidth="1"/>
    <col min="12313" max="12313" width="4.7109375" style="50" customWidth="1"/>
    <col min="12314" max="12314" width="5.7109375" style="50" customWidth="1"/>
    <col min="12315" max="12315" width="4.5703125" style="50" bestFit="1" customWidth="1"/>
    <col min="12316" max="12316" width="4.7109375" style="50" bestFit="1" customWidth="1"/>
    <col min="12317" max="12317" width="6.28515625" style="50" customWidth="1"/>
    <col min="12318" max="12318" width="75.28515625" style="50" bestFit="1" customWidth="1"/>
    <col min="12319" max="12544" width="9.140625" style="50"/>
    <col min="12545" max="12545" width="0.5703125" style="50" customWidth="1"/>
    <col min="12546" max="12546" width="6.140625" style="50" customWidth="1"/>
    <col min="12547" max="12547" width="8.85546875" style="50" customWidth="1"/>
    <col min="12548" max="12548" width="9.42578125" style="50" customWidth="1"/>
    <col min="12549" max="12549" width="10" style="50" bestFit="1" customWidth="1"/>
    <col min="12550" max="12550" width="4.7109375" style="50" bestFit="1" customWidth="1"/>
    <col min="12551" max="12551" width="8.140625" style="50" customWidth="1"/>
    <col min="12552" max="12552" width="4.5703125" style="50" bestFit="1" customWidth="1"/>
    <col min="12553" max="12553" width="8.42578125" style="50" bestFit="1" customWidth="1"/>
    <col min="12554" max="12554" width="7.28515625" style="50" customWidth="1"/>
    <col min="12555" max="12555" width="10" style="50" customWidth="1"/>
    <col min="12556" max="12556" width="9.28515625" style="50" customWidth="1"/>
    <col min="12557" max="12557" width="8.5703125" style="50" customWidth="1"/>
    <col min="12558" max="12558" width="6.85546875" style="50" customWidth="1"/>
    <col min="12559" max="12559" width="7.28515625" style="50" customWidth="1"/>
    <col min="12560" max="12560" width="6.7109375" style="50" customWidth="1"/>
    <col min="12561" max="12561" width="8.5703125" style="50" customWidth="1"/>
    <col min="12562" max="12562" width="9.7109375" style="50" customWidth="1"/>
    <col min="12563" max="12563" width="4.42578125" style="50" customWidth="1"/>
    <col min="12564" max="12564" width="2.7109375" style="50" customWidth="1"/>
    <col min="12565" max="12565" width="4.42578125" style="50" customWidth="1"/>
    <col min="12566" max="12566" width="4.85546875" style="50" bestFit="1" customWidth="1"/>
    <col min="12567" max="12567" width="4.85546875" style="50" customWidth="1"/>
    <col min="12568" max="12568" width="8.42578125" style="50" customWidth="1"/>
    <col min="12569" max="12569" width="4.7109375" style="50" customWidth="1"/>
    <col min="12570" max="12570" width="5.7109375" style="50" customWidth="1"/>
    <col min="12571" max="12571" width="4.5703125" style="50" bestFit="1" customWidth="1"/>
    <col min="12572" max="12572" width="4.7109375" style="50" bestFit="1" customWidth="1"/>
    <col min="12573" max="12573" width="6.28515625" style="50" customWidth="1"/>
    <col min="12574" max="12574" width="75.28515625" style="50" bestFit="1" customWidth="1"/>
    <col min="12575" max="12800" width="9.140625" style="50"/>
    <col min="12801" max="12801" width="0.5703125" style="50" customWidth="1"/>
    <col min="12802" max="12802" width="6.140625" style="50" customWidth="1"/>
    <col min="12803" max="12803" width="8.85546875" style="50" customWidth="1"/>
    <col min="12804" max="12804" width="9.42578125" style="50" customWidth="1"/>
    <col min="12805" max="12805" width="10" style="50" bestFit="1" customWidth="1"/>
    <col min="12806" max="12806" width="4.7109375" style="50" bestFit="1" customWidth="1"/>
    <col min="12807" max="12807" width="8.140625" style="50" customWidth="1"/>
    <col min="12808" max="12808" width="4.5703125" style="50" bestFit="1" customWidth="1"/>
    <col min="12809" max="12809" width="8.42578125" style="50" bestFit="1" customWidth="1"/>
    <col min="12810" max="12810" width="7.28515625" style="50" customWidth="1"/>
    <col min="12811" max="12811" width="10" style="50" customWidth="1"/>
    <col min="12812" max="12812" width="9.28515625" style="50" customWidth="1"/>
    <col min="12813" max="12813" width="8.5703125" style="50" customWidth="1"/>
    <col min="12814" max="12814" width="6.85546875" style="50" customWidth="1"/>
    <col min="12815" max="12815" width="7.28515625" style="50" customWidth="1"/>
    <col min="12816" max="12816" width="6.7109375" style="50" customWidth="1"/>
    <col min="12817" max="12817" width="8.5703125" style="50" customWidth="1"/>
    <col min="12818" max="12818" width="9.7109375" style="50" customWidth="1"/>
    <col min="12819" max="12819" width="4.42578125" style="50" customWidth="1"/>
    <col min="12820" max="12820" width="2.7109375" style="50" customWidth="1"/>
    <col min="12821" max="12821" width="4.42578125" style="50" customWidth="1"/>
    <col min="12822" max="12822" width="4.85546875" style="50" bestFit="1" customWidth="1"/>
    <col min="12823" max="12823" width="4.85546875" style="50" customWidth="1"/>
    <col min="12824" max="12824" width="8.42578125" style="50" customWidth="1"/>
    <col min="12825" max="12825" width="4.7109375" style="50" customWidth="1"/>
    <col min="12826" max="12826" width="5.7109375" style="50" customWidth="1"/>
    <col min="12827" max="12827" width="4.5703125" style="50" bestFit="1" customWidth="1"/>
    <col min="12828" max="12828" width="4.7109375" style="50" bestFit="1" customWidth="1"/>
    <col min="12829" max="12829" width="6.28515625" style="50" customWidth="1"/>
    <col min="12830" max="12830" width="75.28515625" style="50" bestFit="1" customWidth="1"/>
    <col min="12831" max="13056" width="9.140625" style="50"/>
    <col min="13057" max="13057" width="0.5703125" style="50" customWidth="1"/>
    <col min="13058" max="13058" width="6.140625" style="50" customWidth="1"/>
    <col min="13059" max="13059" width="8.85546875" style="50" customWidth="1"/>
    <col min="13060" max="13060" width="9.42578125" style="50" customWidth="1"/>
    <col min="13061" max="13061" width="10" style="50" bestFit="1" customWidth="1"/>
    <col min="13062" max="13062" width="4.7109375" style="50" bestFit="1" customWidth="1"/>
    <col min="13063" max="13063" width="8.140625" style="50" customWidth="1"/>
    <col min="13064" max="13064" width="4.5703125" style="50" bestFit="1" customWidth="1"/>
    <col min="13065" max="13065" width="8.42578125" style="50" bestFit="1" customWidth="1"/>
    <col min="13066" max="13066" width="7.28515625" style="50" customWidth="1"/>
    <col min="13067" max="13067" width="10" style="50" customWidth="1"/>
    <col min="13068" max="13068" width="9.28515625" style="50" customWidth="1"/>
    <col min="13069" max="13069" width="8.5703125" style="50" customWidth="1"/>
    <col min="13070" max="13070" width="6.85546875" style="50" customWidth="1"/>
    <col min="13071" max="13071" width="7.28515625" style="50" customWidth="1"/>
    <col min="13072" max="13072" width="6.7109375" style="50" customWidth="1"/>
    <col min="13073" max="13073" width="8.5703125" style="50" customWidth="1"/>
    <col min="13074" max="13074" width="9.7109375" style="50" customWidth="1"/>
    <col min="13075" max="13075" width="4.42578125" style="50" customWidth="1"/>
    <col min="13076" max="13076" width="2.7109375" style="50" customWidth="1"/>
    <col min="13077" max="13077" width="4.42578125" style="50" customWidth="1"/>
    <col min="13078" max="13078" width="4.85546875" style="50" bestFit="1" customWidth="1"/>
    <col min="13079" max="13079" width="4.85546875" style="50" customWidth="1"/>
    <col min="13080" max="13080" width="8.42578125" style="50" customWidth="1"/>
    <col min="13081" max="13081" width="4.7109375" style="50" customWidth="1"/>
    <col min="13082" max="13082" width="5.7109375" style="50" customWidth="1"/>
    <col min="13083" max="13083" width="4.5703125" style="50" bestFit="1" customWidth="1"/>
    <col min="13084" max="13084" width="4.7109375" style="50" bestFit="1" customWidth="1"/>
    <col min="13085" max="13085" width="6.28515625" style="50" customWidth="1"/>
    <col min="13086" max="13086" width="75.28515625" style="50" bestFit="1" customWidth="1"/>
    <col min="13087" max="13312" width="9.140625" style="50"/>
    <col min="13313" max="13313" width="0.5703125" style="50" customWidth="1"/>
    <col min="13314" max="13314" width="6.140625" style="50" customWidth="1"/>
    <col min="13315" max="13315" width="8.85546875" style="50" customWidth="1"/>
    <col min="13316" max="13316" width="9.42578125" style="50" customWidth="1"/>
    <col min="13317" max="13317" width="10" style="50" bestFit="1" customWidth="1"/>
    <col min="13318" max="13318" width="4.7109375" style="50" bestFit="1" customWidth="1"/>
    <col min="13319" max="13319" width="8.140625" style="50" customWidth="1"/>
    <col min="13320" max="13320" width="4.5703125" style="50" bestFit="1" customWidth="1"/>
    <col min="13321" max="13321" width="8.42578125" style="50" bestFit="1" customWidth="1"/>
    <col min="13322" max="13322" width="7.28515625" style="50" customWidth="1"/>
    <col min="13323" max="13323" width="10" style="50" customWidth="1"/>
    <col min="13324" max="13324" width="9.28515625" style="50" customWidth="1"/>
    <col min="13325" max="13325" width="8.5703125" style="50" customWidth="1"/>
    <col min="13326" max="13326" width="6.85546875" style="50" customWidth="1"/>
    <col min="13327" max="13327" width="7.28515625" style="50" customWidth="1"/>
    <col min="13328" max="13328" width="6.7109375" style="50" customWidth="1"/>
    <col min="13329" max="13329" width="8.5703125" style="50" customWidth="1"/>
    <col min="13330" max="13330" width="9.7109375" style="50" customWidth="1"/>
    <col min="13331" max="13331" width="4.42578125" style="50" customWidth="1"/>
    <col min="13332" max="13332" width="2.7109375" style="50" customWidth="1"/>
    <col min="13333" max="13333" width="4.42578125" style="50" customWidth="1"/>
    <col min="13334" max="13334" width="4.85546875" style="50" bestFit="1" customWidth="1"/>
    <col min="13335" max="13335" width="4.85546875" style="50" customWidth="1"/>
    <col min="13336" max="13336" width="8.42578125" style="50" customWidth="1"/>
    <col min="13337" max="13337" width="4.7109375" style="50" customWidth="1"/>
    <col min="13338" max="13338" width="5.7109375" style="50" customWidth="1"/>
    <col min="13339" max="13339" width="4.5703125" style="50" bestFit="1" customWidth="1"/>
    <col min="13340" max="13340" width="4.7109375" style="50" bestFit="1" customWidth="1"/>
    <col min="13341" max="13341" width="6.28515625" style="50" customWidth="1"/>
    <col min="13342" max="13342" width="75.28515625" style="50" bestFit="1" customWidth="1"/>
    <col min="13343" max="13568" width="9.140625" style="50"/>
    <col min="13569" max="13569" width="0.5703125" style="50" customWidth="1"/>
    <col min="13570" max="13570" width="6.140625" style="50" customWidth="1"/>
    <col min="13571" max="13571" width="8.85546875" style="50" customWidth="1"/>
    <col min="13572" max="13572" width="9.42578125" style="50" customWidth="1"/>
    <col min="13573" max="13573" width="10" style="50" bestFit="1" customWidth="1"/>
    <col min="13574" max="13574" width="4.7109375" style="50" bestFit="1" customWidth="1"/>
    <col min="13575" max="13575" width="8.140625" style="50" customWidth="1"/>
    <col min="13576" max="13576" width="4.5703125" style="50" bestFit="1" customWidth="1"/>
    <col min="13577" max="13577" width="8.42578125" style="50" bestFit="1" customWidth="1"/>
    <col min="13578" max="13578" width="7.28515625" style="50" customWidth="1"/>
    <col min="13579" max="13579" width="10" style="50" customWidth="1"/>
    <col min="13580" max="13580" width="9.28515625" style="50" customWidth="1"/>
    <col min="13581" max="13581" width="8.5703125" style="50" customWidth="1"/>
    <col min="13582" max="13582" width="6.85546875" style="50" customWidth="1"/>
    <col min="13583" max="13583" width="7.28515625" style="50" customWidth="1"/>
    <col min="13584" max="13584" width="6.7109375" style="50" customWidth="1"/>
    <col min="13585" max="13585" width="8.5703125" style="50" customWidth="1"/>
    <col min="13586" max="13586" width="9.7109375" style="50" customWidth="1"/>
    <col min="13587" max="13587" width="4.42578125" style="50" customWidth="1"/>
    <col min="13588" max="13588" width="2.7109375" style="50" customWidth="1"/>
    <col min="13589" max="13589" width="4.42578125" style="50" customWidth="1"/>
    <col min="13590" max="13590" width="4.85546875" style="50" bestFit="1" customWidth="1"/>
    <col min="13591" max="13591" width="4.85546875" style="50" customWidth="1"/>
    <col min="13592" max="13592" width="8.42578125" style="50" customWidth="1"/>
    <col min="13593" max="13593" width="4.7109375" style="50" customWidth="1"/>
    <col min="13594" max="13594" width="5.7109375" style="50" customWidth="1"/>
    <col min="13595" max="13595" width="4.5703125" style="50" bestFit="1" customWidth="1"/>
    <col min="13596" max="13596" width="4.7109375" style="50" bestFit="1" customWidth="1"/>
    <col min="13597" max="13597" width="6.28515625" style="50" customWidth="1"/>
    <col min="13598" max="13598" width="75.28515625" style="50" bestFit="1" customWidth="1"/>
    <col min="13599" max="13824" width="9.140625" style="50"/>
    <col min="13825" max="13825" width="0.5703125" style="50" customWidth="1"/>
    <col min="13826" max="13826" width="6.140625" style="50" customWidth="1"/>
    <col min="13827" max="13827" width="8.85546875" style="50" customWidth="1"/>
    <col min="13828" max="13828" width="9.42578125" style="50" customWidth="1"/>
    <col min="13829" max="13829" width="10" style="50" bestFit="1" customWidth="1"/>
    <col min="13830" max="13830" width="4.7109375" style="50" bestFit="1" customWidth="1"/>
    <col min="13831" max="13831" width="8.140625" style="50" customWidth="1"/>
    <col min="13832" max="13832" width="4.5703125" style="50" bestFit="1" customWidth="1"/>
    <col min="13833" max="13833" width="8.42578125" style="50" bestFit="1" customWidth="1"/>
    <col min="13834" max="13834" width="7.28515625" style="50" customWidth="1"/>
    <col min="13835" max="13835" width="10" style="50" customWidth="1"/>
    <col min="13836" max="13836" width="9.28515625" style="50" customWidth="1"/>
    <col min="13837" max="13837" width="8.5703125" style="50" customWidth="1"/>
    <col min="13838" max="13838" width="6.85546875" style="50" customWidth="1"/>
    <col min="13839" max="13839" width="7.28515625" style="50" customWidth="1"/>
    <col min="13840" max="13840" width="6.7109375" style="50" customWidth="1"/>
    <col min="13841" max="13841" width="8.5703125" style="50" customWidth="1"/>
    <col min="13842" max="13842" width="9.7109375" style="50" customWidth="1"/>
    <col min="13843" max="13843" width="4.42578125" style="50" customWidth="1"/>
    <col min="13844" max="13844" width="2.7109375" style="50" customWidth="1"/>
    <col min="13845" max="13845" width="4.42578125" style="50" customWidth="1"/>
    <col min="13846" max="13846" width="4.85546875" style="50" bestFit="1" customWidth="1"/>
    <col min="13847" max="13847" width="4.85546875" style="50" customWidth="1"/>
    <col min="13848" max="13848" width="8.42578125" style="50" customWidth="1"/>
    <col min="13849" max="13849" width="4.7109375" style="50" customWidth="1"/>
    <col min="13850" max="13850" width="5.7109375" style="50" customWidth="1"/>
    <col min="13851" max="13851" width="4.5703125" style="50" bestFit="1" customWidth="1"/>
    <col min="13852" max="13852" width="4.7109375" style="50" bestFit="1" customWidth="1"/>
    <col min="13853" max="13853" width="6.28515625" style="50" customWidth="1"/>
    <col min="13854" max="13854" width="75.28515625" style="50" bestFit="1" customWidth="1"/>
    <col min="13855" max="14080" width="9.140625" style="50"/>
    <col min="14081" max="14081" width="0.5703125" style="50" customWidth="1"/>
    <col min="14082" max="14082" width="6.140625" style="50" customWidth="1"/>
    <col min="14083" max="14083" width="8.85546875" style="50" customWidth="1"/>
    <col min="14084" max="14084" width="9.42578125" style="50" customWidth="1"/>
    <col min="14085" max="14085" width="10" style="50" bestFit="1" customWidth="1"/>
    <col min="14086" max="14086" width="4.7109375" style="50" bestFit="1" customWidth="1"/>
    <col min="14087" max="14087" width="8.140625" style="50" customWidth="1"/>
    <col min="14088" max="14088" width="4.5703125" style="50" bestFit="1" customWidth="1"/>
    <col min="14089" max="14089" width="8.42578125" style="50" bestFit="1" customWidth="1"/>
    <col min="14090" max="14090" width="7.28515625" style="50" customWidth="1"/>
    <col min="14091" max="14091" width="10" style="50" customWidth="1"/>
    <col min="14092" max="14092" width="9.28515625" style="50" customWidth="1"/>
    <col min="14093" max="14093" width="8.5703125" style="50" customWidth="1"/>
    <col min="14094" max="14094" width="6.85546875" style="50" customWidth="1"/>
    <col min="14095" max="14095" width="7.28515625" style="50" customWidth="1"/>
    <col min="14096" max="14096" width="6.7109375" style="50" customWidth="1"/>
    <col min="14097" max="14097" width="8.5703125" style="50" customWidth="1"/>
    <col min="14098" max="14098" width="9.7109375" style="50" customWidth="1"/>
    <col min="14099" max="14099" width="4.42578125" style="50" customWidth="1"/>
    <col min="14100" max="14100" width="2.7109375" style="50" customWidth="1"/>
    <col min="14101" max="14101" width="4.42578125" style="50" customWidth="1"/>
    <col min="14102" max="14102" width="4.85546875" style="50" bestFit="1" customWidth="1"/>
    <col min="14103" max="14103" width="4.85546875" style="50" customWidth="1"/>
    <col min="14104" max="14104" width="8.42578125" style="50" customWidth="1"/>
    <col min="14105" max="14105" width="4.7109375" style="50" customWidth="1"/>
    <col min="14106" max="14106" width="5.7109375" style="50" customWidth="1"/>
    <col min="14107" max="14107" width="4.5703125" style="50" bestFit="1" customWidth="1"/>
    <col min="14108" max="14108" width="4.7109375" style="50" bestFit="1" customWidth="1"/>
    <col min="14109" max="14109" width="6.28515625" style="50" customWidth="1"/>
    <col min="14110" max="14110" width="75.28515625" style="50" bestFit="1" customWidth="1"/>
    <col min="14111" max="14336" width="9.140625" style="50"/>
    <col min="14337" max="14337" width="0.5703125" style="50" customWidth="1"/>
    <col min="14338" max="14338" width="6.140625" style="50" customWidth="1"/>
    <col min="14339" max="14339" width="8.85546875" style="50" customWidth="1"/>
    <col min="14340" max="14340" width="9.42578125" style="50" customWidth="1"/>
    <col min="14341" max="14341" width="10" style="50" bestFit="1" customWidth="1"/>
    <col min="14342" max="14342" width="4.7109375" style="50" bestFit="1" customWidth="1"/>
    <col min="14343" max="14343" width="8.140625" style="50" customWidth="1"/>
    <col min="14344" max="14344" width="4.5703125" style="50" bestFit="1" customWidth="1"/>
    <col min="14345" max="14345" width="8.42578125" style="50" bestFit="1" customWidth="1"/>
    <col min="14346" max="14346" width="7.28515625" style="50" customWidth="1"/>
    <col min="14347" max="14347" width="10" style="50" customWidth="1"/>
    <col min="14348" max="14348" width="9.28515625" style="50" customWidth="1"/>
    <col min="14349" max="14349" width="8.5703125" style="50" customWidth="1"/>
    <col min="14350" max="14350" width="6.85546875" style="50" customWidth="1"/>
    <col min="14351" max="14351" width="7.28515625" style="50" customWidth="1"/>
    <col min="14352" max="14352" width="6.7109375" style="50" customWidth="1"/>
    <col min="14353" max="14353" width="8.5703125" style="50" customWidth="1"/>
    <col min="14354" max="14354" width="9.7109375" style="50" customWidth="1"/>
    <col min="14355" max="14355" width="4.42578125" style="50" customWidth="1"/>
    <col min="14356" max="14356" width="2.7109375" style="50" customWidth="1"/>
    <col min="14357" max="14357" width="4.42578125" style="50" customWidth="1"/>
    <col min="14358" max="14358" width="4.85546875" style="50" bestFit="1" customWidth="1"/>
    <col min="14359" max="14359" width="4.85546875" style="50" customWidth="1"/>
    <col min="14360" max="14360" width="8.42578125" style="50" customWidth="1"/>
    <col min="14361" max="14361" width="4.7109375" style="50" customWidth="1"/>
    <col min="14362" max="14362" width="5.7109375" style="50" customWidth="1"/>
    <col min="14363" max="14363" width="4.5703125" style="50" bestFit="1" customWidth="1"/>
    <col min="14364" max="14364" width="4.7109375" style="50" bestFit="1" customWidth="1"/>
    <col min="14365" max="14365" width="6.28515625" style="50" customWidth="1"/>
    <col min="14366" max="14366" width="75.28515625" style="50" bestFit="1" customWidth="1"/>
    <col min="14367" max="14592" width="9.140625" style="50"/>
    <col min="14593" max="14593" width="0.5703125" style="50" customWidth="1"/>
    <col min="14594" max="14594" width="6.140625" style="50" customWidth="1"/>
    <col min="14595" max="14595" width="8.85546875" style="50" customWidth="1"/>
    <col min="14596" max="14596" width="9.42578125" style="50" customWidth="1"/>
    <col min="14597" max="14597" width="10" style="50" bestFit="1" customWidth="1"/>
    <col min="14598" max="14598" width="4.7109375" style="50" bestFit="1" customWidth="1"/>
    <col min="14599" max="14599" width="8.140625" style="50" customWidth="1"/>
    <col min="14600" max="14600" width="4.5703125" style="50" bestFit="1" customWidth="1"/>
    <col min="14601" max="14601" width="8.42578125" style="50" bestFit="1" customWidth="1"/>
    <col min="14602" max="14602" width="7.28515625" style="50" customWidth="1"/>
    <col min="14603" max="14603" width="10" style="50" customWidth="1"/>
    <col min="14604" max="14604" width="9.28515625" style="50" customWidth="1"/>
    <col min="14605" max="14605" width="8.5703125" style="50" customWidth="1"/>
    <col min="14606" max="14606" width="6.85546875" style="50" customWidth="1"/>
    <col min="14607" max="14607" width="7.28515625" style="50" customWidth="1"/>
    <col min="14608" max="14608" width="6.7109375" style="50" customWidth="1"/>
    <col min="14609" max="14609" width="8.5703125" style="50" customWidth="1"/>
    <col min="14610" max="14610" width="9.7109375" style="50" customWidth="1"/>
    <col min="14611" max="14611" width="4.42578125" style="50" customWidth="1"/>
    <col min="14612" max="14612" width="2.7109375" style="50" customWidth="1"/>
    <col min="14613" max="14613" width="4.42578125" style="50" customWidth="1"/>
    <col min="14614" max="14614" width="4.85546875" style="50" bestFit="1" customWidth="1"/>
    <col min="14615" max="14615" width="4.85546875" style="50" customWidth="1"/>
    <col min="14616" max="14616" width="8.42578125" style="50" customWidth="1"/>
    <col min="14617" max="14617" width="4.7109375" style="50" customWidth="1"/>
    <col min="14618" max="14618" width="5.7109375" style="50" customWidth="1"/>
    <col min="14619" max="14619" width="4.5703125" style="50" bestFit="1" customWidth="1"/>
    <col min="14620" max="14620" width="4.7109375" style="50" bestFit="1" customWidth="1"/>
    <col min="14621" max="14621" width="6.28515625" style="50" customWidth="1"/>
    <col min="14622" max="14622" width="75.28515625" style="50" bestFit="1" customWidth="1"/>
    <col min="14623" max="14848" width="9.140625" style="50"/>
    <col min="14849" max="14849" width="0.5703125" style="50" customWidth="1"/>
    <col min="14850" max="14850" width="6.140625" style="50" customWidth="1"/>
    <col min="14851" max="14851" width="8.85546875" style="50" customWidth="1"/>
    <col min="14852" max="14852" width="9.42578125" style="50" customWidth="1"/>
    <col min="14853" max="14853" width="10" style="50" bestFit="1" customWidth="1"/>
    <col min="14854" max="14854" width="4.7109375" style="50" bestFit="1" customWidth="1"/>
    <col min="14855" max="14855" width="8.140625" style="50" customWidth="1"/>
    <col min="14856" max="14856" width="4.5703125" style="50" bestFit="1" customWidth="1"/>
    <col min="14857" max="14857" width="8.42578125" style="50" bestFit="1" customWidth="1"/>
    <col min="14858" max="14858" width="7.28515625" style="50" customWidth="1"/>
    <col min="14859" max="14859" width="10" style="50" customWidth="1"/>
    <col min="14860" max="14860" width="9.28515625" style="50" customWidth="1"/>
    <col min="14861" max="14861" width="8.5703125" style="50" customWidth="1"/>
    <col min="14862" max="14862" width="6.85546875" style="50" customWidth="1"/>
    <col min="14863" max="14863" width="7.28515625" style="50" customWidth="1"/>
    <col min="14864" max="14864" width="6.7109375" style="50" customWidth="1"/>
    <col min="14865" max="14865" width="8.5703125" style="50" customWidth="1"/>
    <col min="14866" max="14866" width="9.7109375" style="50" customWidth="1"/>
    <col min="14867" max="14867" width="4.42578125" style="50" customWidth="1"/>
    <col min="14868" max="14868" width="2.7109375" style="50" customWidth="1"/>
    <col min="14869" max="14869" width="4.42578125" style="50" customWidth="1"/>
    <col min="14870" max="14870" width="4.85546875" style="50" bestFit="1" customWidth="1"/>
    <col min="14871" max="14871" width="4.85546875" style="50" customWidth="1"/>
    <col min="14872" max="14872" width="8.42578125" style="50" customWidth="1"/>
    <col min="14873" max="14873" width="4.7109375" style="50" customWidth="1"/>
    <col min="14874" max="14874" width="5.7109375" style="50" customWidth="1"/>
    <col min="14875" max="14875" width="4.5703125" style="50" bestFit="1" customWidth="1"/>
    <col min="14876" max="14876" width="4.7109375" style="50" bestFit="1" customWidth="1"/>
    <col min="14877" max="14877" width="6.28515625" style="50" customWidth="1"/>
    <col min="14878" max="14878" width="75.28515625" style="50" bestFit="1" customWidth="1"/>
    <col min="14879" max="15104" width="9.140625" style="50"/>
    <col min="15105" max="15105" width="0.5703125" style="50" customWidth="1"/>
    <col min="15106" max="15106" width="6.140625" style="50" customWidth="1"/>
    <col min="15107" max="15107" width="8.85546875" style="50" customWidth="1"/>
    <col min="15108" max="15108" width="9.42578125" style="50" customWidth="1"/>
    <col min="15109" max="15109" width="10" style="50" bestFit="1" customWidth="1"/>
    <col min="15110" max="15110" width="4.7109375" style="50" bestFit="1" customWidth="1"/>
    <col min="15111" max="15111" width="8.140625" style="50" customWidth="1"/>
    <col min="15112" max="15112" width="4.5703125" style="50" bestFit="1" customWidth="1"/>
    <col min="15113" max="15113" width="8.42578125" style="50" bestFit="1" customWidth="1"/>
    <col min="15114" max="15114" width="7.28515625" style="50" customWidth="1"/>
    <col min="15115" max="15115" width="10" style="50" customWidth="1"/>
    <col min="15116" max="15116" width="9.28515625" style="50" customWidth="1"/>
    <col min="15117" max="15117" width="8.5703125" style="50" customWidth="1"/>
    <col min="15118" max="15118" width="6.85546875" style="50" customWidth="1"/>
    <col min="15119" max="15119" width="7.28515625" style="50" customWidth="1"/>
    <col min="15120" max="15120" width="6.7109375" style="50" customWidth="1"/>
    <col min="15121" max="15121" width="8.5703125" style="50" customWidth="1"/>
    <col min="15122" max="15122" width="9.7109375" style="50" customWidth="1"/>
    <col min="15123" max="15123" width="4.42578125" style="50" customWidth="1"/>
    <col min="15124" max="15124" width="2.7109375" style="50" customWidth="1"/>
    <col min="15125" max="15125" width="4.42578125" style="50" customWidth="1"/>
    <col min="15126" max="15126" width="4.85546875" style="50" bestFit="1" customWidth="1"/>
    <col min="15127" max="15127" width="4.85546875" style="50" customWidth="1"/>
    <col min="15128" max="15128" width="8.42578125" style="50" customWidth="1"/>
    <col min="15129" max="15129" width="4.7109375" style="50" customWidth="1"/>
    <col min="15130" max="15130" width="5.7109375" style="50" customWidth="1"/>
    <col min="15131" max="15131" width="4.5703125" style="50" bestFit="1" customWidth="1"/>
    <col min="15132" max="15132" width="4.7109375" style="50" bestFit="1" customWidth="1"/>
    <col min="15133" max="15133" width="6.28515625" style="50" customWidth="1"/>
    <col min="15134" max="15134" width="75.28515625" style="50" bestFit="1" customWidth="1"/>
    <col min="15135" max="15360" width="9.140625" style="50"/>
    <col min="15361" max="15361" width="0.5703125" style="50" customWidth="1"/>
    <col min="15362" max="15362" width="6.140625" style="50" customWidth="1"/>
    <col min="15363" max="15363" width="8.85546875" style="50" customWidth="1"/>
    <col min="15364" max="15364" width="9.42578125" style="50" customWidth="1"/>
    <col min="15365" max="15365" width="10" style="50" bestFit="1" customWidth="1"/>
    <col min="15366" max="15366" width="4.7109375" style="50" bestFit="1" customWidth="1"/>
    <col min="15367" max="15367" width="8.140625" style="50" customWidth="1"/>
    <col min="15368" max="15368" width="4.5703125" style="50" bestFit="1" customWidth="1"/>
    <col min="15369" max="15369" width="8.42578125" style="50" bestFit="1" customWidth="1"/>
    <col min="15370" max="15370" width="7.28515625" style="50" customWidth="1"/>
    <col min="15371" max="15371" width="10" style="50" customWidth="1"/>
    <col min="15372" max="15372" width="9.28515625" style="50" customWidth="1"/>
    <col min="15373" max="15373" width="8.5703125" style="50" customWidth="1"/>
    <col min="15374" max="15374" width="6.85546875" style="50" customWidth="1"/>
    <col min="15375" max="15375" width="7.28515625" style="50" customWidth="1"/>
    <col min="15376" max="15376" width="6.7109375" style="50" customWidth="1"/>
    <col min="15377" max="15377" width="8.5703125" style="50" customWidth="1"/>
    <col min="15378" max="15378" width="9.7109375" style="50" customWidth="1"/>
    <col min="15379" max="15379" width="4.42578125" style="50" customWidth="1"/>
    <col min="15380" max="15380" width="2.7109375" style="50" customWidth="1"/>
    <col min="15381" max="15381" width="4.42578125" style="50" customWidth="1"/>
    <col min="15382" max="15382" width="4.85546875" style="50" bestFit="1" customWidth="1"/>
    <col min="15383" max="15383" width="4.85546875" style="50" customWidth="1"/>
    <col min="15384" max="15384" width="8.42578125" style="50" customWidth="1"/>
    <col min="15385" max="15385" width="4.7109375" style="50" customWidth="1"/>
    <col min="15386" max="15386" width="5.7109375" style="50" customWidth="1"/>
    <col min="15387" max="15387" width="4.5703125" style="50" bestFit="1" customWidth="1"/>
    <col min="15388" max="15388" width="4.7109375" style="50" bestFit="1" customWidth="1"/>
    <col min="15389" max="15389" width="6.28515625" style="50" customWidth="1"/>
    <col min="15390" max="15390" width="75.28515625" style="50" bestFit="1" customWidth="1"/>
    <col min="15391" max="15616" width="9.140625" style="50"/>
    <col min="15617" max="15617" width="0.5703125" style="50" customWidth="1"/>
    <col min="15618" max="15618" width="6.140625" style="50" customWidth="1"/>
    <col min="15619" max="15619" width="8.85546875" style="50" customWidth="1"/>
    <col min="15620" max="15620" width="9.42578125" style="50" customWidth="1"/>
    <col min="15621" max="15621" width="10" style="50" bestFit="1" customWidth="1"/>
    <col min="15622" max="15622" width="4.7109375" style="50" bestFit="1" customWidth="1"/>
    <col min="15623" max="15623" width="8.140625" style="50" customWidth="1"/>
    <col min="15624" max="15624" width="4.5703125" style="50" bestFit="1" customWidth="1"/>
    <col min="15625" max="15625" width="8.42578125" style="50" bestFit="1" customWidth="1"/>
    <col min="15626" max="15626" width="7.28515625" style="50" customWidth="1"/>
    <col min="15627" max="15627" width="10" style="50" customWidth="1"/>
    <col min="15628" max="15628" width="9.28515625" style="50" customWidth="1"/>
    <col min="15629" max="15629" width="8.5703125" style="50" customWidth="1"/>
    <col min="15630" max="15630" width="6.85546875" style="50" customWidth="1"/>
    <col min="15631" max="15631" width="7.28515625" style="50" customWidth="1"/>
    <col min="15632" max="15632" width="6.7109375" style="50" customWidth="1"/>
    <col min="15633" max="15633" width="8.5703125" style="50" customWidth="1"/>
    <col min="15634" max="15634" width="9.7109375" style="50" customWidth="1"/>
    <col min="15635" max="15635" width="4.42578125" style="50" customWidth="1"/>
    <col min="15636" max="15636" width="2.7109375" style="50" customWidth="1"/>
    <col min="15637" max="15637" width="4.42578125" style="50" customWidth="1"/>
    <col min="15638" max="15638" width="4.85546875" style="50" bestFit="1" customWidth="1"/>
    <col min="15639" max="15639" width="4.85546875" style="50" customWidth="1"/>
    <col min="15640" max="15640" width="8.42578125" style="50" customWidth="1"/>
    <col min="15641" max="15641" width="4.7109375" style="50" customWidth="1"/>
    <col min="15642" max="15642" width="5.7109375" style="50" customWidth="1"/>
    <col min="15643" max="15643" width="4.5703125" style="50" bestFit="1" customWidth="1"/>
    <col min="15644" max="15644" width="4.7109375" style="50" bestFit="1" customWidth="1"/>
    <col min="15645" max="15645" width="6.28515625" style="50" customWidth="1"/>
    <col min="15646" max="15646" width="75.28515625" style="50" bestFit="1" customWidth="1"/>
    <col min="15647" max="15872" width="9.140625" style="50"/>
    <col min="15873" max="15873" width="0.5703125" style="50" customWidth="1"/>
    <col min="15874" max="15874" width="6.140625" style="50" customWidth="1"/>
    <col min="15875" max="15875" width="8.85546875" style="50" customWidth="1"/>
    <col min="15876" max="15876" width="9.42578125" style="50" customWidth="1"/>
    <col min="15877" max="15877" width="10" style="50" bestFit="1" customWidth="1"/>
    <col min="15878" max="15878" width="4.7109375" style="50" bestFit="1" customWidth="1"/>
    <col min="15879" max="15879" width="8.140625" style="50" customWidth="1"/>
    <col min="15880" max="15880" width="4.5703125" style="50" bestFit="1" customWidth="1"/>
    <col min="15881" max="15881" width="8.42578125" style="50" bestFit="1" customWidth="1"/>
    <col min="15882" max="15882" width="7.28515625" style="50" customWidth="1"/>
    <col min="15883" max="15883" width="10" style="50" customWidth="1"/>
    <col min="15884" max="15884" width="9.28515625" style="50" customWidth="1"/>
    <col min="15885" max="15885" width="8.5703125" style="50" customWidth="1"/>
    <col min="15886" max="15886" width="6.85546875" style="50" customWidth="1"/>
    <col min="15887" max="15887" width="7.28515625" style="50" customWidth="1"/>
    <col min="15888" max="15888" width="6.7109375" style="50" customWidth="1"/>
    <col min="15889" max="15889" width="8.5703125" style="50" customWidth="1"/>
    <col min="15890" max="15890" width="9.7109375" style="50" customWidth="1"/>
    <col min="15891" max="15891" width="4.42578125" style="50" customWidth="1"/>
    <col min="15892" max="15892" width="2.7109375" style="50" customWidth="1"/>
    <col min="15893" max="15893" width="4.42578125" style="50" customWidth="1"/>
    <col min="15894" max="15894" width="4.85546875" style="50" bestFit="1" customWidth="1"/>
    <col min="15895" max="15895" width="4.85546875" style="50" customWidth="1"/>
    <col min="15896" max="15896" width="8.42578125" style="50" customWidth="1"/>
    <col min="15897" max="15897" width="4.7109375" style="50" customWidth="1"/>
    <col min="15898" max="15898" width="5.7109375" style="50" customWidth="1"/>
    <col min="15899" max="15899" width="4.5703125" style="50" bestFit="1" customWidth="1"/>
    <col min="15900" max="15900" width="4.7109375" style="50" bestFit="1" customWidth="1"/>
    <col min="15901" max="15901" width="6.28515625" style="50" customWidth="1"/>
    <col min="15902" max="15902" width="75.28515625" style="50" bestFit="1" customWidth="1"/>
    <col min="15903" max="16128" width="9.140625" style="50"/>
    <col min="16129" max="16129" width="0.5703125" style="50" customWidth="1"/>
    <col min="16130" max="16130" width="6.140625" style="50" customWidth="1"/>
    <col min="16131" max="16131" width="8.85546875" style="50" customWidth="1"/>
    <col min="16132" max="16132" width="9.42578125" style="50" customWidth="1"/>
    <col min="16133" max="16133" width="10" style="50" bestFit="1" customWidth="1"/>
    <col min="16134" max="16134" width="4.7109375" style="50" bestFit="1" customWidth="1"/>
    <col min="16135" max="16135" width="8.140625" style="50" customWidth="1"/>
    <col min="16136" max="16136" width="4.5703125" style="50" bestFit="1" customWidth="1"/>
    <col min="16137" max="16137" width="8.42578125" style="50" bestFit="1" customWidth="1"/>
    <col min="16138" max="16138" width="7.28515625" style="50" customWidth="1"/>
    <col min="16139" max="16139" width="10" style="50" customWidth="1"/>
    <col min="16140" max="16140" width="9.28515625" style="50" customWidth="1"/>
    <col min="16141" max="16141" width="8.5703125" style="50" customWidth="1"/>
    <col min="16142" max="16142" width="6.85546875" style="50" customWidth="1"/>
    <col min="16143" max="16143" width="7.28515625" style="50" customWidth="1"/>
    <col min="16144" max="16144" width="6.7109375" style="50" customWidth="1"/>
    <col min="16145" max="16145" width="8.5703125" style="50" customWidth="1"/>
    <col min="16146" max="16146" width="9.7109375" style="50" customWidth="1"/>
    <col min="16147" max="16147" width="4.42578125" style="50" customWidth="1"/>
    <col min="16148" max="16148" width="2.7109375" style="50" customWidth="1"/>
    <col min="16149" max="16149" width="4.42578125" style="50" customWidth="1"/>
    <col min="16150" max="16150" width="4.85546875" style="50" bestFit="1" customWidth="1"/>
    <col min="16151" max="16151" width="4.85546875" style="50" customWidth="1"/>
    <col min="16152" max="16152" width="8.42578125" style="50" customWidth="1"/>
    <col min="16153" max="16153" width="4.7109375" style="50" customWidth="1"/>
    <col min="16154" max="16154" width="5.7109375" style="50" customWidth="1"/>
    <col min="16155" max="16155" width="4.5703125" style="50" bestFit="1" customWidth="1"/>
    <col min="16156" max="16156" width="4.7109375" style="50" bestFit="1" customWidth="1"/>
    <col min="16157" max="16157" width="6.28515625" style="50" customWidth="1"/>
    <col min="16158" max="16158" width="75.28515625" style="50" bestFit="1" customWidth="1"/>
    <col min="16159" max="16384" width="9.140625" style="50"/>
  </cols>
  <sheetData>
    <row r="1" spans="2:30" ht="21.75" customHeight="1" x14ac:dyDescent="0.25">
      <c r="B1" s="51"/>
      <c r="D1" s="53" t="s">
        <v>511</v>
      </c>
      <c r="G1" s="55"/>
      <c r="H1" s="55"/>
      <c r="I1" s="55"/>
      <c r="J1" s="55"/>
      <c r="K1" s="55"/>
      <c r="L1" s="55"/>
      <c r="M1" s="56"/>
      <c r="P1" s="58"/>
      <c r="S1" s="61"/>
      <c r="T1" s="61"/>
      <c r="U1" s="61"/>
      <c r="V1" s="61"/>
      <c r="W1" s="61"/>
      <c r="X1" s="61"/>
      <c r="Y1" s="61"/>
      <c r="Z1" s="61"/>
      <c r="AA1" s="61"/>
      <c r="AB1" s="61"/>
      <c r="AC1" s="51"/>
      <c r="AD1" s="62" t="s">
        <v>512</v>
      </c>
    </row>
    <row r="2" spans="2:30" ht="20.25" customHeight="1" x14ac:dyDescent="0.2">
      <c r="D2" s="63" t="s">
        <v>513</v>
      </c>
      <c r="G2" s="64"/>
      <c r="H2" s="64"/>
      <c r="I2" s="64"/>
      <c r="J2" s="64"/>
      <c r="K2" s="64"/>
      <c r="L2" s="64"/>
      <c r="M2" s="64"/>
      <c r="P2" s="65"/>
      <c r="S2" s="61"/>
      <c r="T2" s="61"/>
      <c r="U2" s="61"/>
      <c r="V2" s="61"/>
      <c r="W2" s="61"/>
      <c r="X2" s="61"/>
      <c r="Y2" s="61"/>
      <c r="Z2" s="472" t="s">
        <v>514</v>
      </c>
      <c r="AA2" s="472"/>
      <c r="AB2" s="472"/>
      <c r="AC2" s="472"/>
      <c r="AD2" s="472"/>
    </row>
    <row r="3" spans="2:30" ht="6" customHeight="1" x14ac:dyDescent="0.2">
      <c r="Z3" s="69"/>
      <c r="AC3" s="66"/>
    </row>
    <row r="4" spans="2:30" s="63" customFormat="1" ht="10.5" customHeight="1" x14ac:dyDescent="0.2">
      <c r="B4" s="473" t="s">
        <v>515</v>
      </c>
      <c r="C4" s="474"/>
      <c r="D4" s="474"/>
      <c r="E4" s="474"/>
      <c r="F4" s="475"/>
      <c r="G4" s="473" t="s">
        <v>516</v>
      </c>
      <c r="H4" s="475"/>
      <c r="I4" s="473" t="s">
        <v>517</v>
      </c>
      <c r="J4" s="474"/>
      <c r="K4" s="475"/>
      <c r="L4" s="50"/>
      <c r="M4" s="50"/>
      <c r="N4" s="50"/>
      <c r="O4" s="57"/>
      <c r="P4" s="68"/>
      <c r="Q4" s="473" t="s">
        <v>518</v>
      </c>
      <c r="R4" s="475"/>
      <c r="S4" s="473" t="s">
        <v>519</v>
      </c>
      <c r="T4" s="474"/>
      <c r="U4" s="474"/>
      <c r="V4" s="474"/>
      <c r="W4" s="474"/>
      <c r="X4" s="475"/>
      <c r="Y4" s="473" t="s">
        <v>520</v>
      </c>
      <c r="Z4" s="474"/>
      <c r="AA4" s="474"/>
      <c r="AB4" s="475"/>
      <c r="AC4" s="473" t="s">
        <v>521</v>
      </c>
      <c r="AD4" s="475"/>
    </row>
    <row r="5" spans="2:30" s="63" customFormat="1" ht="10.5" customHeight="1" x14ac:dyDescent="0.2">
      <c r="B5" s="460" t="s">
        <v>522</v>
      </c>
      <c r="C5" s="462" t="s">
        <v>523</v>
      </c>
      <c r="D5" s="464" t="s">
        <v>524</v>
      </c>
      <c r="E5" s="466" t="s">
        <v>525</v>
      </c>
      <c r="F5" s="468" t="s">
        <v>526</v>
      </c>
      <c r="G5" s="470" t="s">
        <v>527</v>
      </c>
      <c r="H5" s="447" t="s">
        <v>528</v>
      </c>
      <c r="I5" s="449" t="s">
        <v>529</v>
      </c>
      <c r="J5" s="451" t="s">
        <v>530</v>
      </c>
      <c r="K5" s="451" t="s">
        <v>531</v>
      </c>
      <c r="L5" s="70" t="s">
        <v>532</v>
      </c>
      <c r="M5" s="71" t="s">
        <v>533</v>
      </c>
      <c r="N5" s="453" t="s">
        <v>534</v>
      </c>
      <c r="O5" s="454"/>
      <c r="P5" s="72" t="s">
        <v>535</v>
      </c>
      <c r="Q5" s="455" t="s">
        <v>522</v>
      </c>
      <c r="R5" s="73" t="s">
        <v>536</v>
      </c>
      <c r="S5" s="460" t="s">
        <v>529</v>
      </c>
      <c r="T5" s="464" t="s">
        <v>522</v>
      </c>
      <c r="U5" s="466" t="s">
        <v>537</v>
      </c>
      <c r="V5" s="464" t="s">
        <v>538</v>
      </c>
      <c r="W5" s="74" t="s">
        <v>539</v>
      </c>
      <c r="X5" s="75" t="s">
        <v>540</v>
      </c>
      <c r="Y5" s="460" t="s">
        <v>529</v>
      </c>
      <c r="Z5" s="74" t="s">
        <v>522</v>
      </c>
      <c r="AA5" s="74" t="s">
        <v>522</v>
      </c>
      <c r="AB5" s="76" t="s">
        <v>522</v>
      </c>
      <c r="AC5" s="77" t="s">
        <v>541</v>
      </c>
      <c r="AD5" s="78"/>
    </row>
    <row r="6" spans="2:30" s="73" customFormat="1" ht="11.25" x14ac:dyDescent="0.2">
      <c r="B6" s="461"/>
      <c r="C6" s="463"/>
      <c r="D6" s="465"/>
      <c r="E6" s="467"/>
      <c r="F6" s="469"/>
      <c r="G6" s="471"/>
      <c r="H6" s="448"/>
      <c r="I6" s="450"/>
      <c r="J6" s="452"/>
      <c r="K6" s="452"/>
      <c r="L6" s="80" t="s">
        <v>542</v>
      </c>
      <c r="M6" s="77" t="s">
        <v>543</v>
      </c>
      <c r="N6" s="81" t="s">
        <v>544</v>
      </c>
      <c r="O6" s="82" t="s">
        <v>545</v>
      </c>
      <c r="P6" s="83" t="s">
        <v>546</v>
      </c>
      <c r="Q6" s="456"/>
      <c r="R6" s="73" t="s">
        <v>547</v>
      </c>
      <c r="S6" s="461"/>
      <c r="T6" s="465"/>
      <c r="U6" s="467"/>
      <c r="V6" s="465"/>
      <c r="W6" s="79" t="s">
        <v>548</v>
      </c>
      <c r="X6" s="84" t="s">
        <v>549</v>
      </c>
      <c r="Y6" s="461"/>
      <c r="Z6" s="85" t="s">
        <v>550</v>
      </c>
      <c r="AA6" s="85" t="s">
        <v>551</v>
      </c>
      <c r="AB6" s="84" t="s">
        <v>552</v>
      </c>
      <c r="AC6" s="86" t="s">
        <v>553</v>
      </c>
      <c r="AD6" s="80"/>
    </row>
    <row r="7" spans="2:30" s="73" customFormat="1" x14ac:dyDescent="0.2">
      <c r="E7" s="87"/>
      <c r="K7" s="88"/>
      <c r="M7" s="86" t="s">
        <v>554</v>
      </c>
      <c r="N7" s="89"/>
      <c r="O7" s="90"/>
      <c r="P7" s="91"/>
      <c r="Q7" s="59"/>
      <c r="R7" s="86" t="s">
        <v>555</v>
      </c>
      <c r="S7" s="60"/>
      <c r="T7" s="60"/>
      <c r="U7" s="60"/>
      <c r="V7" s="60"/>
      <c r="W7" s="60"/>
      <c r="X7" s="60"/>
      <c r="Y7" s="60"/>
      <c r="Z7" s="60"/>
      <c r="AA7" s="60"/>
      <c r="AB7" s="60"/>
      <c r="AC7" s="92"/>
      <c r="AD7" s="88"/>
    </row>
    <row r="8" spans="2:30" s="73" customFormat="1" ht="12.75" customHeight="1" x14ac:dyDescent="0.2">
      <c r="B8" s="93">
        <v>0</v>
      </c>
      <c r="C8" s="436" t="s">
        <v>556</v>
      </c>
      <c r="D8" s="94" t="s">
        <v>557</v>
      </c>
      <c r="E8" s="438" t="s">
        <v>558</v>
      </c>
      <c r="F8" s="96"/>
      <c r="G8" s="96"/>
      <c r="H8" s="97" t="s">
        <v>559</v>
      </c>
      <c r="I8" s="440" t="s">
        <v>560</v>
      </c>
      <c r="J8" s="98"/>
      <c r="K8" s="98"/>
      <c r="L8" s="96"/>
      <c r="M8" s="96"/>
      <c r="N8" s="99">
        <v>0</v>
      </c>
      <c r="O8" s="100"/>
      <c r="P8" s="101"/>
      <c r="Q8" s="102"/>
      <c r="R8" s="103"/>
      <c r="S8" s="104"/>
      <c r="T8" s="103"/>
      <c r="U8" s="104"/>
      <c r="V8" s="104"/>
      <c r="W8" s="104"/>
      <c r="X8" s="104"/>
      <c r="Y8" s="104"/>
      <c r="Z8" s="104"/>
      <c r="AA8" s="104"/>
      <c r="AB8" s="104"/>
      <c r="AC8" s="105"/>
      <c r="AD8" s="103"/>
    </row>
    <row r="9" spans="2:30" s="73" customFormat="1" ht="12.75" customHeight="1" x14ac:dyDescent="0.2">
      <c r="B9" s="106"/>
      <c r="C9" s="437"/>
      <c r="D9" s="107" t="s">
        <v>561</v>
      </c>
      <c r="E9" s="439"/>
      <c r="F9" s="108"/>
      <c r="G9" s="108"/>
      <c r="H9" s="109"/>
      <c r="I9" s="441"/>
      <c r="J9" s="110"/>
      <c r="K9" s="110">
        <v>57</v>
      </c>
      <c r="L9" s="108"/>
      <c r="M9" s="108"/>
      <c r="N9" s="111" t="e">
        <f>N11+O9</f>
        <v>#VALUE!</v>
      </c>
      <c r="O9" s="112">
        <v>186.99</v>
      </c>
      <c r="P9" s="113"/>
      <c r="Q9" s="114" t="s">
        <v>230</v>
      </c>
      <c r="R9" s="115"/>
      <c r="S9" s="442" t="s">
        <v>562</v>
      </c>
      <c r="T9" s="96">
        <v>1</v>
      </c>
      <c r="U9" s="96">
        <v>1</v>
      </c>
      <c r="V9" s="116"/>
      <c r="W9" s="117"/>
      <c r="X9" s="118"/>
      <c r="Y9" s="445" t="s">
        <v>563</v>
      </c>
      <c r="Z9" s="119">
        <v>1</v>
      </c>
      <c r="AA9" s="119"/>
      <c r="AB9" s="120"/>
      <c r="AC9" s="396" t="s">
        <v>232</v>
      </c>
      <c r="AD9" s="118" t="s">
        <v>233</v>
      </c>
    </row>
    <row r="10" spans="2:30" s="73" customFormat="1" ht="12.75" customHeight="1" x14ac:dyDescent="0.2">
      <c r="B10" s="121">
        <v>102</v>
      </c>
      <c r="C10" s="457" t="s">
        <v>564</v>
      </c>
      <c r="D10" s="122" t="s">
        <v>565</v>
      </c>
      <c r="E10" s="458" t="s">
        <v>566</v>
      </c>
      <c r="F10" s="123"/>
      <c r="G10" s="123"/>
      <c r="H10" s="97" t="s">
        <v>559</v>
      </c>
      <c r="I10" s="434" t="s">
        <v>567</v>
      </c>
      <c r="J10" s="124"/>
      <c r="K10" s="124"/>
      <c r="L10" s="123"/>
      <c r="M10" s="123"/>
      <c r="N10" s="125">
        <f>N8+O9</f>
        <v>186.99</v>
      </c>
      <c r="O10" s="126"/>
      <c r="P10" s="127"/>
      <c r="Q10" s="128"/>
      <c r="R10" s="129" t="s">
        <v>568</v>
      </c>
      <c r="S10" s="443"/>
      <c r="T10" s="108"/>
      <c r="U10" s="108"/>
      <c r="V10" s="130"/>
      <c r="W10" s="131"/>
      <c r="X10" s="132"/>
      <c r="Y10" s="446"/>
      <c r="Z10" s="133"/>
      <c r="AA10" s="133"/>
      <c r="AB10" s="134"/>
      <c r="AC10" s="397"/>
      <c r="AD10" s="135" t="s">
        <v>569</v>
      </c>
    </row>
    <row r="11" spans="2:30" s="73" customFormat="1" ht="12.75" customHeight="1" x14ac:dyDescent="0.2">
      <c r="B11" s="106"/>
      <c r="C11" s="437"/>
      <c r="D11" s="136"/>
      <c r="E11" s="459"/>
      <c r="F11" s="108"/>
      <c r="G11" s="108"/>
      <c r="H11" s="109"/>
      <c r="I11" s="434"/>
      <c r="J11" s="110"/>
      <c r="K11" s="110">
        <v>216</v>
      </c>
      <c r="L11" s="108"/>
      <c r="M11" s="108"/>
      <c r="N11" s="111" t="e">
        <f>N13+O11</f>
        <v>#VALUE!</v>
      </c>
      <c r="O11" s="137">
        <v>141.72999999999999</v>
      </c>
      <c r="P11" s="138"/>
      <c r="Q11" s="139" t="s">
        <v>235</v>
      </c>
      <c r="R11" s="140"/>
      <c r="S11" s="443"/>
      <c r="T11" s="123">
        <v>1</v>
      </c>
      <c r="U11" s="123">
        <v>1</v>
      </c>
      <c r="V11" s="141"/>
      <c r="W11" s="142"/>
      <c r="X11" s="132"/>
      <c r="Y11" s="132"/>
      <c r="Z11" s="143">
        <v>0</v>
      </c>
      <c r="AA11" s="143"/>
      <c r="AB11" s="144"/>
      <c r="AC11" s="397"/>
      <c r="AD11" s="145" t="s">
        <v>237</v>
      </c>
    </row>
    <row r="12" spans="2:30" s="73" customFormat="1" ht="12.75" customHeight="1" x14ac:dyDescent="0.2">
      <c r="B12" s="121">
        <v>101</v>
      </c>
      <c r="C12" s="146" t="s">
        <v>570</v>
      </c>
      <c r="D12" s="122" t="s">
        <v>571</v>
      </c>
      <c r="E12" s="458" t="s">
        <v>566</v>
      </c>
      <c r="F12" s="123"/>
      <c r="G12" s="123"/>
      <c r="H12" s="97" t="s">
        <v>559</v>
      </c>
      <c r="I12" s="434" t="s">
        <v>567</v>
      </c>
      <c r="J12" s="124"/>
      <c r="K12" s="124"/>
      <c r="L12" s="123"/>
      <c r="M12" s="123"/>
      <c r="N12" s="125">
        <f>N10+O11</f>
        <v>328.72</v>
      </c>
      <c r="O12" s="126"/>
      <c r="P12" s="127"/>
      <c r="Q12" s="128"/>
      <c r="R12" s="129"/>
      <c r="S12" s="443"/>
      <c r="T12" s="108"/>
      <c r="U12" s="108"/>
      <c r="V12" s="147" t="s">
        <v>572</v>
      </c>
      <c r="W12" s="148"/>
      <c r="X12" s="132"/>
      <c r="Y12" s="132"/>
      <c r="Z12" s="133"/>
      <c r="AA12" s="133"/>
      <c r="AB12" s="134"/>
      <c r="AC12" s="397"/>
      <c r="AD12" s="149" t="s">
        <v>573</v>
      </c>
    </row>
    <row r="13" spans="2:30" s="73" customFormat="1" ht="12.75" customHeight="1" x14ac:dyDescent="0.2">
      <c r="B13" s="106"/>
      <c r="C13" s="150"/>
      <c r="D13" s="136"/>
      <c r="E13" s="459"/>
      <c r="F13" s="108"/>
      <c r="G13" s="108"/>
      <c r="H13" s="109"/>
      <c r="I13" s="434"/>
      <c r="J13" s="110"/>
      <c r="K13" s="110">
        <v>108</v>
      </c>
      <c r="L13" s="108"/>
      <c r="M13" s="108"/>
      <c r="N13" s="111" t="e">
        <f>N15+O13</f>
        <v>#VALUE!</v>
      </c>
      <c r="O13" s="137">
        <v>73.760000000000005</v>
      </c>
      <c r="P13" s="138"/>
      <c r="Q13" s="139" t="s">
        <v>574</v>
      </c>
      <c r="R13" s="140"/>
      <c r="S13" s="443"/>
      <c r="T13" s="123">
        <v>1</v>
      </c>
      <c r="U13" s="123">
        <v>1</v>
      </c>
      <c r="V13" s="141"/>
      <c r="W13" s="142"/>
      <c r="X13" s="132"/>
      <c r="Y13" s="445" t="s">
        <v>563</v>
      </c>
      <c r="Z13" s="143">
        <v>1</v>
      </c>
      <c r="AA13" s="143"/>
      <c r="AB13" s="144"/>
      <c r="AC13" s="397"/>
      <c r="AD13" s="151"/>
    </row>
    <row r="14" spans="2:30" s="73" customFormat="1" ht="12.75" customHeight="1" x14ac:dyDescent="0.2">
      <c r="B14" s="121">
        <v>224</v>
      </c>
      <c r="C14" s="152" t="s">
        <v>575</v>
      </c>
      <c r="D14" s="104" t="s">
        <v>557</v>
      </c>
      <c r="E14" s="458" t="s">
        <v>566</v>
      </c>
      <c r="F14" s="123"/>
      <c r="G14" s="123"/>
      <c r="H14" s="97" t="s">
        <v>559</v>
      </c>
      <c r="I14" s="434" t="s">
        <v>567</v>
      </c>
      <c r="J14" s="153"/>
      <c r="K14" s="153"/>
      <c r="L14" s="123"/>
      <c r="M14" s="123"/>
      <c r="N14" s="125">
        <f>N12+O13</f>
        <v>402.48</v>
      </c>
      <c r="O14" s="126"/>
      <c r="P14" s="127"/>
      <c r="Q14" s="128"/>
      <c r="R14" s="129" t="s">
        <v>576</v>
      </c>
      <c r="S14" s="444"/>
      <c r="T14" s="108"/>
      <c r="U14" s="108"/>
      <c r="V14" s="154"/>
      <c r="W14" s="155"/>
      <c r="X14" s="132"/>
      <c r="Y14" s="446"/>
      <c r="Z14" s="133"/>
      <c r="AA14" s="133"/>
      <c r="AB14" s="134"/>
      <c r="AC14" s="397"/>
      <c r="AD14" s="156"/>
    </row>
    <row r="15" spans="2:30" s="73" customFormat="1" ht="12.75" customHeight="1" x14ac:dyDescent="0.2">
      <c r="B15" s="157" t="s">
        <v>577</v>
      </c>
      <c r="C15" s="158"/>
      <c r="D15" s="136"/>
      <c r="E15" s="459"/>
      <c r="F15" s="108"/>
      <c r="G15" s="108"/>
      <c r="H15" s="109"/>
      <c r="I15" s="434"/>
      <c r="J15" s="110"/>
      <c r="K15" s="110">
        <v>378</v>
      </c>
      <c r="L15" s="108"/>
      <c r="M15" s="108"/>
      <c r="N15" s="111" t="e">
        <f>N17+O15</f>
        <v>#VALUE!</v>
      </c>
      <c r="O15" s="137">
        <v>270.70999999999998</v>
      </c>
      <c r="P15" s="138"/>
      <c r="Q15" s="139" t="s">
        <v>241</v>
      </c>
      <c r="R15" s="140"/>
      <c r="S15" s="417" t="s">
        <v>578</v>
      </c>
      <c r="T15" s="123">
        <v>1</v>
      </c>
      <c r="U15" s="123">
        <v>2</v>
      </c>
      <c r="V15" s="141"/>
      <c r="W15" s="142"/>
      <c r="X15" s="132"/>
      <c r="Y15" s="396" t="s">
        <v>579</v>
      </c>
      <c r="Z15" s="143">
        <v>1</v>
      </c>
      <c r="AA15" s="143"/>
      <c r="AB15" s="144"/>
      <c r="AC15" s="397"/>
      <c r="AD15" s="407" t="s">
        <v>243</v>
      </c>
    </row>
    <row r="16" spans="2:30" s="73" customFormat="1" ht="12.75" customHeight="1" x14ac:dyDescent="0.2">
      <c r="B16" s="121">
        <f>B14+1</f>
        <v>225</v>
      </c>
      <c r="C16" s="159" t="s">
        <v>580</v>
      </c>
      <c r="D16" s="160" t="s">
        <v>581</v>
      </c>
      <c r="E16" s="123"/>
      <c r="F16" s="123"/>
      <c r="G16" s="123"/>
      <c r="H16" s="97" t="s">
        <v>559</v>
      </c>
      <c r="I16" s="434" t="s">
        <v>567</v>
      </c>
      <c r="J16" s="124"/>
      <c r="K16" s="124"/>
      <c r="L16" s="123"/>
      <c r="M16" s="123"/>
      <c r="N16" s="125">
        <f>N14+O15</f>
        <v>673.19</v>
      </c>
      <c r="O16" s="126"/>
      <c r="P16" s="127"/>
      <c r="Q16" s="128"/>
      <c r="R16" s="129"/>
      <c r="S16" s="418"/>
      <c r="T16" s="108"/>
      <c r="U16" s="108"/>
      <c r="V16" s="154"/>
      <c r="W16" s="155"/>
      <c r="X16" s="132"/>
      <c r="Y16" s="397"/>
      <c r="Z16" s="133"/>
      <c r="AA16" s="133"/>
      <c r="AB16" s="134"/>
      <c r="AC16" s="397"/>
      <c r="AD16" s="408"/>
    </row>
    <row r="17" spans="2:30" s="73" customFormat="1" ht="12.75" customHeight="1" x14ac:dyDescent="0.2">
      <c r="B17" s="106"/>
      <c r="C17" s="161"/>
      <c r="D17" s="162"/>
      <c r="E17" s="108"/>
      <c r="F17" s="108"/>
      <c r="G17" s="108"/>
      <c r="H17" s="109"/>
      <c r="I17" s="434"/>
      <c r="J17" s="110"/>
      <c r="K17" s="110">
        <v>162</v>
      </c>
      <c r="L17" s="108"/>
      <c r="M17" s="108"/>
      <c r="N17" s="111" t="e">
        <f>N19+O17</f>
        <v>#VALUE!</v>
      </c>
      <c r="O17" s="137">
        <v>188.69</v>
      </c>
      <c r="P17" s="138"/>
      <c r="Q17" s="139" t="s">
        <v>245</v>
      </c>
      <c r="R17" s="140"/>
      <c r="S17" s="418"/>
      <c r="T17" s="123">
        <v>1</v>
      </c>
      <c r="U17" s="123">
        <v>2</v>
      </c>
      <c r="V17" s="141"/>
      <c r="W17" s="142"/>
      <c r="X17" s="132"/>
      <c r="Y17" s="397"/>
      <c r="Z17" s="143">
        <v>1</v>
      </c>
      <c r="AA17" s="143"/>
      <c r="AB17" s="144"/>
      <c r="AC17" s="397"/>
      <c r="AD17" s="151" t="s">
        <v>247</v>
      </c>
    </row>
    <row r="18" spans="2:30" s="73" customFormat="1" ht="12.75" customHeight="1" x14ac:dyDescent="0.2">
      <c r="B18" s="121">
        <f>B16+1</f>
        <v>226</v>
      </c>
      <c r="C18" s="159" t="s">
        <v>580</v>
      </c>
      <c r="D18" s="160" t="s">
        <v>582</v>
      </c>
      <c r="E18" s="123"/>
      <c r="F18" s="123"/>
      <c r="G18" s="123"/>
      <c r="H18" s="97" t="s">
        <v>559</v>
      </c>
      <c r="I18" s="163" t="s">
        <v>567</v>
      </c>
      <c r="J18" s="124"/>
      <c r="K18" s="124"/>
      <c r="L18" s="123"/>
      <c r="M18" s="123"/>
      <c r="N18" s="125">
        <f>N16+O17</f>
        <v>861.88000000000011</v>
      </c>
      <c r="O18" s="126"/>
      <c r="P18" s="127"/>
      <c r="Q18" s="128"/>
      <c r="R18" s="129"/>
      <c r="S18" s="418"/>
      <c r="T18" s="108"/>
      <c r="U18" s="108"/>
      <c r="V18" s="154"/>
      <c r="W18" s="155"/>
      <c r="X18" s="132"/>
      <c r="Y18" s="397"/>
      <c r="Z18" s="133"/>
      <c r="AA18" s="133"/>
      <c r="AB18" s="134"/>
      <c r="AC18" s="397"/>
      <c r="AD18" s="156"/>
    </row>
    <row r="19" spans="2:30" s="73" customFormat="1" ht="12.75" customHeight="1" x14ac:dyDescent="0.2">
      <c r="B19" s="106"/>
      <c r="C19" s="164"/>
      <c r="D19" s="162"/>
      <c r="E19" s="108"/>
      <c r="F19" s="108"/>
      <c r="G19" s="108"/>
      <c r="H19" s="109"/>
      <c r="I19" s="165"/>
      <c r="J19" s="110"/>
      <c r="K19" s="110">
        <v>162</v>
      </c>
      <c r="L19" s="108"/>
      <c r="M19" s="108"/>
      <c r="N19" s="111" t="e">
        <f>N21+O19</f>
        <v>#VALUE!</v>
      </c>
      <c r="O19" s="137">
        <v>181.28</v>
      </c>
      <c r="P19" s="138"/>
      <c r="Q19" s="139" t="s">
        <v>249</v>
      </c>
      <c r="R19" s="140"/>
      <c r="S19" s="418"/>
      <c r="T19" s="123">
        <v>1</v>
      </c>
      <c r="U19" s="123">
        <v>2</v>
      </c>
      <c r="V19" s="141"/>
      <c r="W19" s="142"/>
      <c r="X19" s="132"/>
      <c r="Y19" s="397"/>
      <c r="Z19" s="143">
        <v>1</v>
      </c>
      <c r="AA19" s="143"/>
      <c r="AB19" s="144"/>
      <c r="AC19" s="397"/>
      <c r="AD19" s="407" t="s">
        <v>251</v>
      </c>
    </row>
    <row r="20" spans="2:30" s="73" customFormat="1" ht="12.75" customHeight="1" x14ac:dyDescent="0.2">
      <c r="B20" s="166">
        <f>B18+1</f>
        <v>227</v>
      </c>
      <c r="C20" s="159" t="s">
        <v>580</v>
      </c>
      <c r="D20" s="160" t="s">
        <v>583</v>
      </c>
      <c r="E20" s="123"/>
      <c r="F20" s="123"/>
      <c r="G20" s="123"/>
      <c r="H20" s="97" t="s">
        <v>559</v>
      </c>
      <c r="I20" s="163" t="s">
        <v>567</v>
      </c>
      <c r="J20" s="153"/>
      <c r="K20" s="153"/>
      <c r="L20" s="123"/>
      <c r="M20" s="123"/>
      <c r="N20" s="125">
        <f>N18+O19</f>
        <v>1043.1600000000001</v>
      </c>
      <c r="O20" s="126"/>
      <c r="P20" s="127"/>
      <c r="Q20" s="128"/>
      <c r="R20" s="129"/>
      <c r="S20" s="418"/>
      <c r="T20" s="108"/>
      <c r="U20" s="108"/>
      <c r="V20" s="154"/>
      <c r="W20" s="155"/>
      <c r="X20" s="132"/>
      <c r="Y20" s="397"/>
      <c r="Z20" s="133"/>
      <c r="AA20" s="133"/>
      <c r="AB20" s="134"/>
      <c r="AC20" s="397"/>
      <c r="AD20" s="408"/>
    </row>
    <row r="21" spans="2:30" s="73" customFormat="1" ht="12.75" customHeight="1" x14ac:dyDescent="0.2">
      <c r="B21" s="106"/>
      <c r="C21" s="161"/>
      <c r="D21" s="162"/>
      <c r="E21" s="108"/>
      <c r="F21" s="108"/>
      <c r="G21" s="108"/>
      <c r="H21" s="109"/>
      <c r="I21" s="165"/>
      <c r="J21" s="110"/>
      <c r="K21" s="110">
        <v>216</v>
      </c>
      <c r="L21" s="108"/>
      <c r="M21" s="108"/>
      <c r="N21" s="111" t="e">
        <f>N23+O21</f>
        <v>#VALUE!</v>
      </c>
      <c r="O21" s="167">
        <v>86.76</v>
      </c>
      <c r="P21" s="138"/>
      <c r="Q21" s="139" t="s">
        <v>253</v>
      </c>
      <c r="R21" s="140"/>
      <c r="S21" s="418"/>
      <c r="T21" s="123">
        <v>1</v>
      </c>
      <c r="U21" s="123">
        <v>2</v>
      </c>
      <c r="V21" s="141"/>
      <c r="W21" s="168"/>
      <c r="X21" s="132"/>
      <c r="Y21" s="397"/>
      <c r="Z21" s="143">
        <v>1</v>
      </c>
      <c r="AA21" s="143"/>
      <c r="AB21" s="144"/>
      <c r="AC21" s="397"/>
      <c r="AD21" s="407" t="s">
        <v>255</v>
      </c>
    </row>
    <row r="22" spans="2:30" s="73" customFormat="1" ht="12.75" customHeight="1" x14ac:dyDescent="0.2">
      <c r="B22" s="121">
        <f>B20+1</f>
        <v>228</v>
      </c>
      <c r="C22" s="159" t="s">
        <v>580</v>
      </c>
      <c r="D22" s="160" t="s">
        <v>571</v>
      </c>
      <c r="E22" s="123"/>
      <c r="F22" s="123"/>
      <c r="G22" s="123"/>
      <c r="H22" s="169" t="s">
        <v>584</v>
      </c>
      <c r="I22" s="163" t="s">
        <v>567</v>
      </c>
      <c r="J22" s="124"/>
      <c r="K22" s="124"/>
      <c r="L22" s="123"/>
      <c r="M22" s="123"/>
      <c r="N22" s="125">
        <f>N20+O21</f>
        <v>1129.92</v>
      </c>
      <c r="O22" s="126"/>
      <c r="P22" s="127"/>
      <c r="Q22" s="128"/>
      <c r="R22" s="129"/>
      <c r="S22" s="418"/>
      <c r="T22" s="108"/>
      <c r="U22" s="108"/>
      <c r="V22" s="154"/>
      <c r="W22" s="170"/>
      <c r="X22" s="132"/>
      <c r="Y22" s="397"/>
      <c r="Z22" s="133"/>
      <c r="AA22" s="133"/>
      <c r="AB22" s="134"/>
      <c r="AC22" s="397"/>
      <c r="AD22" s="408"/>
    </row>
    <row r="23" spans="2:30" s="73" customFormat="1" ht="12.75" customHeight="1" x14ac:dyDescent="0.2">
      <c r="B23" s="166"/>
      <c r="C23" s="164"/>
      <c r="D23" s="171"/>
      <c r="E23" s="108"/>
      <c r="F23" s="108"/>
      <c r="G23" s="108"/>
      <c r="H23" s="172"/>
      <c r="I23" s="165"/>
      <c r="J23" s="153"/>
      <c r="K23" s="153">
        <v>108</v>
      </c>
      <c r="L23" s="108"/>
      <c r="M23" s="108"/>
      <c r="N23" s="111" t="e">
        <f>N25+O23</f>
        <v>#VALUE!</v>
      </c>
      <c r="O23" s="137">
        <v>151.01</v>
      </c>
      <c r="P23" s="138"/>
      <c r="Q23" s="139" t="s">
        <v>258</v>
      </c>
      <c r="R23" s="140"/>
      <c r="S23" s="418"/>
      <c r="T23" s="123">
        <v>1</v>
      </c>
      <c r="U23" s="123">
        <v>2</v>
      </c>
      <c r="V23" s="141"/>
      <c r="W23" s="168"/>
      <c r="X23" s="132"/>
      <c r="Y23" s="397"/>
      <c r="Z23" s="143">
        <v>1</v>
      </c>
      <c r="AA23" s="143"/>
      <c r="AB23" s="144"/>
      <c r="AC23" s="397"/>
      <c r="AD23" s="401" t="s">
        <v>260</v>
      </c>
    </row>
    <row r="24" spans="2:30" s="73" customFormat="1" ht="12.75" customHeight="1" x14ac:dyDescent="0.2">
      <c r="B24" s="121">
        <f>B22+1</f>
        <v>229</v>
      </c>
      <c r="C24" s="159" t="s">
        <v>580</v>
      </c>
      <c r="D24" s="160" t="s">
        <v>583</v>
      </c>
      <c r="E24" s="123"/>
      <c r="F24" s="123"/>
      <c r="G24" s="123"/>
      <c r="H24" s="97" t="s">
        <v>559</v>
      </c>
      <c r="I24" s="163" t="s">
        <v>567</v>
      </c>
      <c r="J24" s="124"/>
      <c r="K24" s="124"/>
      <c r="L24" s="123"/>
      <c r="M24" s="123"/>
      <c r="N24" s="125">
        <f>N22+O23</f>
        <v>1280.93</v>
      </c>
      <c r="O24" s="126"/>
      <c r="P24" s="127"/>
      <c r="Q24" s="128"/>
      <c r="R24" s="129"/>
      <c r="S24" s="418"/>
      <c r="T24" s="108"/>
      <c r="U24" s="108"/>
      <c r="V24" s="154"/>
      <c r="W24" s="170"/>
      <c r="X24" s="132"/>
      <c r="Y24" s="397"/>
      <c r="Z24" s="133"/>
      <c r="AA24" s="133"/>
      <c r="AB24" s="134"/>
      <c r="AC24" s="397"/>
      <c r="AD24" s="402"/>
    </row>
    <row r="25" spans="2:30" s="73" customFormat="1" ht="12.75" customHeight="1" x14ac:dyDescent="0.2">
      <c r="B25" s="166"/>
      <c r="C25" s="164"/>
      <c r="D25" s="171"/>
      <c r="E25" s="108"/>
      <c r="F25" s="108"/>
      <c r="G25" s="108"/>
      <c r="H25" s="173"/>
      <c r="I25" s="165"/>
      <c r="J25" s="153"/>
      <c r="K25" s="110">
        <v>216</v>
      </c>
      <c r="L25" s="108"/>
      <c r="M25" s="108"/>
      <c r="N25" s="111" t="e">
        <f>N27+O25</f>
        <v>#VALUE!</v>
      </c>
      <c r="O25" s="137">
        <v>240.56</v>
      </c>
      <c r="P25" s="138"/>
      <c r="Q25" s="139" t="s">
        <v>585</v>
      </c>
      <c r="R25" s="140"/>
      <c r="S25" s="418"/>
      <c r="T25" s="123">
        <v>1</v>
      </c>
      <c r="U25" s="123">
        <v>2</v>
      </c>
      <c r="V25" s="141"/>
      <c r="W25" s="142"/>
      <c r="X25" s="132"/>
      <c r="Y25" s="397"/>
      <c r="Z25" s="143">
        <v>1</v>
      </c>
      <c r="AA25" s="143"/>
      <c r="AB25" s="144"/>
      <c r="AC25" s="397"/>
      <c r="AD25" s="151" t="s">
        <v>572</v>
      </c>
    </row>
    <row r="26" spans="2:30" s="73" customFormat="1" ht="12.75" customHeight="1" x14ac:dyDescent="0.2">
      <c r="B26" s="121">
        <f>B24+1</f>
        <v>230</v>
      </c>
      <c r="C26" s="159" t="s">
        <v>580</v>
      </c>
      <c r="D26" s="160" t="s">
        <v>583</v>
      </c>
      <c r="E26" s="123"/>
      <c r="F26" s="123"/>
      <c r="G26" s="123"/>
      <c r="H26" s="97" t="s">
        <v>559</v>
      </c>
      <c r="I26" s="163" t="s">
        <v>567</v>
      </c>
      <c r="J26" s="124"/>
      <c r="K26" s="124"/>
      <c r="L26" s="123"/>
      <c r="M26" s="123"/>
      <c r="N26" s="125">
        <f>N24+O25</f>
        <v>1521.49</v>
      </c>
      <c r="O26" s="126"/>
      <c r="P26" s="127"/>
      <c r="Q26" s="128"/>
      <c r="R26" s="174"/>
      <c r="S26" s="418"/>
      <c r="T26" s="108"/>
      <c r="U26" s="108"/>
      <c r="V26" s="154"/>
      <c r="W26" s="155"/>
      <c r="X26" s="132"/>
      <c r="Y26" s="397"/>
      <c r="Z26" s="133"/>
      <c r="AA26" s="133"/>
      <c r="AB26" s="134"/>
      <c r="AC26" s="397"/>
      <c r="AD26" s="156" t="s">
        <v>586</v>
      </c>
    </row>
    <row r="27" spans="2:30" s="73" customFormat="1" ht="12.75" customHeight="1" x14ac:dyDescent="0.2">
      <c r="B27" s="106"/>
      <c r="C27" s="161"/>
      <c r="D27" s="162"/>
      <c r="E27" s="108"/>
      <c r="F27" s="108"/>
      <c r="G27" s="108"/>
      <c r="H27" s="109"/>
      <c r="I27" s="165"/>
      <c r="J27" s="110"/>
      <c r="K27" s="110">
        <v>216</v>
      </c>
      <c r="L27" s="108"/>
      <c r="M27" s="108"/>
      <c r="N27" s="111" t="e">
        <f>N29+O27</f>
        <v>#VALUE!</v>
      </c>
      <c r="O27" s="137">
        <v>198.32</v>
      </c>
      <c r="P27" s="138"/>
      <c r="Q27" s="139" t="s">
        <v>261</v>
      </c>
      <c r="R27" s="140"/>
      <c r="S27" s="418"/>
      <c r="T27" s="123">
        <v>1</v>
      </c>
      <c r="U27" s="123">
        <v>2</v>
      </c>
      <c r="V27" s="141"/>
      <c r="W27" s="168"/>
      <c r="X27" s="132"/>
      <c r="Y27" s="397"/>
      <c r="Z27" s="143">
        <v>1</v>
      </c>
      <c r="AA27" s="143"/>
      <c r="AB27" s="144"/>
      <c r="AC27" s="397"/>
      <c r="AD27" s="151" t="s">
        <v>263</v>
      </c>
    </row>
    <row r="28" spans="2:30" s="73" customFormat="1" ht="12.75" customHeight="1" x14ac:dyDescent="0.2">
      <c r="B28" s="121">
        <f>B26+1</f>
        <v>231</v>
      </c>
      <c r="C28" s="159" t="s">
        <v>580</v>
      </c>
      <c r="D28" s="160" t="s">
        <v>571</v>
      </c>
      <c r="E28" s="123"/>
      <c r="F28" s="123"/>
      <c r="G28" s="123"/>
      <c r="H28" s="169" t="s">
        <v>584</v>
      </c>
      <c r="I28" s="163" t="s">
        <v>567</v>
      </c>
      <c r="J28" s="124"/>
      <c r="K28" s="124"/>
      <c r="L28" s="123"/>
      <c r="M28" s="123"/>
      <c r="N28" s="125">
        <f>N26+O27</f>
        <v>1719.81</v>
      </c>
      <c r="O28" s="126"/>
      <c r="P28" s="127"/>
      <c r="Q28" s="128"/>
      <c r="R28" s="129"/>
      <c r="S28" s="418"/>
      <c r="T28" s="108"/>
      <c r="U28" s="108"/>
      <c r="V28" s="154"/>
      <c r="W28" s="170"/>
      <c r="X28" s="132"/>
      <c r="Y28" s="397"/>
      <c r="Z28" s="133"/>
      <c r="AA28" s="133"/>
      <c r="AB28" s="134"/>
      <c r="AC28" s="397"/>
      <c r="AD28" s="156" t="s">
        <v>221</v>
      </c>
    </row>
    <row r="29" spans="2:30" s="73" customFormat="1" ht="12.75" customHeight="1" x14ac:dyDescent="0.2">
      <c r="B29" s="106"/>
      <c r="C29" s="161"/>
      <c r="D29" s="162"/>
      <c r="E29" s="108"/>
      <c r="F29" s="108"/>
      <c r="G29" s="108"/>
      <c r="H29" s="109"/>
      <c r="I29" s="165"/>
      <c r="J29" s="110"/>
      <c r="K29" s="110">
        <v>108</v>
      </c>
      <c r="L29" s="108"/>
      <c r="M29" s="108"/>
      <c r="N29" s="111" t="e">
        <f>N31+O29</f>
        <v>#VALUE!</v>
      </c>
      <c r="O29" s="137">
        <v>141.32</v>
      </c>
      <c r="P29" s="138"/>
      <c r="Q29" s="139" t="s">
        <v>264</v>
      </c>
      <c r="R29" s="140"/>
      <c r="S29" s="418"/>
      <c r="T29" s="123">
        <v>1</v>
      </c>
      <c r="U29" s="123">
        <v>2</v>
      </c>
      <c r="V29" s="141"/>
      <c r="W29" s="168"/>
      <c r="X29" s="132"/>
      <c r="Y29" s="397"/>
      <c r="Z29" s="143">
        <v>1</v>
      </c>
      <c r="AA29" s="143"/>
      <c r="AB29" s="144"/>
      <c r="AC29" s="397"/>
      <c r="AD29" s="151" t="s">
        <v>263</v>
      </c>
    </row>
    <row r="30" spans="2:30" s="73" customFormat="1" ht="12.75" customHeight="1" x14ac:dyDescent="0.2">
      <c r="B30" s="121">
        <f>B28+1</f>
        <v>232</v>
      </c>
      <c r="C30" s="146" t="s">
        <v>587</v>
      </c>
      <c r="D30" s="160" t="s">
        <v>588</v>
      </c>
      <c r="E30" s="123"/>
      <c r="F30" s="123"/>
      <c r="G30" s="123"/>
      <c r="H30" s="97" t="s">
        <v>559</v>
      </c>
      <c r="I30" s="163" t="s">
        <v>567</v>
      </c>
      <c r="J30" s="124"/>
      <c r="K30" s="124"/>
      <c r="L30" s="123"/>
      <c r="M30" s="123"/>
      <c r="N30" s="125">
        <f>N28+O29</f>
        <v>1861.1299999999999</v>
      </c>
      <c r="O30" s="126"/>
      <c r="P30" s="127"/>
      <c r="Q30" s="128"/>
      <c r="R30" s="129" t="s">
        <v>589</v>
      </c>
      <c r="S30" s="418"/>
      <c r="T30" s="108"/>
      <c r="U30" s="108"/>
      <c r="V30" s="154"/>
      <c r="W30" s="170"/>
      <c r="X30" s="132"/>
      <c r="Y30" s="397"/>
      <c r="Z30" s="133"/>
      <c r="AA30" s="133"/>
      <c r="AB30" s="134"/>
      <c r="AC30" s="397"/>
      <c r="AD30" s="156"/>
    </row>
    <row r="31" spans="2:30" s="73" customFormat="1" ht="12.75" customHeight="1" x14ac:dyDescent="0.2">
      <c r="B31" s="106"/>
      <c r="C31" s="107"/>
      <c r="D31" s="162"/>
      <c r="E31" s="108"/>
      <c r="F31" s="108"/>
      <c r="G31" s="108"/>
      <c r="H31" s="109"/>
      <c r="I31" s="165"/>
      <c r="J31" s="110"/>
      <c r="K31" s="110">
        <v>108</v>
      </c>
      <c r="L31" s="108"/>
      <c r="M31" s="108"/>
      <c r="N31" s="111" t="e">
        <f>N33+O31</f>
        <v>#VALUE!</v>
      </c>
      <c r="O31" s="137">
        <v>151.19999999999999</v>
      </c>
      <c r="P31" s="138"/>
      <c r="Q31" s="139" t="s">
        <v>266</v>
      </c>
      <c r="R31" s="140"/>
      <c r="S31" s="418"/>
      <c r="T31" s="123">
        <v>1</v>
      </c>
      <c r="U31" s="123">
        <v>2</v>
      </c>
      <c r="V31" s="141"/>
      <c r="W31" s="142"/>
      <c r="X31" s="132"/>
      <c r="Y31" s="397"/>
      <c r="Z31" s="143">
        <v>1</v>
      </c>
      <c r="AA31" s="143"/>
      <c r="AB31" s="144"/>
      <c r="AC31" s="397"/>
      <c r="AD31" s="407" t="s">
        <v>268</v>
      </c>
    </row>
    <row r="32" spans="2:30" s="73" customFormat="1" ht="12.75" customHeight="1" x14ac:dyDescent="0.2">
      <c r="B32" s="121">
        <f>B30+1</f>
        <v>233</v>
      </c>
      <c r="C32" s="159" t="s">
        <v>580</v>
      </c>
      <c r="D32" s="160" t="s">
        <v>571</v>
      </c>
      <c r="E32" s="123"/>
      <c r="F32" s="123"/>
      <c r="G32" s="123"/>
      <c r="H32" s="169" t="s">
        <v>584</v>
      </c>
      <c r="I32" s="163" t="s">
        <v>567</v>
      </c>
      <c r="J32" s="124"/>
      <c r="K32" s="124"/>
      <c r="L32" s="123" t="s">
        <v>590</v>
      </c>
      <c r="M32" s="123"/>
      <c r="N32" s="125">
        <f>N30+O31</f>
        <v>2012.33</v>
      </c>
      <c r="O32" s="126"/>
      <c r="P32" s="127"/>
      <c r="Q32" s="128"/>
      <c r="R32" s="129"/>
      <c r="S32" s="418"/>
      <c r="T32" s="108"/>
      <c r="U32" s="108"/>
      <c r="V32" s="154"/>
      <c r="W32" s="155"/>
      <c r="X32" s="132"/>
      <c r="Y32" s="397"/>
      <c r="Z32" s="133"/>
      <c r="AA32" s="133"/>
      <c r="AB32" s="134"/>
      <c r="AC32" s="397"/>
      <c r="AD32" s="408"/>
    </row>
    <row r="33" spans="2:30" s="73" customFormat="1" ht="12.75" customHeight="1" x14ac:dyDescent="0.2">
      <c r="B33" s="106"/>
      <c r="C33" s="161"/>
      <c r="D33" s="162"/>
      <c r="E33" s="108"/>
      <c r="F33" s="108"/>
      <c r="G33" s="108"/>
      <c r="H33" s="172"/>
      <c r="I33" s="165"/>
      <c r="J33" s="110"/>
      <c r="K33" s="110">
        <v>108</v>
      </c>
      <c r="L33" s="108"/>
      <c r="M33" s="108"/>
      <c r="N33" s="111" t="e">
        <f>N35+O33</f>
        <v>#VALUE!</v>
      </c>
      <c r="O33" s="137">
        <v>268.5</v>
      </c>
      <c r="P33" s="138"/>
      <c r="Q33" s="139" t="s">
        <v>269</v>
      </c>
      <c r="R33" s="140"/>
      <c r="S33" s="418"/>
      <c r="T33" s="123">
        <v>1</v>
      </c>
      <c r="U33" s="123">
        <v>2</v>
      </c>
      <c r="V33" s="141"/>
      <c r="W33" s="175"/>
      <c r="X33" s="132"/>
      <c r="Y33" s="397"/>
      <c r="Z33" s="143">
        <v>1</v>
      </c>
      <c r="AA33" s="143"/>
      <c r="AB33" s="144"/>
      <c r="AC33" s="397"/>
      <c r="AD33" s="407" t="s">
        <v>271</v>
      </c>
    </row>
    <row r="34" spans="2:30" s="73" customFormat="1" ht="12.75" customHeight="1" x14ac:dyDescent="0.2">
      <c r="B34" s="121">
        <f>B32+1</f>
        <v>234</v>
      </c>
      <c r="C34" s="159" t="s">
        <v>580</v>
      </c>
      <c r="D34" s="160" t="s">
        <v>571</v>
      </c>
      <c r="E34" s="123"/>
      <c r="F34" s="123"/>
      <c r="G34" s="123"/>
      <c r="H34" s="169" t="s">
        <v>584</v>
      </c>
      <c r="I34" s="163" t="s">
        <v>567</v>
      </c>
      <c r="J34" s="124"/>
      <c r="K34" s="124"/>
      <c r="L34" s="123" t="s">
        <v>590</v>
      </c>
      <c r="M34" s="123"/>
      <c r="N34" s="125">
        <f>N32+O33</f>
        <v>2280.83</v>
      </c>
      <c r="O34" s="126"/>
      <c r="P34" s="127"/>
      <c r="Q34" s="128"/>
      <c r="R34" s="129"/>
      <c r="S34" s="418"/>
      <c r="T34" s="108"/>
      <c r="U34" s="108"/>
      <c r="V34" s="154"/>
      <c r="W34" s="176"/>
      <c r="X34" s="132"/>
      <c r="Y34" s="397"/>
      <c r="Z34" s="133"/>
      <c r="AA34" s="133"/>
      <c r="AB34" s="134"/>
      <c r="AC34" s="397"/>
      <c r="AD34" s="408"/>
    </row>
    <row r="35" spans="2:30" s="73" customFormat="1" ht="12.75" customHeight="1" x14ac:dyDescent="0.2">
      <c r="B35" s="106"/>
      <c r="C35" s="177"/>
      <c r="D35" s="162"/>
      <c r="E35" s="108"/>
      <c r="F35" s="108"/>
      <c r="G35" s="108"/>
      <c r="H35" s="109"/>
      <c r="I35" s="165"/>
      <c r="J35" s="110"/>
      <c r="K35" s="110">
        <v>108</v>
      </c>
      <c r="L35" s="108"/>
      <c r="M35" s="108"/>
      <c r="N35" s="111" t="e">
        <f>N37+O35</f>
        <v>#VALUE!</v>
      </c>
      <c r="O35" s="137">
        <v>91.88</v>
      </c>
      <c r="P35" s="138"/>
      <c r="Q35" s="139" t="s">
        <v>591</v>
      </c>
      <c r="R35" s="140"/>
      <c r="S35" s="418"/>
      <c r="T35" s="123">
        <v>1</v>
      </c>
      <c r="U35" s="123">
        <v>2</v>
      </c>
      <c r="V35" s="141"/>
      <c r="W35" s="175"/>
      <c r="X35" s="132"/>
      <c r="Y35" s="397"/>
      <c r="Z35" s="143">
        <v>1</v>
      </c>
      <c r="AA35" s="143"/>
      <c r="AB35" s="144"/>
      <c r="AC35" s="397"/>
      <c r="AD35" s="151"/>
    </row>
    <row r="36" spans="2:30" s="73" customFormat="1" ht="15.6" customHeight="1" x14ac:dyDescent="0.2">
      <c r="B36" s="121">
        <f>B34+1</f>
        <v>235</v>
      </c>
      <c r="C36" s="159" t="s">
        <v>580</v>
      </c>
      <c r="D36" s="160" t="s">
        <v>592</v>
      </c>
      <c r="E36" s="413" t="s">
        <v>593</v>
      </c>
      <c r="F36" s="123"/>
      <c r="G36" s="123"/>
      <c r="H36" s="169" t="s">
        <v>584</v>
      </c>
      <c r="I36" s="163" t="s">
        <v>567</v>
      </c>
      <c r="J36" s="124"/>
      <c r="K36" s="124">
        <v>72</v>
      </c>
      <c r="L36" s="123"/>
      <c r="M36" s="123"/>
      <c r="N36" s="125">
        <f>N34+O35</f>
        <v>2372.71</v>
      </c>
      <c r="O36" s="126"/>
      <c r="P36" s="127"/>
      <c r="Q36" s="128"/>
      <c r="R36" s="129"/>
      <c r="S36" s="418"/>
      <c r="T36" s="108"/>
      <c r="U36" s="108"/>
      <c r="V36" s="154"/>
      <c r="W36" s="176"/>
      <c r="X36" s="132"/>
      <c r="Y36" s="397"/>
      <c r="Z36" s="133"/>
      <c r="AA36" s="133"/>
      <c r="AB36" s="134"/>
      <c r="AC36" s="397"/>
      <c r="AD36" s="156"/>
    </row>
    <row r="37" spans="2:30" s="73" customFormat="1" ht="22.5" x14ac:dyDescent="0.2">
      <c r="B37" s="106"/>
      <c r="C37" s="161"/>
      <c r="D37" s="178" t="s">
        <v>594</v>
      </c>
      <c r="E37" s="414"/>
      <c r="F37" s="108"/>
      <c r="G37" s="108"/>
      <c r="H37" s="172"/>
      <c r="I37" s="165"/>
      <c r="J37" s="110"/>
      <c r="K37" s="110">
        <v>18</v>
      </c>
      <c r="L37" s="108"/>
      <c r="M37" s="108"/>
      <c r="N37" s="111" t="e">
        <f>N39+O37</f>
        <v>#VALUE!</v>
      </c>
      <c r="O37" s="137">
        <v>271</v>
      </c>
      <c r="P37" s="138"/>
      <c r="Q37" s="139" t="s">
        <v>272</v>
      </c>
      <c r="R37" s="140"/>
      <c r="S37" s="418"/>
      <c r="T37" s="123">
        <v>1</v>
      </c>
      <c r="U37" s="123">
        <v>2</v>
      </c>
      <c r="V37" s="141"/>
      <c r="W37" s="142"/>
      <c r="X37" s="132"/>
      <c r="Y37" s="397"/>
      <c r="Z37" s="143">
        <v>1</v>
      </c>
      <c r="AA37" s="143"/>
      <c r="AB37" s="144"/>
      <c r="AC37" s="397"/>
      <c r="AD37" s="401" t="s">
        <v>273</v>
      </c>
    </row>
    <row r="38" spans="2:30" s="73" customFormat="1" ht="12.75" customHeight="1" x14ac:dyDescent="0.2">
      <c r="B38" s="121">
        <f>B36+1</f>
        <v>236</v>
      </c>
      <c r="C38" s="159" t="s">
        <v>580</v>
      </c>
      <c r="D38" s="160" t="s">
        <v>571</v>
      </c>
      <c r="E38" s="123"/>
      <c r="F38" s="123"/>
      <c r="G38" s="123"/>
      <c r="H38" s="169" t="s">
        <v>584</v>
      </c>
      <c r="I38" s="163" t="s">
        <v>567</v>
      </c>
      <c r="J38" s="124"/>
      <c r="K38" s="124"/>
      <c r="L38" s="123"/>
      <c r="M38" s="123"/>
      <c r="N38" s="125">
        <f>N36+O37</f>
        <v>2643.71</v>
      </c>
      <c r="O38" s="179"/>
      <c r="P38" s="113"/>
      <c r="Q38" s="180"/>
      <c r="R38" s="181"/>
      <c r="S38" s="418"/>
      <c r="T38" s="108"/>
      <c r="U38" s="108"/>
      <c r="V38" s="154"/>
      <c r="W38" s="155"/>
      <c r="X38" s="132"/>
      <c r="Y38" s="398"/>
      <c r="Z38" s="133"/>
      <c r="AA38" s="133"/>
      <c r="AB38" s="134"/>
      <c r="AC38" s="397"/>
      <c r="AD38" s="404"/>
    </row>
    <row r="39" spans="2:30" s="73" customFormat="1" ht="12.75" customHeight="1" x14ac:dyDescent="0.2">
      <c r="B39" s="166"/>
      <c r="C39" s="152"/>
      <c r="D39" s="171"/>
      <c r="E39" s="182"/>
      <c r="F39" s="182"/>
      <c r="G39" s="182"/>
      <c r="H39" s="169"/>
      <c r="I39" s="165"/>
      <c r="J39" s="153"/>
      <c r="K39" s="153">
        <v>108</v>
      </c>
      <c r="L39" s="182"/>
      <c r="M39" s="108"/>
      <c r="N39" s="111" t="e">
        <f>N41+O39</f>
        <v>#VALUE!</v>
      </c>
      <c r="O39" s="137">
        <v>250.41</v>
      </c>
      <c r="P39" s="140"/>
      <c r="Q39" s="139" t="s">
        <v>595</v>
      </c>
      <c r="R39" s="123"/>
      <c r="S39" s="418"/>
      <c r="T39" s="123">
        <v>1</v>
      </c>
      <c r="U39" s="123">
        <v>2</v>
      </c>
      <c r="V39" s="141"/>
      <c r="W39" s="175"/>
      <c r="X39" s="132"/>
      <c r="Y39" s="396" t="s">
        <v>579</v>
      </c>
      <c r="Z39" s="143">
        <v>1</v>
      </c>
      <c r="AA39" s="143"/>
      <c r="AB39" s="144"/>
      <c r="AC39" s="396" t="s">
        <v>232</v>
      </c>
      <c r="AD39" s="183"/>
    </row>
    <row r="40" spans="2:30" s="73" customFormat="1" ht="12.75" customHeight="1" x14ac:dyDescent="0.2">
      <c r="B40" s="184">
        <v>237</v>
      </c>
      <c r="C40" s="185" t="s">
        <v>580</v>
      </c>
      <c r="D40" s="160" t="s">
        <v>588</v>
      </c>
      <c r="E40" s="123"/>
      <c r="F40" s="123"/>
      <c r="G40" s="123"/>
      <c r="H40" s="169" t="s">
        <v>559</v>
      </c>
      <c r="I40" s="163" t="s">
        <v>567</v>
      </c>
      <c r="J40" s="186"/>
      <c r="K40" s="186"/>
      <c r="L40" s="123"/>
      <c r="M40" s="123"/>
      <c r="N40" s="125">
        <f>N38+O39</f>
        <v>2894.12</v>
      </c>
      <c r="O40" s="126"/>
      <c r="P40" s="129"/>
      <c r="Q40" s="128"/>
      <c r="R40" s="108"/>
      <c r="S40" s="418"/>
      <c r="T40" s="108"/>
      <c r="U40" s="108"/>
      <c r="V40" s="154"/>
      <c r="W40" s="176"/>
      <c r="X40" s="132"/>
      <c r="Y40" s="397"/>
      <c r="Z40" s="133"/>
      <c r="AA40" s="133"/>
      <c r="AB40" s="134"/>
      <c r="AC40" s="397"/>
      <c r="AD40" s="156" t="s">
        <v>596</v>
      </c>
    </row>
    <row r="41" spans="2:30" s="73" customFormat="1" ht="12.75" customHeight="1" x14ac:dyDescent="0.2">
      <c r="B41" s="187"/>
      <c r="C41" s="110"/>
      <c r="D41" s="188"/>
      <c r="E41" s="108"/>
      <c r="F41" s="108"/>
      <c r="G41" s="108"/>
      <c r="H41" s="189"/>
      <c r="I41" s="165"/>
      <c r="J41" s="190"/>
      <c r="K41" s="153">
        <v>108</v>
      </c>
      <c r="L41" s="108"/>
      <c r="M41" s="108"/>
      <c r="N41" s="111" t="e">
        <f>N43+O41</f>
        <v>#VALUE!</v>
      </c>
      <c r="O41" s="137">
        <v>153.44999999999999</v>
      </c>
      <c r="P41" s="140"/>
      <c r="Q41" s="139" t="s">
        <v>274</v>
      </c>
      <c r="R41" s="123"/>
      <c r="S41" s="418"/>
      <c r="T41" s="123">
        <v>1</v>
      </c>
      <c r="U41" s="123">
        <v>2</v>
      </c>
      <c r="V41" s="141"/>
      <c r="W41" s="142"/>
      <c r="X41" s="132"/>
      <c r="Y41" s="397"/>
      <c r="Z41" s="143">
        <v>1</v>
      </c>
      <c r="AA41" s="143"/>
      <c r="AB41" s="144"/>
      <c r="AC41" s="397"/>
      <c r="AD41" s="151" t="s">
        <v>276</v>
      </c>
    </row>
    <row r="42" spans="2:30" s="73" customFormat="1" ht="12.75" customHeight="1" x14ac:dyDescent="0.2">
      <c r="B42" s="121">
        <v>238</v>
      </c>
      <c r="C42" s="159" t="s">
        <v>580</v>
      </c>
      <c r="D42" s="160" t="s">
        <v>571</v>
      </c>
      <c r="E42" s="123"/>
      <c r="F42" s="123"/>
      <c r="G42" s="123"/>
      <c r="H42" s="169" t="s">
        <v>584</v>
      </c>
      <c r="I42" s="163" t="s">
        <v>567</v>
      </c>
      <c r="J42" s="186"/>
      <c r="K42" s="186"/>
      <c r="L42" s="123"/>
      <c r="M42" s="123"/>
      <c r="N42" s="125">
        <f>N40+O41</f>
        <v>3047.5699999999997</v>
      </c>
      <c r="O42" s="126"/>
      <c r="P42" s="191" t="s">
        <v>597</v>
      </c>
      <c r="Q42" s="128"/>
      <c r="R42" s="108"/>
      <c r="S42" s="418"/>
      <c r="T42" s="108"/>
      <c r="U42" s="108"/>
      <c r="V42" s="154"/>
      <c r="W42" s="155"/>
      <c r="X42" s="192"/>
      <c r="Y42" s="397"/>
      <c r="Z42" s="133"/>
      <c r="AA42" s="133"/>
      <c r="AB42" s="134"/>
      <c r="AC42" s="397"/>
      <c r="AD42" s="193"/>
    </row>
    <row r="43" spans="2:30" s="73" customFormat="1" ht="12.75" customHeight="1" x14ac:dyDescent="0.2">
      <c r="B43" s="106"/>
      <c r="C43" s="161"/>
      <c r="D43" s="188"/>
      <c r="E43" s="108"/>
      <c r="F43" s="108"/>
      <c r="G43" s="108"/>
      <c r="H43" s="189"/>
      <c r="I43" s="165"/>
      <c r="J43" s="190"/>
      <c r="K43" s="190">
        <v>108</v>
      </c>
      <c r="L43" s="108"/>
      <c r="M43" s="108"/>
      <c r="N43" s="111" t="e">
        <f>N45+O43</f>
        <v>#VALUE!</v>
      </c>
      <c r="O43" s="194">
        <v>141.09</v>
      </c>
      <c r="P43" s="195"/>
      <c r="Q43" s="139" t="s">
        <v>598</v>
      </c>
      <c r="R43" s="123"/>
      <c r="S43" s="418"/>
      <c r="T43" s="123">
        <v>1</v>
      </c>
      <c r="U43" s="123">
        <v>2</v>
      </c>
      <c r="V43" s="141"/>
      <c r="W43" s="142"/>
      <c r="X43" s="192"/>
      <c r="Y43" s="397"/>
      <c r="Z43" s="143">
        <v>1</v>
      </c>
      <c r="AA43" s="143"/>
      <c r="AB43" s="144"/>
      <c r="AC43" s="397"/>
      <c r="AD43" s="132"/>
    </row>
    <row r="44" spans="2:30" s="73" customFormat="1" ht="12.75" customHeight="1" x14ac:dyDescent="0.2">
      <c r="B44" s="166">
        <f>B42+1</f>
        <v>239</v>
      </c>
      <c r="C44" s="164" t="s">
        <v>580</v>
      </c>
      <c r="D44" s="171" t="s">
        <v>571</v>
      </c>
      <c r="E44" s="123"/>
      <c r="F44" s="123"/>
      <c r="G44" s="123"/>
      <c r="H44" s="169" t="s">
        <v>584</v>
      </c>
      <c r="I44" s="163" t="s">
        <v>567</v>
      </c>
      <c r="J44" s="153"/>
      <c r="K44" s="153"/>
      <c r="L44" s="123"/>
      <c r="M44" s="123"/>
      <c r="N44" s="125">
        <f>N42+O43</f>
        <v>3188.66</v>
      </c>
      <c r="O44" s="105"/>
      <c r="P44" s="196"/>
      <c r="Q44" s="128"/>
      <c r="R44" s="108"/>
      <c r="S44" s="418"/>
      <c r="T44" s="108"/>
      <c r="U44" s="108"/>
      <c r="V44" s="154"/>
      <c r="W44" s="155"/>
      <c r="X44" s="192"/>
      <c r="Y44" s="397"/>
      <c r="Z44" s="133"/>
      <c r="AA44" s="133"/>
      <c r="AB44" s="134"/>
      <c r="AC44" s="397"/>
      <c r="AD44" s="156" t="s">
        <v>599</v>
      </c>
    </row>
    <row r="45" spans="2:30" s="73" customFormat="1" ht="12.75" customHeight="1" x14ac:dyDescent="0.2">
      <c r="B45" s="106"/>
      <c r="C45" s="107"/>
      <c r="D45" s="162"/>
      <c r="E45" s="108"/>
      <c r="F45" s="108"/>
      <c r="G45" s="108"/>
      <c r="H45" s="109"/>
      <c r="I45" s="165"/>
      <c r="J45" s="110"/>
      <c r="K45" s="110">
        <v>108</v>
      </c>
      <c r="L45" s="108"/>
      <c r="M45" s="108"/>
      <c r="N45" s="111" t="e">
        <f>N47+O45</f>
        <v>#VALUE!</v>
      </c>
      <c r="O45" s="137">
        <v>136.78</v>
      </c>
      <c r="P45" s="197"/>
      <c r="Q45" s="139" t="s">
        <v>600</v>
      </c>
      <c r="R45" s="123"/>
      <c r="S45" s="418"/>
      <c r="T45" s="123">
        <v>1</v>
      </c>
      <c r="U45" s="123">
        <v>2</v>
      </c>
      <c r="V45" s="141"/>
      <c r="W45" s="142"/>
      <c r="X45" s="192"/>
      <c r="Y45" s="397"/>
      <c r="Z45" s="143">
        <v>1</v>
      </c>
      <c r="AA45" s="143"/>
      <c r="AB45" s="144"/>
      <c r="AC45" s="397"/>
      <c r="AD45" s="151"/>
    </row>
    <row r="46" spans="2:30" s="73" customFormat="1" ht="15.75" x14ac:dyDescent="0.2">
      <c r="B46" s="121">
        <f>B44+1</f>
        <v>240</v>
      </c>
      <c r="C46" s="159" t="s">
        <v>580</v>
      </c>
      <c r="D46" s="160" t="s">
        <v>571</v>
      </c>
      <c r="E46" s="413" t="s">
        <v>601</v>
      </c>
      <c r="F46" s="123"/>
      <c r="G46" s="123"/>
      <c r="H46" s="169" t="s">
        <v>584</v>
      </c>
      <c r="I46" s="163" t="s">
        <v>567</v>
      </c>
      <c r="J46" s="124"/>
      <c r="K46" s="124">
        <v>108</v>
      </c>
      <c r="L46" s="123"/>
      <c r="M46" s="123"/>
      <c r="N46" s="125">
        <f>N44+O45</f>
        <v>3325.44</v>
      </c>
      <c r="O46" s="198"/>
      <c r="P46" s="196"/>
      <c r="Q46" s="128"/>
      <c r="R46" s="108"/>
      <c r="S46" s="418"/>
      <c r="T46" s="108"/>
      <c r="U46" s="108"/>
      <c r="V46" s="154"/>
      <c r="W46" s="155"/>
      <c r="X46" s="192"/>
      <c r="Y46" s="397"/>
      <c r="Z46" s="133"/>
      <c r="AA46" s="133"/>
      <c r="AB46" s="134"/>
      <c r="AC46" s="397"/>
      <c r="AD46" s="156"/>
    </row>
    <row r="47" spans="2:30" s="73" customFormat="1" ht="22.5" x14ac:dyDescent="0.2">
      <c r="B47" s="106"/>
      <c r="C47" s="161"/>
      <c r="D47" s="178" t="s">
        <v>602</v>
      </c>
      <c r="E47" s="414"/>
      <c r="F47" s="108"/>
      <c r="G47" s="108"/>
      <c r="H47" s="189"/>
      <c r="I47" s="165"/>
      <c r="J47" s="110"/>
      <c r="K47" s="110">
        <v>9</v>
      </c>
      <c r="L47" s="108"/>
      <c r="M47" s="108"/>
      <c r="N47" s="111" t="e">
        <f>N49+O47</f>
        <v>#VALUE!</v>
      </c>
      <c r="O47" s="137">
        <v>114.86</v>
      </c>
      <c r="P47" s="197"/>
      <c r="Q47" s="139" t="s">
        <v>603</v>
      </c>
      <c r="R47" s="123"/>
      <c r="S47" s="418"/>
      <c r="T47" s="123">
        <v>1</v>
      </c>
      <c r="U47" s="123">
        <v>2</v>
      </c>
      <c r="V47" s="141"/>
      <c r="W47" s="142"/>
      <c r="X47" s="192"/>
      <c r="Y47" s="397"/>
      <c r="Z47" s="143">
        <v>1</v>
      </c>
      <c r="AA47" s="143"/>
      <c r="AB47" s="144"/>
      <c r="AC47" s="397"/>
      <c r="AD47" s="151"/>
    </row>
    <row r="48" spans="2:30" s="73" customFormat="1" ht="12.75" customHeight="1" x14ac:dyDescent="0.2">
      <c r="B48" s="166">
        <f>B46+1</f>
        <v>241</v>
      </c>
      <c r="C48" s="159" t="s">
        <v>580</v>
      </c>
      <c r="D48" s="171" t="s">
        <v>583</v>
      </c>
      <c r="E48" s="123"/>
      <c r="F48" s="123"/>
      <c r="G48" s="123"/>
      <c r="H48" s="97" t="s">
        <v>559</v>
      </c>
      <c r="I48" s="163" t="s">
        <v>567</v>
      </c>
      <c r="J48" s="153"/>
      <c r="K48" s="153"/>
      <c r="L48" s="123"/>
      <c r="M48" s="123"/>
      <c r="N48" s="125">
        <f>N46+O47</f>
        <v>3440.3</v>
      </c>
      <c r="O48" s="198"/>
      <c r="P48" s="196"/>
      <c r="Q48" s="128"/>
      <c r="R48" s="108"/>
      <c r="S48" s="418"/>
      <c r="T48" s="108"/>
      <c r="U48" s="108"/>
      <c r="V48" s="154"/>
      <c r="W48" s="155"/>
      <c r="X48" s="192"/>
      <c r="Y48" s="397"/>
      <c r="Z48" s="133"/>
      <c r="AA48" s="133"/>
      <c r="AB48" s="134"/>
      <c r="AC48" s="397"/>
      <c r="AD48" s="156" t="s">
        <v>599</v>
      </c>
    </row>
    <row r="49" spans="1:30" s="73" customFormat="1" ht="12.75" customHeight="1" x14ac:dyDescent="0.2">
      <c r="B49" s="106"/>
      <c r="C49" s="161"/>
      <c r="D49" s="162"/>
      <c r="E49" s="108"/>
      <c r="F49" s="108"/>
      <c r="G49" s="108"/>
      <c r="H49" s="109"/>
      <c r="I49" s="165"/>
      <c r="J49" s="110"/>
      <c r="K49" s="110">
        <v>216</v>
      </c>
      <c r="L49" s="108"/>
      <c r="M49" s="108"/>
      <c r="N49" s="111" t="e">
        <f>N51+O49</f>
        <v>#VALUE!</v>
      </c>
      <c r="O49" s="167">
        <v>234</v>
      </c>
      <c r="P49" s="197"/>
      <c r="Q49" s="139" t="s">
        <v>277</v>
      </c>
      <c r="R49" s="123"/>
      <c r="S49" s="418"/>
      <c r="T49" s="123">
        <v>1</v>
      </c>
      <c r="U49" s="123">
        <v>2</v>
      </c>
      <c r="V49" s="141"/>
      <c r="W49" s="142"/>
      <c r="X49" s="182"/>
      <c r="Y49" s="397"/>
      <c r="Z49" s="143">
        <v>1</v>
      </c>
      <c r="AA49" s="143"/>
      <c r="AB49" s="144"/>
      <c r="AC49" s="397"/>
      <c r="AD49" s="411" t="s">
        <v>278</v>
      </c>
    </row>
    <row r="50" spans="1:30" s="73" customFormat="1" ht="12.75" customHeight="1" x14ac:dyDescent="0.2">
      <c r="B50" s="121">
        <f>B48+1</f>
        <v>242</v>
      </c>
      <c r="C50" s="159" t="s">
        <v>587</v>
      </c>
      <c r="D50" s="160" t="s">
        <v>581</v>
      </c>
      <c r="E50" s="123"/>
      <c r="F50" s="123"/>
      <c r="G50" s="123"/>
      <c r="H50" s="97" t="s">
        <v>559</v>
      </c>
      <c r="I50" s="163" t="s">
        <v>567</v>
      </c>
      <c r="J50" s="124"/>
      <c r="K50" s="124"/>
      <c r="L50" s="123"/>
      <c r="M50" s="123"/>
      <c r="N50" s="125">
        <f>N48+O49</f>
        <v>3674.3</v>
      </c>
      <c r="O50" s="126"/>
      <c r="P50" s="129" t="s">
        <v>604</v>
      </c>
      <c r="Q50" s="128"/>
      <c r="R50" s="108"/>
      <c r="S50" s="418"/>
      <c r="T50" s="108"/>
      <c r="U50" s="108"/>
      <c r="V50" s="154"/>
      <c r="W50" s="155"/>
      <c r="X50" s="182"/>
      <c r="Y50" s="397"/>
      <c r="Z50" s="133"/>
      <c r="AA50" s="133"/>
      <c r="AB50" s="134"/>
      <c r="AC50" s="397"/>
      <c r="AD50" s="412"/>
    </row>
    <row r="51" spans="1:30" s="73" customFormat="1" ht="12.75" customHeight="1" x14ac:dyDescent="0.2">
      <c r="B51" s="166"/>
      <c r="C51" s="164"/>
      <c r="D51" s="171"/>
      <c r="E51" s="108"/>
      <c r="F51" s="108"/>
      <c r="G51" s="108"/>
      <c r="H51" s="172"/>
      <c r="I51" s="165"/>
      <c r="J51" s="153"/>
      <c r="K51" s="153">
        <v>162</v>
      </c>
      <c r="L51" s="108"/>
      <c r="M51" s="108"/>
      <c r="N51" s="111" t="e">
        <f>N53+O51</f>
        <v>#VALUE!</v>
      </c>
      <c r="O51" s="137">
        <v>101.54</v>
      </c>
      <c r="P51" s="197"/>
      <c r="Q51" s="139" t="s">
        <v>605</v>
      </c>
      <c r="R51" s="123"/>
      <c r="S51" s="418"/>
      <c r="T51" s="123">
        <v>1</v>
      </c>
      <c r="U51" s="123">
        <v>2</v>
      </c>
      <c r="V51" s="141"/>
      <c r="W51" s="199"/>
      <c r="X51" s="182"/>
      <c r="Y51" s="397"/>
      <c r="Z51" s="143">
        <v>1</v>
      </c>
      <c r="AA51" s="143"/>
      <c r="AB51" s="144"/>
      <c r="AC51" s="397"/>
      <c r="AD51" s="151"/>
    </row>
    <row r="52" spans="1:30" ht="14.25" customHeight="1" x14ac:dyDescent="0.25">
      <c r="A52" s="200"/>
      <c r="B52" s="121">
        <f>B50+1</f>
        <v>243</v>
      </c>
      <c r="C52" s="159" t="s">
        <v>580</v>
      </c>
      <c r="D52" s="160" t="s">
        <v>582</v>
      </c>
      <c r="E52" s="123"/>
      <c r="F52" s="123"/>
      <c r="G52" s="182"/>
      <c r="H52" s="97" t="s">
        <v>559</v>
      </c>
      <c r="I52" s="163" t="s">
        <v>567</v>
      </c>
      <c r="J52" s="124"/>
      <c r="K52" s="124"/>
      <c r="L52" s="182"/>
      <c r="M52" s="123"/>
      <c r="N52" s="125">
        <f>N50+O51</f>
        <v>3775.84</v>
      </c>
      <c r="O52" s="126"/>
      <c r="P52" s="129"/>
      <c r="Q52" s="128"/>
      <c r="R52" s="108"/>
      <c r="S52" s="418"/>
      <c r="T52" s="108"/>
      <c r="U52" s="108"/>
      <c r="V52" s="154"/>
      <c r="W52" s="201"/>
      <c r="X52" s="182"/>
      <c r="Y52" s="397"/>
      <c r="Z52" s="202"/>
      <c r="AA52" s="202"/>
      <c r="AB52" s="203"/>
      <c r="AC52" s="397"/>
      <c r="AD52" s="156"/>
    </row>
    <row r="53" spans="1:30" ht="14.25" customHeight="1" x14ac:dyDescent="0.25">
      <c r="A53" s="200"/>
      <c r="B53" s="166"/>
      <c r="C53" s="164"/>
      <c r="D53" s="171"/>
      <c r="E53" s="108"/>
      <c r="F53" s="108"/>
      <c r="G53" s="108"/>
      <c r="H53" s="173"/>
      <c r="I53" s="165"/>
      <c r="J53" s="153"/>
      <c r="K53" s="153">
        <v>162</v>
      </c>
      <c r="L53" s="108"/>
      <c r="M53" s="108"/>
      <c r="N53" s="111" t="e">
        <f>N55+O53</f>
        <v>#VALUE!</v>
      </c>
      <c r="O53" s="137">
        <v>362.2</v>
      </c>
      <c r="P53" s="197"/>
      <c r="Q53" s="180" t="s">
        <v>279</v>
      </c>
      <c r="R53" s="123"/>
      <c r="S53" s="418"/>
      <c r="T53" s="123">
        <v>1</v>
      </c>
      <c r="U53" s="123">
        <v>2</v>
      </c>
      <c r="V53" s="204"/>
      <c r="W53" s="205"/>
      <c r="X53" s="182"/>
      <c r="Y53" s="397"/>
      <c r="Z53" s="143">
        <v>1</v>
      </c>
      <c r="AA53" s="143"/>
      <c r="AB53" s="206">
        <v>3</v>
      </c>
      <c r="AC53" s="397"/>
      <c r="AD53" s="432" t="s">
        <v>281</v>
      </c>
    </row>
    <row r="54" spans="1:30" ht="14.25" customHeight="1" x14ac:dyDescent="0.25">
      <c r="A54" s="200"/>
      <c r="B54" s="121">
        <f>B52+1</f>
        <v>244</v>
      </c>
      <c r="C54" s="159" t="s">
        <v>587</v>
      </c>
      <c r="D54" s="160" t="s">
        <v>583</v>
      </c>
      <c r="E54" s="123"/>
      <c r="F54" s="123"/>
      <c r="G54" s="123"/>
      <c r="H54" s="97" t="s">
        <v>559</v>
      </c>
      <c r="I54" s="163" t="s">
        <v>567</v>
      </c>
      <c r="J54" s="124"/>
      <c r="K54" s="124"/>
      <c r="L54" s="123"/>
      <c r="M54" s="123"/>
      <c r="N54" s="125">
        <f>N52+O53</f>
        <v>4138.04</v>
      </c>
      <c r="O54" s="126"/>
      <c r="P54" s="129" t="s">
        <v>604</v>
      </c>
      <c r="Q54" s="128"/>
      <c r="R54" s="108"/>
      <c r="S54" s="418"/>
      <c r="T54" s="108"/>
      <c r="U54" s="108"/>
      <c r="V54" s="130"/>
      <c r="W54" s="131"/>
      <c r="X54" s="182"/>
      <c r="Y54" s="397"/>
      <c r="Z54" s="133"/>
      <c r="AA54" s="133"/>
      <c r="AB54" s="207"/>
      <c r="AC54" s="397"/>
      <c r="AD54" s="433"/>
    </row>
    <row r="55" spans="1:30" ht="14.25" customHeight="1" x14ac:dyDescent="0.25">
      <c r="A55" s="200"/>
      <c r="B55" s="106"/>
      <c r="C55" s="161"/>
      <c r="D55" s="162"/>
      <c r="E55" s="108"/>
      <c r="F55" s="108"/>
      <c r="G55" s="108"/>
      <c r="H55" s="109"/>
      <c r="I55" s="165"/>
      <c r="J55" s="110"/>
      <c r="K55" s="110">
        <v>216</v>
      </c>
      <c r="L55" s="108"/>
      <c r="M55" s="108"/>
      <c r="N55" s="111" t="e">
        <f>N57+O55</f>
        <v>#VALUE!</v>
      </c>
      <c r="O55" s="137">
        <v>56.6</v>
      </c>
      <c r="P55" s="197"/>
      <c r="Q55" s="139" t="s">
        <v>282</v>
      </c>
      <c r="R55" s="123"/>
      <c r="S55" s="418"/>
      <c r="T55" s="123">
        <v>1</v>
      </c>
      <c r="U55" s="123">
        <v>2</v>
      </c>
      <c r="V55" s="141"/>
      <c r="W55" s="105"/>
      <c r="X55" s="182"/>
      <c r="Y55" s="397"/>
      <c r="Z55" s="143">
        <v>1</v>
      </c>
      <c r="AA55" s="143"/>
      <c r="AB55" s="144"/>
      <c r="AC55" s="397"/>
      <c r="AD55" s="151" t="s">
        <v>284</v>
      </c>
    </row>
    <row r="56" spans="1:30" ht="14.25" customHeight="1" x14ac:dyDescent="0.25">
      <c r="A56" s="200"/>
      <c r="B56" s="121">
        <f>B54+1</f>
        <v>245</v>
      </c>
      <c r="C56" s="159" t="s">
        <v>580</v>
      </c>
      <c r="D56" s="160" t="s">
        <v>571</v>
      </c>
      <c r="E56" s="123"/>
      <c r="F56" s="123"/>
      <c r="G56" s="123"/>
      <c r="H56" s="169" t="s">
        <v>584</v>
      </c>
      <c r="I56" s="163" t="s">
        <v>567</v>
      </c>
      <c r="J56" s="124"/>
      <c r="K56" s="124"/>
      <c r="L56" s="123"/>
      <c r="M56" s="123"/>
      <c r="N56" s="125">
        <f>N54+O55</f>
        <v>4194.6400000000003</v>
      </c>
      <c r="O56" s="126"/>
      <c r="P56" s="196"/>
      <c r="Q56" s="128"/>
      <c r="R56" s="108"/>
      <c r="S56" s="418"/>
      <c r="T56" s="108"/>
      <c r="U56" s="108"/>
      <c r="V56" s="147"/>
      <c r="W56" s="105"/>
      <c r="X56" s="182"/>
      <c r="Y56" s="397"/>
      <c r="Z56" s="133"/>
      <c r="AA56" s="133"/>
      <c r="AB56" s="134"/>
      <c r="AC56" s="398"/>
      <c r="AD56" s="156"/>
    </row>
    <row r="57" spans="1:30" ht="14.25" customHeight="1" x14ac:dyDescent="0.25">
      <c r="A57" s="200"/>
      <c r="B57" s="106"/>
      <c r="C57" s="161"/>
      <c r="D57" s="162"/>
      <c r="E57" s="108"/>
      <c r="F57" s="108"/>
      <c r="G57" s="108"/>
      <c r="H57" s="109"/>
      <c r="I57" s="165"/>
      <c r="J57" s="110"/>
      <c r="K57" s="110">
        <v>108</v>
      </c>
      <c r="L57" s="108"/>
      <c r="M57" s="108"/>
      <c r="N57" s="111" t="e">
        <f>N59+O57</f>
        <v>#VALUE!</v>
      </c>
      <c r="O57" s="137">
        <v>233.15</v>
      </c>
      <c r="P57" s="197"/>
      <c r="Q57" s="139" t="s">
        <v>285</v>
      </c>
      <c r="R57" s="123"/>
      <c r="S57" s="418"/>
      <c r="T57" s="123">
        <v>1</v>
      </c>
      <c r="U57" s="123">
        <v>2</v>
      </c>
      <c r="V57" s="141"/>
      <c r="W57" s="142"/>
      <c r="X57" s="182"/>
      <c r="Y57" s="397"/>
      <c r="Z57" s="143">
        <v>1</v>
      </c>
      <c r="AA57" s="143"/>
      <c r="AB57" s="144"/>
      <c r="AC57" s="396" t="s">
        <v>287</v>
      </c>
      <c r="AD57" s="423" t="s">
        <v>288</v>
      </c>
    </row>
    <row r="58" spans="1:30" ht="14.25" customHeight="1" x14ac:dyDescent="0.25">
      <c r="A58" s="200"/>
      <c r="B58" s="121">
        <f>B56+1</f>
        <v>246</v>
      </c>
      <c r="C58" s="159" t="s">
        <v>580</v>
      </c>
      <c r="D58" s="160" t="s">
        <v>583</v>
      </c>
      <c r="E58" s="123"/>
      <c r="F58" s="123"/>
      <c r="G58" s="123"/>
      <c r="H58" s="97" t="s">
        <v>559</v>
      </c>
      <c r="I58" s="163" t="s">
        <v>567</v>
      </c>
      <c r="J58" s="124"/>
      <c r="K58" s="124"/>
      <c r="L58" s="123"/>
      <c r="M58" s="123"/>
      <c r="N58" s="125">
        <f>N56+O57</f>
        <v>4427.79</v>
      </c>
      <c r="O58" s="126"/>
      <c r="P58" s="196"/>
      <c r="Q58" s="128"/>
      <c r="R58" s="108"/>
      <c r="S58" s="418"/>
      <c r="T58" s="108"/>
      <c r="U58" s="108"/>
      <c r="V58" s="154"/>
      <c r="W58" s="155"/>
      <c r="X58" s="182"/>
      <c r="Y58" s="397"/>
      <c r="Z58" s="133"/>
      <c r="AA58" s="133"/>
      <c r="AB58" s="134"/>
      <c r="AC58" s="397"/>
      <c r="AD58" s="424"/>
    </row>
    <row r="59" spans="1:30" ht="14.25" customHeight="1" x14ac:dyDescent="0.25">
      <c r="A59" s="200"/>
      <c r="B59" s="106"/>
      <c r="C59" s="107"/>
      <c r="D59" s="162"/>
      <c r="E59" s="108"/>
      <c r="F59" s="108"/>
      <c r="G59" s="108"/>
      <c r="H59" s="109"/>
      <c r="I59" s="165"/>
      <c r="J59" s="110"/>
      <c r="K59" s="110">
        <v>216</v>
      </c>
      <c r="L59" s="108"/>
      <c r="M59" s="108"/>
      <c r="N59" s="111" t="e">
        <f>N61+O59</f>
        <v>#VALUE!</v>
      </c>
      <c r="O59" s="137">
        <v>242.95</v>
      </c>
      <c r="P59" s="197"/>
      <c r="Q59" s="139" t="s">
        <v>289</v>
      </c>
      <c r="R59" s="123"/>
      <c r="S59" s="418"/>
      <c r="T59" s="123">
        <v>1</v>
      </c>
      <c r="U59" s="123">
        <v>2</v>
      </c>
      <c r="V59" s="141"/>
      <c r="W59" s="142"/>
      <c r="X59" s="182"/>
      <c r="Y59" s="397"/>
      <c r="Z59" s="143">
        <v>1</v>
      </c>
      <c r="AA59" s="143"/>
      <c r="AB59" s="144"/>
      <c r="AC59" s="397"/>
      <c r="AD59" s="411" t="s">
        <v>291</v>
      </c>
    </row>
    <row r="60" spans="1:30" ht="14.25" customHeight="1" x14ac:dyDescent="0.25">
      <c r="A60" s="200"/>
      <c r="B60" s="121">
        <f>B58+1</f>
        <v>247</v>
      </c>
      <c r="C60" s="159" t="s">
        <v>580</v>
      </c>
      <c r="D60" s="160" t="s">
        <v>571</v>
      </c>
      <c r="E60" s="123"/>
      <c r="F60" s="123"/>
      <c r="G60" s="123"/>
      <c r="H60" s="169" t="s">
        <v>584</v>
      </c>
      <c r="I60" s="163" t="s">
        <v>567</v>
      </c>
      <c r="J60" s="124"/>
      <c r="K60" s="124"/>
      <c r="L60" s="123"/>
      <c r="M60" s="123"/>
      <c r="N60" s="125">
        <f>N58+O59</f>
        <v>4670.74</v>
      </c>
      <c r="O60" s="126"/>
      <c r="P60" s="196"/>
      <c r="Q60" s="128"/>
      <c r="R60" s="108"/>
      <c r="S60" s="418"/>
      <c r="T60" s="108"/>
      <c r="U60" s="108"/>
      <c r="V60" s="154"/>
      <c r="W60" s="155"/>
      <c r="X60" s="182"/>
      <c r="Y60" s="397"/>
      <c r="Z60" s="133"/>
      <c r="AA60" s="133"/>
      <c r="AB60" s="134"/>
      <c r="AC60" s="397"/>
      <c r="AD60" s="412"/>
    </row>
    <row r="61" spans="1:30" ht="14.25" customHeight="1" x14ac:dyDescent="0.25">
      <c r="A61" s="200"/>
      <c r="B61" s="106"/>
      <c r="C61" s="208"/>
      <c r="D61" s="162"/>
      <c r="E61" s="108"/>
      <c r="F61" s="108"/>
      <c r="G61" s="108"/>
      <c r="H61" s="172"/>
      <c r="I61" s="165"/>
      <c r="J61" s="110"/>
      <c r="K61" s="110">
        <v>108</v>
      </c>
      <c r="L61" s="108"/>
      <c r="M61" s="108"/>
      <c r="N61" s="111" t="e">
        <f>N63+O61</f>
        <v>#VALUE!</v>
      </c>
      <c r="O61" s="137">
        <v>244.12</v>
      </c>
      <c r="P61" s="197"/>
      <c r="Q61" s="139" t="s">
        <v>606</v>
      </c>
      <c r="R61" s="123"/>
      <c r="S61" s="418"/>
      <c r="T61" s="123">
        <v>1</v>
      </c>
      <c r="U61" s="123">
        <v>2</v>
      </c>
      <c r="V61" s="141"/>
      <c r="W61" s="199"/>
      <c r="X61" s="182"/>
      <c r="Y61" s="397"/>
      <c r="Z61" s="143">
        <v>1</v>
      </c>
      <c r="AA61" s="143"/>
      <c r="AB61" s="144"/>
      <c r="AC61" s="397"/>
      <c r="AD61" s="151"/>
    </row>
    <row r="62" spans="1:30" ht="14.25" customHeight="1" x14ac:dyDescent="0.25">
      <c r="A62" s="200"/>
      <c r="B62" s="121">
        <f>B60+1</f>
        <v>248</v>
      </c>
      <c r="C62" s="159" t="s">
        <v>580</v>
      </c>
      <c r="D62" s="160" t="s">
        <v>592</v>
      </c>
      <c r="E62" s="123"/>
      <c r="F62" s="123"/>
      <c r="G62" s="123"/>
      <c r="H62" s="169" t="s">
        <v>584</v>
      </c>
      <c r="I62" s="163" t="s">
        <v>567</v>
      </c>
      <c r="J62" s="124"/>
      <c r="K62" s="124"/>
      <c r="L62" s="123" t="s">
        <v>590</v>
      </c>
      <c r="M62" s="123"/>
      <c r="N62" s="125">
        <f>N60+O61</f>
        <v>4914.8599999999997</v>
      </c>
      <c r="O62" s="126"/>
      <c r="P62" s="196"/>
      <c r="Q62" s="128"/>
      <c r="R62" s="108"/>
      <c r="S62" s="418"/>
      <c r="T62" s="108"/>
      <c r="U62" s="108"/>
      <c r="V62" s="154"/>
      <c r="W62" s="201"/>
      <c r="X62" s="182"/>
      <c r="Y62" s="397"/>
      <c r="Z62" s="133"/>
      <c r="AA62" s="133"/>
      <c r="AB62" s="134"/>
      <c r="AC62" s="397"/>
      <c r="AD62" s="156"/>
    </row>
    <row r="63" spans="1:30" ht="14.25" customHeight="1" x14ac:dyDescent="0.25">
      <c r="A63" s="200"/>
      <c r="B63" s="106"/>
      <c r="C63" s="177"/>
      <c r="D63" s="162"/>
      <c r="E63" s="108"/>
      <c r="F63" s="108"/>
      <c r="G63" s="108"/>
      <c r="H63" s="109"/>
      <c r="I63" s="165"/>
      <c r="J63" s="110"/>
      <c r="K63" s="110">
        <v>54</v>
      </c>
      <c r="L63" s="108"/>
      <c r="M63" s="108"/>
      <c r="N63" s="111" t="e">
        <f>N65+O63</f>
        <v>#VALUE!</v>
      </c>
      <c r="O63" s="137">
        <v>169.92</v>
      </c>
      <c r="P63" s="197"/>
      <c r="Q63" s="139" t="s">
        <v>607</v>
      </c>
      <c r="R63" s="123"/>
      <c r="S63" s="418"/>
      <c r="T63" s="123">
        <v>1</v>
      </c>
      <c r="U63" s="123">
        <v>2</v>
      </c>
      <c r="V63" s="141"/>
      <c r="W63" s="142"/>
      <c r="X63" s="182"/>
      <c r="Y63" s="397"/>
      <c r="Z63" s="143">
        <v>1</v>
      </c>
      <c r="AA63" s="143"/>
      <c r="AB63" s="144"/>
      <c r="AC63" s="397"/>
      <c r="AD63" s="151"/>
    </row>
    <row r="64" spans="1:30" ht="14.25" customHeight="1" x14ac:dyDescent="0.25">
      <c r="A64" s="200"/>
      <c r="B64" s="121">
        <f>B62+1</f>
        <v>249</v>
      </c>
      <c r="C64" s="159" t="s">
        <v>580</v>
      </c>
      <c r="D64" s="160" t="s">
        <v>571</v>
      </c>
      <c r="E64" s="123"/>
      <c r="F64" s="123"/>
      <c r="G64" s="123"/>
      <c r="H64" s="169" t="s">
        <v>584</v>
      </c>
      <c r="I64" s="163" t="s">
        <v>567</v>
      </c>
      <c r="J64" s="124"/>
      <c r="K64" s="124"/>
      <c r="L64" s="123"/>
      <c r="M64" s="123"/>
      <c r="N64" s="125">
        <f>N62+O63</f>
        <v>5084.78</v>
      </c>
      <c r="O64" s="126"/>
      <c r="P64" s="196"/>
      <c r="Q64" s="128"/>
      <c r="R64" s="108"/>
      <c r="S64" s="418"/>
      <c r="T64" s="108"/>
      <c r="U64" s="108"/>
      <c r="V64" s="154"/>
      <c r="W64" s="155"/>
      <c r="X64" s="182"/>
      <c r="Y64" s="397"/>
      <c r="Z64" s="133"/>
      <c r="AA64" s="133"/>
      <c r="AB64" s="134"/>
      <c r="AC64" s="397"/>
      <c r="AD64" s="156"/>
    </row>
    <row r="65" spans="1:30" ht="14.25" customHeight="1" x14ac:dyDescent="0.25">
      <c r="A65" s="200"/>
      <c r="B65" s="106"/>
      <c r="C65" s="161"/>
      <c r="D65" s="162"/>
      <c r="E65" s="108"/>
      <c r="F65" s="108"/>
      <c r="G65" s="108"/>
      <c r="H65" s="172"/>
      <c r="I65" s="165"/>
      <c r="J65" s="110"/>
      <c r="K65" s="110">
        <v>108</v>
      </c>
      <c r="L65" s="108"/>
      <c r="M65" s="108"/>
      <c r="N65" s="111" t="e">
        <f>N67+O65</f>
        <v>#VALUE!</v>
      </c>
      <c r="O65" s="137">
        <v>123.63</v>
      </c>
      <c r="P65" s="197"/>
      <c r="Q65" s="139" t="s">
        <v>608</v>
      </c>
      <c r="R65" s="123"/>
      <c r="S65" s="418"/>
      <c r="T65" s="123">
        <v>1</v>
      </c>
      <c r="U65" s="123">
        <v>2</v>
      </c>
      <c r="V65" s="141"/>
      <c r="W65" s="142"/>
      <c r="X65" s="182"/>
      <c r="Y65" s="397"/>
      <c r="Z65" s="143">
        <v>1</v>
      </c>
      <c r="AA65" s="143"/>
      <c r="AB65" s="144"/>
      <c r="AC65" s="397"/>
      <c r="AD65" s="151"/>
    </row>
    <row r="66" spans="1:30" ht="14.25" customHeight="1" x14ac:dyDescent="0.25">
      <c r="A66" s="200"/>
      <c r="B66" s="121">
        <f>B64+1</f>
        <v>250</v>
      </c>
      <c r="C66" s="159" t="s">
        <v>580</v>
      </c>
      <c r="D66" s="160" t="s">
        <v>571</v>
      </c>
      <c r="E66" s="123"/>
      <c r="F66" s="123"/>
      <c r="G66" s="123"/>
      <c r="H66" s="169" t="s">
        <v>584</v>
      </c>
      <c r="I66" s="163" t="s">
        <v>567</v>
      </c>
      <c r="J66" s="124"/>
      <c r="K66" s="124"/>
      <c r="L66" s="123"/>
      <c r="M66" s="123"/>
      <c r="N66" s="125">
        <f>N64+O65</f>
        <v>5208.41</v>
      </c>
      <c r="O66" s="126"/>
      <c r="P66" s="196"/>
      <c r="Q66" s="128"/>
      <c r="R66" s="108"/>
      <c r="S66" s="418"/>
      <c r="T66" s="108"/>
      <c r="U66" s="108"/>
      <c r="V66" s="154"/>
      <c r="W66" s="155"/>
      <c r="X66" s="182"/>
      <c r="Y66" s="397"/>
      <c r="Z66" s="133"/>
      <c r="AA66" s="133"/>
      <c r="AB66" s="134"/>
      <c r="AC66" s="397"/>
      <c r="AD66" s="156" t="s">
        <v>609</v>
      </c>
    </row>
    <row r="67" spans="1:30" ht="14.25" customHeight="1" x14ac:dyDescent="0.25">
      <c r="A67" s="200"/>
      <c r="B67" s="106"/>
      <c r="C67" s="177"/>
      <c r="D67" s="162"/>
      <c r="E67" s="108"/>
      <c r="F67" s="108"/>
      <c r="G67" s="108"/>
      <c r="H67" s="109"/>
      <c r="I67" s="165"/>
      <c r="J67" s="110"/>
      <c r="K67" s="110">
        <v>108</v>
      </c>
      <c r="L67" s="108"/>
      <c r="M67" s="108"/>
      <c r="N67" s="111" t="e">
        <f>N69+O67</f>
        <v>#VALUE!</v>
      </c>
      <c r="O67" s="137">
        <v>210</v>
      </c>
      <c r="P67" s="140"/>
      <c r="Q67" s="139" t="s">
        <v>610</v>
      </c>
      <c r="R67" s="123"/>
      <c r="S67" s="418"/>
      <c r="T67" s="123">
        <v>1</v>
      </c>
      <c r="U67" s="123">
        <v>2</v>
      </c>
      <c r="V67" s="141"/>
      <c r="W67" s="142"/>
      <c r="X67" s="182"/>
      <c r="Y67" s="397"/>
      <c r="Z67" s="143">
        <v>1</v>
      </c>
      <c r="AA67" s="143"/>
      <c r="AB67" s="144"/>
      <c r="AC67" s="397"/>
      <c r="AD67" s="151"/>
    </row>
    <row r="68" spans="1:30" ht="14.25" customHeight="1" x14ac:dyDescent="0.25">
      <c r="A68" s="200"/>
      <c r="B68" s="121">
        <f>B66+1</f>
        <v>251</v>
      </c>
      <c r="C68" s="159" t="s">
        <v>587</v>
      </c>
      <c r="D68" s="160" t="s">
        <v>583</v>
      </c>
      <c r="E68" s="123"/>
      <c r="F68" s="123"/>
      <c r="G68" s="123"/>
      <c r="H68" s="97" t="s">
        <v>559</v>
      </c>
      <c r="I68" s="163" t="s">
        <v>567</v>
      </c>
      <c r="J68" s="124"/>
      <c r="K68" s="124"/>
      <c r="L68" s="123"/>
      <c r="M68" s="123"/>
      <c r="N68" s="125">
        <f>N66+O67</f>
        <v>5418.41</v>
      </c>
      <c r="O68" s="126"/>
      <c r="P68" s="129" t="s">
        <v>611</v>
      </c>
      <c r="Q68" s="128"/>
      <c r="R68" s="108"/>
      <c r="S68" s="418"/>
      <c r="T68" s="108"/>
      <c r="U68" s="108"/>
      <c r="V68" s="154"/>
      <c r="W68" s="155"/>
      <c r="X68" s="182"/>
      <c r="Y68" s="397"/>
      <c r="Z68" s="133"/>
      <c r="AA68" s="133"/>
      <c r="AB68" s="134"/>
      <c r="AC68" s="397"/>
      <c r="AD68" s="156" t="s">
        <v>612</v>
      </c>
    </row>
    <row r="69" spans="1:30" ht="14.25" customHeight="1" x14ac:dyDescent="0.25">
      <c r="A69" s="200"/>
      <c r="B69" s="187"/>
      <c r="C69" s="107"/>
      <c r="D69" s="188"/>
      <c r="E69" s="108"/>
      <c r="F69" s="108"/>
      <c r="G69" s="108"/>
      <c r="H69" s="172"/>
      <c r="I69" s="165"/>
      <c r="J69" s="110"/>
      <c r="K69" s="110">
        <v>216</v>
      </c>
      <c r="L69" s="108"/>
      <c r="M69" s="108"/>
      <c r="N69" s="111" t="e">
        <f>N71+O69</f>
        <v>#VALUE!</v>
      </c>
      <c r="O69" s="137">
        <v>193.13</v>
      </c>
      <c r="P69" s="197"/>
      <c r="Q69" s="139" t="s">
        <v>292</v>
      </c>
      <c r="R69" s="123"/>
      <c r="S69" s="418"/>
      <c r="T69" s="123">
        <v>1</v>
      </c>
      <c r="U69" s="123">
        <v>2</v>
      </c>
      <c r="V69" s="141"/>
      <c r="W69" s="142"/>
      <c r="X69" s="192"/>
      <c r="Y69" s="397"/>
      <c r="Z69" s="143">
        <v>1</v>
      </c>
      <c r="AA69" s="143"/>
      <c r="AB69" s="144"/>
      <c r="AC69" s="397"/>
      <c r="AD69" s="407" t="s">
        <v>294</v>
      </c>
    </row>
    <row r="70" spans="1:30" ht="14.25" customHeight="1" x14ac:dyDescent="0.25">
      <c r="A70" s="200"/>
      <c r="B70" s="121">
        <f>B68+1</f>
        <v>252</v>
      </c>
      <c r="C70" s="159" t="s">
        <v>587</v>
      </c>
      <c r="D70" s="160" t="s">
        <v>583</v>
      </c>
      <c r="E70" s="123"/>
      <c r="F70" s="123"/>
      <c r="G70" s="123"/>
      <c r="H70" s="97" t="s">
        <v>559</v>
      </c>
      <c r="I70" s="163" t="s">
        <v>567</v>
      </c>
      <c r="J70" s="124"/>
      <c r="K70" s="124"/>
      <c r="L70" s="123"/>
      <c r="M70" s="123"/>
      <c r="N70" s="125">
        <f>N68+O69</f>
        <v>5611.54</v>
      </c>
      <c r="O70" s="126"/>
      <c r="P70" s="196"/>
      <c r="Q70" s="128"/>
      <c r="R70" s="108"/>
      <c r="S70" s="418"/>
      <c r="T70" s="108"/>
      <c r="U70" s="108"/>
      <c r="V70" s="154"/>
      <c r="W70" s="155"/>
      <c r="X70" s="192"/>
      <c r="Y70" s="397"/>
      <c r="Z70" s="133"/>
      <c r="AA70" s="133"/>
      <c r="AB70" s="134"/>
      <c r="AC70" s="398"/>
      <c r="AD70" s="408"/>
    </row>
    <row r="71" spans="1:30" ht="14.25" customHeight="1" x14ac:dyDescent="0.25">
      <c r="A71" s="200"/>
      <c r="B71" s="187"/>
      <c r="C71" s="177"/>
      <c r="D71" s="188"/>
      <c r="E71" s="108"/>
      <c r="F71" s="108"/>
      <c r="G71" s="108"/>
      <c r="H71" s="172"/>
      <c r="I71" s="165"/>
      <c r="J71" s="110"/>
      <c r="K71" s="110">
        <v>240</v>
      </c>
      <c r="L71" s="108"/>
      <c r="M71" s="108"/>
      <c r="N71" s="111" t="e">
        <f>O71+N73</f>
        <v>#VALUE!</v>
      </c>
      <c r="O71" s="137">
        <v>285.26</v>
      </c>
      <c r="P71" s="197"/>
      <c r="Q71" s="139" t="s">
        <v>295</v>
      </c>
      <c r="R71" s="123"/>
      <c r="S71" s="418"/>
      <c r="T71" s="123">
        <v>1</v>
      </c>
      <c r="U71" s="123">
        <v>2</v>
      </c>
      <c r="V71" s="141"/>
      <c r="W71" s="142"/>
      <c r="X71" s="192"/>
      <c r="Y71" s="397"/>
      <c r="Z71" s="143">
        <v>1</v>
      </c>
      <c r="AA71" s="143"/>
      <c r="AB71" s="144"/>
      <c r="AC71" s="405" t="s">
        <v>297</v>
      </c>
      <c r="AD71" s="423" t="s">
        <v>298</v>
      </c>
    </row>
    <row r="72" spans="1:30" ht="14.25" customHeight="1" x14ac:dyDescent="0.25">
      <c r="A72" s="200"/>
      <c r="B72" s="121">
        <f>B70+1</f>
        <v>253</v>
      </c>
      <c r="C72" s="159" t="s">
        <v>587</v>
      </c>
      <c r="D72" s="160" t="s">
        <v>581</v>
      </c>
      <c r="E72" s="123"/>
      <c r="F72" s="123"/>
      <c r="G72" s="123"/>
      <c r="H72" s="97" t="s">
        <v>559</v>
      </c>
      <c r="I72" s="163" t="s">
        <v>567</v>
      </c>
      <c r="J72" s="124"/>
      <c r="K72" s="124"/>
      <c r="L72" s="123"/>
      <c r="M72" s="123"/>
      <c r="N72" s="125">
        <f>N70+O71</f>
        <v>5896.8</v>
      </c>
      <c r="O72" s="167"/>
      <c r="P72" s="181" t="s">
        <v>613</v>
      </c>
      <c r="Q72" s="128"/>
      <c r="R72" s="108"/>
      <c r="S72" s="419"/>
      <c r="T72" s="108"/>
      <c r="U72" s="108"/>
      <c r="V72" s="154"/>
      <c r="W72" s="155"/>
      <c r="X72" s="192"/>
      <c r="Y72" s="398"/>
      <c r="Z72" s="133"/>
      <c r="AA72" s="133"/>
      <c r="AB72" s="134"/>
      <c r="AC72" s="406"/>
      <c r="AD72" s="435"/>
    </row>
    <row r="73" spans="1:30" ht="14.25" customHeight="1" x14ac:dyDescent="0.25">
      <c r="A73" s="200"/>
      <c r="B73" s="209"/>
      <c r="C73" s="104"/>
      <c r="D73" s="171"/>
      <c r="E73" s="182"/>
      <c r="F73" s="182"/>
      <c r="G73" s="182"/>
      <c r="H73" s="173"/>
      <c r="I73" s="165"/>
      <c r="J73" s="153"/>
      <c r="K73" s="153">
        <v>162</v>
      </c>
      <c r="L73" s="182"/>
      <c r="M73" s="108"/>
      <c r="N73" s="111" t="e">
        <f>N75+O73</f>
        <v>#VALUE!</v>
      </c>
      <c r="O73" s="137">
        <v>79.48</v>
      </c>
      <c r="P73" s="210"/>
      <c r="Q73" s="139" t="s">
        <v>614</v>
      </c>
      <c r="R73" s="123"/>
      <c r="S73" s="396" t="s">
        <v>578</v>
      </c>
      <c r="T73" s="123">
        <v>1</v>
      </c>
      <c r="U73" s="123">
        <v>2</v>
      </c>
      <c r="V73" s="141"/>
      <c r="W73" s="142"/>
      <c r="X73" s="182"/>
      <c r="Y73" s="396" t="s">
        <v>579</v>
      </c>
      <c r="Z73" s="143">
        <v>1</v>
      </c>
      <c r="AA73" s="143"/>
      <c r="AB73" s="144"/>
      <c r="AC73" s="396" t="s">
        <v>297</v>
      </c>
      <c r="AD73" s="118"/>
    </row>
    <row r="74" spans="1:30" ht="14.25" customHeight="1" x14ac:dyDescent="0.25">
      <c r="A74" s="200"/>
      <c r="B74" s="121">
        <f>B72+1</f>
        <v>254</v>
      </c>
      <c r="C74" s="185" t="s">
        <v>580</v>
      </c>
      <c r="D74" s="160" t="s">
        <v>592</v>
      </c>
      <c r="E74" s="123"/>
      <c r="F74" s="123"/>
      <c r="G74" s="123"/>
      <c r="H74" s="169" t="s">
        <v>584</v>
      </c>
      <c r="I74" s="163" t="s">
        <v>567</v>
      </c>
      <c r="J74" s="211"/>
      <c r="K74" s="124"/>
      <c r="L74" s="123"/>
      <c r="M74" s="123"/>
      <c r="N74" s="125">
        <f>N72+O73</f>
        <v>5976.28</v>
      </c>
      <c r="O74" s="212"/>
      <c r="P74" s="213"/>
      <c r="Q74" s="128"/>
      <c r="R74" s="108"/>
      <c r="S74" s="397"/>
      <c r="T74" s="108"/>
      <c r="U74" s="108"/>
      <c r="V74" s="154"/>
      <c r="W74" s="155"/>
      <c r="X74" s="182"/>
      <c r="Y74" s="397"/>
      <c r="Z74" s="133"/>
      <c r="AA74" s="133"/>
      <c r="AB74" s="134"/>
      <c r="AC74" s="397"/>
      <c r="AD74" s="156"/>
    </row>
    <row r="75" spans="1:30" ht="14.25" customHeight="1" x14ac:dyDescent="0.25">
      <c r="A75" s="200"/>
      <c r="B75" s="187"/>
      <c r="C75" s="110"/>
      <c r="D75" s="162"/>
      <c r="E75" s="108"/>
      <c r="F75" s="108"/>
      <c r="G75" s="108"/>
      <c r="H75" s="109"/>
      <c r="I75" s="165"/>
      <c r="J75" s="108"/>
      <c r="K75" s="110">
        <v>54</v>
      </c>
      <c r="L75" s="108"/>
      <c r="M75" s="108"/>
      <c r="N75" s="111" t="e">
        <f>N77+O75</f>
        <v>#VALUE!</v>
      </c>
      <c r="O75" s="137">
        <v>157.03</v>
      </c>
      <c r="P75" s="197"/>
      <c r="Q75" s="139" t="s">
        <v>615</v>
      </c>
      <c r="R75" s="123"/>
      <c r="S75" s="397"/>
      <c r="T75" s="123">
        <v>1</v>
      </c>
      <c r="U75" s="123">
        <v>2</v>
      </c>
      <c r="V75" s="141"/>
      <c r="W75" s="142"/>
      <c r="X75" s="192"/>
      <c r="Y75" s="397"/>
      <c r="Z75" s="143">
        <v>1</v>
      </c>
      <c r="AA75" s="143"/>
      <c r="AB75" s="144"/>
      <c r="AC75" s="397"/>
      <c r="AD75" s="151"/>
    </row>
    <row r="76" spans="1:30" ht="14.25" customHeight="1" x14ac:dyDescent="0.25">
      <c r="A76" s="200"/>
      <c r="B76" s="121">
        <f>B74+1</f>
        <v>255</v>
      </c>
      <c r="C76" s="159" t="s">
        <v>587</v>
      </c>
      <c r="D76" s="171" t="s">
        <v>588</v>
      </c>
      <c r="E76" s="123"/>
      <c r="F76" s="123"/>
      <c r="G76" s="123"/>
      <c r="H76" s="97" t="s">
        <v>559</v>
      </c>
      <c r="I76" s="163" t="s">
        <v>567</v>
      </c>
      <c r="J76" s="211"/>
      <c r="K76" s="153"/>
      <c r="L76" s="123"/>
      <c r="M76" s="123"/>
      <c r="N76" s="125">
        <f>N74+O75</f>
        <v>6133.3099999999995</v>
      </c>
      <c r="O76" s="198"/>
      <c r="P76" s="196"/>
      <c r="Q76" s="128"/>
      <c r="R76" s="108"/>
      <c r="S76" s="397"/>
      <c r="T76" s="108"/>
      <c r="U76" s="108"/>
      <c r="V76" s="154"/>
      <c r="W76" s="155"/>
      <c r="X76" s="192"/>
      <c r="Y76" s="397"/>
      <c r="Z76" s="133"/>
      <c r="AA76" s="133"/>
      <c r="AB76" s="134"/>
      <c r="AC76" s="397"/>
      <c r="AD76" s="156"/>
    </row>
    <row r="77" spans="1:30" ht="14.25" customHeight="1" x14ac:dyDescent="0.25">
      <c r="A77" s="200"/>
      <c r="B77" s="209"/>
      <c r="C77" s="161"/>
      <c r="D77" s="162"/>
      <c r="E77" s="108"/>
      <c r="F77" s="108"/>
      <c r="G77" s="108"/>
      <c r="H77" s="109"/>
      <c r="I77" s="165"/>
      <c r="J77" s="108"/>
      <c r="K77" s="110">
        <v>108</v>
      </c>
      <c r="L77" s="108"/>
      <c r="M77" s="108"/>
      <c r="N77" s="111" t="e">
        <f>N79+O77</f>
        <v>#VALUE!</v>
      </c>
      <c r="O77" s="167">
        <v>216.08</v>
      </c>
      <c r="P77" s="197"/>
      <c r="Q77" s="139" t="s">
        <v>299</v>
      </c>
      <c r="R77" s="123"/>
      <c r="S77" s="397"/>
      <c r="T77" s="123">
        <v>1</v>
      </c>
      <c r="U77" s="123">
        <v>2</v>
      </c>
      <c r="V77" s="141"/>
      <c r="W77" s="142"/>
      <c r="X77" s="192"/>
      <c r="Y77" s="397"/>
      <c r="Z77" s="143">
        <v>1</v>
      </c>
      <c r="AA77" s="143"/>
      <c r="AB77" s="144"/>
      <c r="AC77" s="397"/>
      <c r="AD77" s="214" t="s">
        <v>263</v>
      </c>
    </row>
    <row r="78" spans="1:30" ht="14.25" customHeight="1" x14ac:dyDescent="0.25">
      <c r="A78" s="200"/>
      <c r="B78" s="121">
        <f>B76+1</f>
        <v>256</v>
      </c>
      <c r="C78" s="159" t="s">
        <v>587</v>
      </c>
      <c r="D78" s="160" t="s">
        <v>588</v>
      </c>
      <c r="E78" s="123"/>
      <c r="F78" s="123"/>
      <c r="G78" s="123"/>
      <c r="H78" s="97" t="s">
        <v>559</v>
      </c>
      <c r="I78" s="163" t="s">
        <v>567</v>
      </c>
      <c r="J78" s="211"/>
      <c r="K78" s="124"/>
      <c r="L78" s="123"/>
      <c r="M78" s="123"/>
      <c r="N78" s="125">
        <f>N76+O77</f>
        <v>6349.3899999999994</v>
      </c>
      <c r="O78" s="126"/>
      <c r="P78" s="129" t="s">
        <v>616</v>
      </c>
      <c r="Q78" s="128"/>
      <c r="R78" s="108"/>
      <c r="S78" s="397"/>
      <c r="T78" s="108"/>
      <c r="U78" s="108"/>
      <c r="V78" s="154"/>
      <c r="W78" s="155"/>
      <c r="X78" s="192"/>
      <c r="Y78" s="397"/>
      <c r="Z78" s="133"/>
      <c r="AA78" s="133"/>
      <c r="AB78" s="134"/>
      <c r="AC78" s="398"/>
      <c r="AD78" s="156"/>
    </row>
    <row r="79" spans="1:30" ht="14.25" customHeight="1" x14ac:dyDescent="0.25">
      <c r="A79" s="200"/>
      <c r="B79" s="187"/>
      <c r="C79" s="164"/>
      <c r="D79" s="171"/>
      <c r="E79" s="108"/>
      <c r="F79" s="108"/>
      <c r="G79" s="108"/>
      <c r="H79" s="172"/>
      <c r="I79" s="165"/>
      <c r="J79" s="108"/>
      <c r="K79" s="153">
        <v>108</v>
      </c>
      <c r="L79" s="108"/>
      <c r="M79" s="108"/>
      <c r="N79" s="111" t="e">
        <f>N81+O79</f>
        <v>#VALUE!</v>
      </c>
      <c r="O79" s="137">
        <v>343.26</v>
      </c>
      <c r="P79" s="197"/>
      <c r="Q79" s="139" t="s">
        <v>301</v>
      </c>
      <c r="R79" s="123"/>
      <c r="S79" s="397"/>
      <c r="T79" s="123">
        <v>1</v>
      </c>
      <c r="U79" s="123">
        <v>2</v>
      </c>
      <c r="V79" s="141"/>
      <c r="W79" s="199"/>
      <c r="X79" s="192"/>
      <c r="Y79" s="397"/>
      <c r="Z79" s="143">
        <v>1</v>
      </c>
      <c r="AA79" s="143"/>
      <c r="AB79" s="206">
        <v>5</v>
      </c>
      <c r="AC79" s="396" t="s">
        <v>303</v>
      </c>
      <c r="AD79" s="151" t="s">
        <v>304</v>
      </c>
    </row>
    <row r="80" spans="1:30" ht="14.25" customHeight="1" x14ac:dyDescent="0.25">
      <c r="A80" s="200"/>
      <c r="B80" s="121">
        <f>B78+1</f>
        <v>257</v>
      </c>
      <c r="C80" s="159" t="s">
        <v>580</v>
      </c>
      <c r="D80" s="160" t="s">
        <v>582</v>
      </c>
      <c r="E80" s="123"/>
      <c r="F80" s="123"/>
      <c r="G80" s="123"/>
      <c r="H80" s="97" t="s">
        <v>559</v>
      </c>
      <c r="I80" s="163" t="s">
        <v>567</v>
      </c>
      <c r="J80" s="211"/>
      <c r="K80" s="124"/>
      <c r="L80" s="123"/>
      <c r="M80" s="123"/>
      <c r="N80" s="125">
        <f>N78+O79</f>
        <v>6692.65</v>
      </c>
      <c r="O80" s="126"/>
      <c r="P80" s="129" t="s">
        <v>617</v>
      </c>
      <c r="Q80" s="128"/>
      <c r="R80" s="108"/>
      <c r="S80" s="397"/>
      <c r="T80" s="108"/>
      <c r="U80" s="108"/>
      <c r="V80" s="154"/>
      <c r="W80" s="201"/>
      <c r="X80" s="192"/>
      <c r="Y80" s="397"/>
      <c r="Z80" s="133"/>
      <c r="AA80" s="133"/>
      <c r="AB80" s="207"/>
      <c r="AC80" s="397"/>
      <c r="AD80" s="156"/>
    </row>
    <row r="81" spans="1:32" ht="14.25" customHeight="1" x14ac:dyDescent="0.25">
      <c r="A81" s="200"/>
      <c r="B81" s="209"/>
      <c r="C81" s="107"/>
      <c r="D81" s="171"/>
      <c r="E81" s="108"/>
      <c r="F81" s="108"/>
      <c r="G81" s="108"/>
      <c r="H81" s="173"/>
      <c r="I81" s="165"/>
      <c r="J81" s="108"/>
      <c r="K81" s="153">
        <v>162</v>
      </c>
      <c r="L81" s="108"/>
      <c r="M81" s="108"/>
      <c r="N81" s="111" t="e">
        <f>N83+O81</f>
        <v>#VALUE!</v>
      </c>
      <c r="O81" s="137">
        <v>152.94999999999999</v>
      </c>
      <c r="P81" s="197"/>
      <c r="Q81" s="139" t="s">
        <v>305</v>
      </c>
      <c r="R81" s="123"/>
      <c r="S81" s="397"/>
      <c r="T81" s="123">
        <v>1</v>
      </c>
      <c r="U81" s="123">
        <v>2</v>
      </c>
      <c r="V81" s="141"/>
      <c r="W81" s="142"/>
      <c r="X81" s="192"/>
      <c r="Y81" s="397"/>
      <c r="Z81" s="143">
        <v>1</v>
      </c>
      <c r="AA81" s="143"/>
      <c r="AB81" s="144"/>
      <c r="AC81" s="397"/>
      <c r="AD81" s="407" t="s">
        <v>307</v>
      </c>
    </row>
    <row r="82" spans="1:32" ht="14.25" customHeight="1" x14ac:dyDescent="0.25">
      <c r="A82" s="200"/>
      <c r="B82" s="121">
        <f>B80+1</f>
        <v>258</v>
      </c>
      <c r="C82" s="159" t="s">
        <v>580</v>
      </c>
      <c r="D82" s="160" t="s">
        <v>571</v>
      </c>
      <c r="E82" s="123"/>
      <c r="F82" s="123"/>
      <c r="G82" s="123"/>
      <c r="H82" s="169" t="s">
        <v>584</v>
      </c>
      <c r="I82" s="163" t="s">
        <v>567</v>
      </c>
      <c r="J82" s="211"/>
      <c r="K82" s="124"/>
      <c r="L82" s="123"/>
      <c r="M82" s="123"/>
      <c r="N82" s="125">
        <f>N80+O81</f>
        <v>6845.5999999999995</v>
      </c>
      <c r="O82" s="126"/>
      <c r="P82" s="215"/>
      <c r="Q82" s="128"/>
      <c r="R82" s="108"/>
      <c r="S82" s="397"/>
      <c r="T82" s="108"/>
      <c r="U82" s="108"/>
      <c r="V82" s="154"/>
      <c r="W82" s="155"/>
      <c r="X82" s="192"/>
      <c r="Y82" s="397"/>
      <c r="Z82" s="133"/>
      <c r="AA82" s="133"/>
      <c r="AB82" s="134"/>
      <c r="AC82" s="397"/>
      <c r="AD82" s="408"/>
    </row>
    <row r="83" spans="1:32" ht="14.25" customHeight="1" x14ac:dyDescent="0.25">
      <c r="A83" s="200"/>
      <c r="B83" s="209"/>
      <c r="C83" s="107"/>
      <c r="D83" s="162"/>
      <c r="E83" s="108"/>
      <c r="F83" s="108"/>
      <c r="G83" s="108"/>
      <c r="H83" s="109"/>
      <c r="I83" s="165"/>
      <c r="J83" s="108"/>
      <c r="K83" s="110">
        <v>108</v>
      </c>
      <c r="L83" s="108"/>
      <c r="M83" s="108"/>
      <c r="N83" s="111" t="e">
        <f>N85+O83</f>
        <v>#VALUE!</v>
      </c>
      <c r="O83" s="137">
        <v>231.12</v>
      </c>
      <c r="P83" s="197"/>
      <c r="Q83" s="139" t="s">
        <v>618</v>
      </c>
      <c r="R83" s="123"/>
      <c r="S83" s="397"/>
      <c r="T83" s="123">
        <v>1</v>
      </c>
      <c r="U83" s="123">
        <v>2</v>
      </c>
      <c r="V83" s="141"/>
      <c r="W83" s="142"/>
      <c r="X83" s="182"/>
      <c r="Y83" s="397"/>
      <c r="Z83" s="143">
        <v>1</v>
      </c>
      <c r="AA83" s="143"/>
      <c r="AB83" s="144"/>
      <c r="AC83" s="397"/>
      <c r="AD83" s="151"/>
    </row>
    <row r="84" spans="1:32" ht="14.25" customHeight="1" x14ac:dyDescent="0.25">
      <c r="A84" s="200"/>
      <c r="B84" s="121">
        <f>B82+1</f>
        <v>259</v>
      </c>
      <c r="C84" s="159" t="s">
        <v>580</v>
      </c>
      <c r="D84" s="160" t="s">
        <v>582</v>
      </c>
      <c r="E84" s="123"/>
      <c r="F84" s="123"/>
      <c r="G84" s="123"/>
      <c r="H84" s="97" t="s">
        <v>559</v>
      </c>
      <c r="I84" s="163" t="s">
        <v>567</v>
      </c>
      <c r="J84" s="211"/>
      <c r="K84" s="124"/>
      <c r="L84" s="123"/>
      <c r="M84" s="123"/>
      <c r="N84" s="125">
        <f>N82+O83</f>
        <v>7076.7199999999993</v>
      </c>
      <c r="O84" s="126"/>
      <c r="P84" s="196"/>
      <c r="Q84" s="128"/>
      <c r="R84" s="108"/>
      <c r="S84" s="397"/>
      <c r="T84" s="108"/>
      <c r="U84" s="108"/>
      <c r="V84" s="154"/>
      <c r="W84" s="155"/>
      <c r="X84" s="182"/>
      <c r="Y84" s="397"/>
      <c r="Z84" s="133"/>
      <c r="AA84" s="133"/>
      <c r="AB84" s="134"/>
      <c r="AC84" s="397"/>
      <c r="AD84" s="156"/>
    </row>
    <row r="85" spans="1:32" ht="14.25" customHeight="1" x14ac:dyDescent="0.25">
      <c r="A85" s="200"/>
      <c r="B85" s="157" t="s">
        <v>577</v>
      </c>
      <c r="C85" s="216"/>
      <c r="D85" s="162"/>
      <c r="E85" s="108"/>
      <c r="F85" s="108"/>
      <c r="G85" s="108"/>
      <c r="H85" s="109"/>
      <c r="I85" s="165"/>
      <c r="J85" s="108"/>
      <c r="K85" s="110">
        <v>162</v>
      </c>
      <c r="L85" s="108"/>
      <c r="M85" s="108"/>
      <c r="N85" s="111" t="e">
        <f>N87+O85</f>
        <v>#VALUE!</v>
      </c>
      <c r="O85" s="137">
        <v>211.5</v>
      </c>
      <c r="P85" s="197"/>
      <c r="Q85" s="139" t="s">
        <v>308</v>
      </c>
      <c r="R85" s="123"/>
      <c r="S85" s="397"/>
      <c r="T85" s="123">
        <v>1</v>
      </c>
      <c r="U85" s="123">
        <v>2</v>
      </c>
      <c r="V85" s="141"/>
      <c r="W85" s="142"/>
      <c r="X85" s="192"/>
      <c r="Y85" s="397"/>
      <c r="Z85" s="143">
        <v>1</v>
      </c>
      <c r="AA85" s="143"/>
      <c r="AB85" s="144"/>
      <c r="AC85" s="397"/>
      <c r="AD85" s="423" t="s">
        <v>310</v>
      </c>
    </row>
    <row r="86" spans="1:32" ht="14.25" customHeight="1" x14ac:dyDescent="0.2">
      <c r="B86" s="121">
        <f>B84+1</f>
        <v>260</v>
      </c>
      <c r="C86" s="159" t="s">
        <v>580</v>
      </c>
      <c r="D86" s="160" t="s">
        <v>571</v>
      </c>
      <c r="E86" s="123"/>
      <c r="F86" s="123"/>
      <c r="G86" s="123"/>
      <c r="H86" s="169" t="s">
        <v>584</v>
      </c>
      <c r="I86" s="163" t="s">
        <v>567</v>
      </c>
      <c r="J86" s="123"/>
      <c r="K86" s="124"/>
      <c r="L86" s="123"/>
      <c r="M86" s="123"/>
      <c r="N86" s="125">
        <f>N84+O85</f>
        <v>7288.2199999999993</v>
      </c>
      <c r="O86" s="126"/>
      <c r="P86" s="196"/>
      <c r="Q86" s="128"/>
      <c r="R86" s="108"/>
      <c r="S86" s="397"/>
      <c r="T86" s="108"/>
      <c r="U86" s="108"/>
      <c r="V86" s="154"/>
      <c r="W86" s="155"/>
      <c r="X86" s="192"/>
      <c r="Y86" s="397"/>
      <c r="Z86" s="133"/>
      <c r="AA86" s="133"/>
      <c r="AB86" s="134"/>
      <c r="AC86" s="397"/>
      <c r="AD86" s="424"/>
    </row>
    <row r="87" spans="1:32" ht="14.25" customHeight="1" x14ac:dyDescent="0.2">
      <c r="B87" s="187"/>
      <c r="C87" s="177"/>
      <c r="D87" s="217" t="s">
        <v>619</v>
      </c>
      <c r="E87" s="108"/>
      <c r="F87" s="108"/>
      <c r="G87" s="108"/>
      <c r="H87" s="109"/>
      <c r="I87" s="165"/>
      <c r="J87" s="108"/>
      <c r="K87" s="110">
        <v>108</v>
      </c>
      <c r="L87" s="108"/>
      <c r="M87" s="108"/>
      <c r="N87" s="111" t="e">
        <f>N89+O87</f>
        <v>#VALUE!</v>
      </c>
      <c r="O87" s="137">
        <v>297</v>
      </c>
      <c r="P87" s="197"/>
      <c r="Q87" s="218" t="s">
        <v>620</v>
      </c>
      <c r="R87" s="123"/>
      <c r="S87" s="397"/>
      <c r="T87" s="123">
        <v>1</v>
      </c>
      <c r="U87" s="123">
        <v>2</v>
      </c>
      <c r="V87" s="141"/>
      <c r="W87" s="199"/>
      <c r="X87" s="192"/>
      <c r="Y87" s="397"/>
      <c r="Z87" s="143">
        <v>1</v>
      </c>
      <c r="AA87" s="143"/>
      <c r="AB87" s="144"/>
      <c r="AC87" s="397"/>
      <c r="AD87" s="151"/>
      <c r="AE87" s="219"/>
      <c r="AF87" s="219"/>
    </row>
    <row r="88" spans="1:32" ht="12.75" customHeight="1" x14ac:dyDescent="0.2">
      <c r="B88" s="121">
        <f>B86+1</f>
        <v>261</v>
      </c>
      <c r="C88" s="159" t="s">
        <v>580</v>
      </c>
      <c r="D88" s="160" t="s">
        <v>592</v>
      </c>
      <c r="E88" s="123"/>
      <c r="F88" s="123"/>
      <c r="G88" s="123"/>
      <c r="H88" s="169" t="s">
        <v>584</v>
      </c>
      <c r="I88" s="163" t="s">
        <v>567</v>
      </c>
      <c r="J88" s="123"/>
      <c r="K88" s="124"/>
      <c r="L88" s="123"/>
      <c r="M88" s="123"/>
      <c r="N88" s="125">
        <f>N86+O87</f>
        <v>7585.2199999999993</v>
      </c>
      <c r="O88" s="126"/>
      <c r="P88" s="196"/>
      <c r="Q88" s="220"/>
      <c r="R88" s="108"/>
      <c r="S88" s="397"/>
      <c r="T88" s="108"/>
      <c r="U88" s="108"/>
      <c r="V88" s="154"/>
      <c r="W88" s="201"/>
      <c r="X88" s="192"/>
      <c r="Y88" s="397"/>
      <c r="Z88" s="133"/>
      <c r="AA88" s="133"/>
      <c r="AB88" s="134"/>
      <c r="AC88" s="397"/>
      <c r="AD88" s="156"/>
    </row>
    <row r="89" spans="1:32" ht="12.75" customHeight="1" x14ac:dyDescent="0.2">
      <c r="B89" s="209"/>
      <c r="C89" s="161"/>
      <c r="D89" s="162"/>
      <c r="E89" s="108"/>
      <c r="F89" s="108"/>
      <c r="G89" s="108"/>
      <c r="H89" s="109"/>
      <c r="I89" s="165"/>
      <c r="J89" s="108"/>
      <c r="K89" s="110">
        <v>54</v>
      </c>
      <c r="L89" s="108"/>
      <c r="M89" s="108"/>
      <c r="N89" s="111" t="e">
        <f>N91+O89</f>
        <v>#VALUE!</v>
      </c>
      <c r="O89" s="137">
        <v>102.6</v>
      </c>
      <c r="P89" s="197"/>
      <c r="Q89" s="221" t="s">
        <v>621</v>
      </c>
      <c r="R89" s="123"/>
      <c r="S89" s="397"/>
      <c r="T89" s="123">
        <v>1</v>
      </c>
      <c r="U89" s="123">
        <v>2</v>
      </c>
      <c r="V89" s="141"/>
      <c r="W89" s="142"/>
      <c r="X89" s="192"/>
      <c r="Y89" s="397"/>
      <c r="Z89" s="143">
        <v>1</v>
      </c>
      <c r="AA89" s="143"/>
      <c r="AB89" s="144"/>
      <c r="AC89" s="397"/>
      <c r="AD89" s="151"/>
    </row>
    <row r="90" spans="1:32" ht="12.75" customHeight="1" x14ac:dyDescent="0.2">
      <c r="B90" s="121">
        <f>B88+1</f>
        <v>262</v>
      </c>
      <c r="C90" s="159" t="s">
        <v>580</v>
      </c>
      <c r="D90" s="160" t="s">
        <v>592</v>
      </c>
      <c r="E90" s="123"/>
      <c r="F90" s="123"/>
      <c r="G90" s="123"/>
      <c r="H90" s="169" t="s">
        <v>584</v>
      </c>
      <c r="I90" s="163" t="s">
        <v>567</v>
      </c>
      <c r="J90" s="123"/>
      <c r="K90" s="124"/>
      <c r="L90" s="123"/>
      <c r="M90" s="123"/>
      <c r="N90" s="125">
        <f>N88+O89</f>
        <v>7687.82</v>
      </c>
      <c r="O90" s="126"/>
      <c r="P90" s="129"/>
      <c r="Q90" s="222"/>
      <c r="R90" s="108"/>
      <c r="S90" s="397"/>
      <c r="T90" s="108"/>
      <c r="U90" s="108"/>
      <c r="V90" s="154"/>
      <c r="W90" s="155"/>
      <c r="X90" s="192"/>
      <c r="Y90" s="397"/>
      <c r="Z90" s="133"/>
      <c r="AA90" s="133"/>
      <c r="AB90" s="134"/>
      <c r="AC90" s="397"/>
      <c r="AD90" s="156"/>
    </row>
    <row r="91" spans="1:32" ht="12.75" customHeight="1" x14ac:dyDescent="0.2">
      <c r="B91" s="187"/>
      <c r="C91" s="177"/>
      <c r="D91" s="162"/>
      <c r="E91" s="108"/>
      <c r="F91" s="108"/>
      <c r="G91" s="108"/>
      <c r="H91" s="109"/>
      <c r="I91" s="165"/>
      <c r="J91" s="108"/>
      <c r="K91" s="110">
        <v>54</v>
      </c>
      <c r="L91" s="108"/>
      <c r="M91" s="108"/>
      <c r="N91" s="111" t="e">
        <f>N93+O91</f>
        <v>#VALUE!</v>
      </c>
      <c r="O91" s="137">
        <v>216.89</v>
      </c>
      <c r="P91" s="197"/>
      <c r="Q91" s="139" t="s">
        <v>622</v>
      </c>
      <c r="R91" s="123"/>
      <c r="S91" s="397"/>
      <c r="T91" s="123">
        <v>1</v>
      </c>
      <c r="U91" s="123">
        <v>2</v>
      </c>
      <c r="V91" s="141"/>
      <c r="W91" s="199"/>
      <c r="X91" s="192"/>
      <c r="Y91" s="397"/>
      <c r="Z91" s="143">
        <v>1</v>
      </c>
      <c r="AA91" s="143"/>
      <c r="AB91" s="144"/>
      <c r="AC91" s="397"/>
      <c r="AD91" s="151"/>
    </row>
    <row r="92" spans="1:32" ht="12.75" customHeight="1" x14ac:dyDescent="0.2">
      <c r="B92" s="121">
        <f>B90+1</f>
        <v>263</v>
      </c>
      <c r="C92" s="159" t="s">
        <v>580</v>
      </c>
      <c r="D92" s="160" t="s">
        <v>592</v>
      </c>
      <c r="E92" s="123"/>
      <c r="F92" s="123"/>
      <c r="G92" s="123"/>
      <c r="H92" s="169" t="s">
        <v>584</v>
      </c>
      <c r="I92" s="163" t="s">
        <v>567</v>
      </c>
      <c r="J92" s="123"/>
      <c r="K92" s="124"/>
      <c r="L92" s="123" t="s">
        <v>590</v>
      </c>
      <c r="M92" s="123"/>
      <c r="N92" s="125">
        <f>N90+O91</f>
        <v>7904.71</v>
      </c>
      <c r="O92" s="126"/>
      <c r="P92" s="196"/>
      <c r="Q92" s="128"/>
      <c r="R92" s="108"/>
      <c r="S92" s="397"/>
      <c r="T92" s="108"/>
      <c r="U92" s="108"/>
      <c r="V92" s="154"/>
      <c r="W92" s="201"/>
      <c r="X92" s="192"/>
      <c r="Y92" s="397"/>
      <c r="Z92" s="133"/>
      <c r="AA92" s="133"/>
      <c r="AB92" s="134"/>
      <c r="AC92" s="397"/>
      <c r="AD92" s="156"/>
    </row>
    <row r="93" spans="1:32" ht="12.75" customHeight="1" x14ac:dyDescent="0.2">
      <c r="B93" s="209"/>
      <c r="C93" s="161"/>
      <c r="D93" s="162"/>
      <c r="E93" s="108"/>
      <c r="F93" s="108"/>
      <c r="G93" s="108"/>
      <c r="H93" s="109"/>
      <c r="I93" s="165"/>
      <c r="J93" s="108"/>
      <c r="K93" s="110">
        <v>54</v>
      </c>
      <c r="L93" s="108"/>
      <c r="M93" s="108"/>
      <c r="N93" s="111" t="e">
        <f>N95+O93</f>
        <v>#VALUE!</v>
      </c>
      <c r="O93" s="137">
        <v>198.68</v>
      </c>
      <c r="P93" s="197"/>
      <c r="Q93" s="139" t="s">
        <v>623</v>
      </c>
      <c r="R93" s="123"/>
      <c r="S93" s="397"/>
      <c r="T93" s="123">
        <v>1</v>
      </c>
      <c r="U93" s="123">
        <v>2</v>
      </c>
      <c r="V93" s="141"/>
      <c r="W93" s="142"/>
      <c r="X93" s="182"/>
      <c r="Y93" s="397"/>
      <c r="Z93" s="143">
        <v>1</v>
      </c>
      <c r="AA93" s="143"/>
      <c r="AB93" s="144"/>
      <c r="AC93" s="397"/>
      <c r="AD93" s="151"/>
    </row>
    <row r="94" spans="1:32" ht="15.75" x14ac:dyDescent="0.2">
      <c r="B94" s="121">
        <f>B92+1</f>
        <v>264</v>
      </c>
      <c r="C94" s="159" t="s">
        <v>580</v>
      </c>
      <c r="D94" s="160" t="s">
        <v>592</v>
      </c>
      <c r="E94" s="413" t="s">
        <v>624</v>
      </c>
      <c r="F94" s="123"/>
      <c r="G94" s="123"/>
      <c r="H94" s="169" t="s">
        <v>584</v>
      </c>
      <c r="I94" s="163" t="s">
        <v>567</v>
      </c>
      <c r="J94" s="123"/>
      <c r="K94" s="124">
        <v>72</v>
      </c>
      <c r="L94" s="123"/>
      <c r="M94" s="123"/>
      <c r="N94" s="125">
        <f>N92+O93</f>
        <v>8103.39</v>
      </c>
      <c r="O94" s="126"/>
      <c r="P94" s="196"/>
      <c r="Q94" s="128"/>
      <c r="R94" s="108"/>
      <c r="S94" s="397"/>
      <c r="T94" s="108"/>
      <c r="U94" s="108"/>
      <c r="V94" s="154"/>
      <c r="W94" s="155"/>
      <c r="X94" s="182"/>
      <c r="Y94" s="397"/>
      <c r="Z94" s="133"/>
      <c r="AA94" s="133"/>
      <c r="AB94" s="134"/>
      <c r="AC94" s="397"/>
      <c r="AD94" s="156"/>
    </row>
    <row r="95" spans="1:32" ht="22.5" x14ac:dyDescent="0.2">
      <c r="B95" s="187"/>
      <c r="C95" s="107"/>
      <c r="D95" s="178" t="s">
        <v>602</v>
      </c>
      <c r="E95" s="414"/>
      <c r="F95" s="108"/>
      <c r="G95" s="108"/>
      <c r="H95" s="109"/>
      <c r="I95" s="165"/>
      <c r="J95" s="108"/>
      <c r="K95" s="110">
        <v>9</v>
      </c>
      <c r="L95" s="108"/>
      <c r="M95" s="108"/>
      <c r="N95" s="111" t="e">
        <f>N97+O95</f>
        <v>#VALUE!</v>
      </c>
      <c r="O95" s="137">
        <v>190.53</v>
      </c>
      <c r="P95" s="197"/>
      <c r="Q95" s="139" t="s">
        <v>625</v>
      </c>
      <c r="R95" s="123"/>
      <c r="S95" s="397"/>
      <c r="T95" s="123">
        <v>1</v>
      </c>
      <c r="U95" s="123">
        <v>2</v>
      </c>
      <c r="V95" s="141"/>
      <c r="W95" s="142"/>
      <c r="X95" s="182"/>
      <c r="Y95" s="397"/>
      <c r="Z95" s="143">
        <v>1</v>
      </c>
      <c r="AA95" s="143"/>
      <c r="AB95" s="144"/>
      <c r="AC95" s="397"/>
      <c r="AD95" s="151"/>
    </row>
    <row r="96" spans="1:32" ht="12.75" customHeight="1" x14ac:dyDescent="0.2">
      <c r="B96" s="121">
        <f>B94+1</f>
        <v>265</v>
      </c>
      <c r="C96" s="159" t="s">
        <v>580</v>
      </c>
      <c r="D96" s="160" t="s">
        <v>592</v>
      </c>
      <c r="E96" s="123"/>
      <c r="F96" s="123"/>
      <c r="G96" s="123"/>
      <c r="H96" s="169" t="s">
        <v>584</v>
      </c>
      <c r="I96" s="163" t="s">
        <v>567</v>
      </c>
      <c r="J96" s="123"/>
      <c r="K96" s="124"/>
      <c r="L96" s="123" t="s">
        <v>590</v>
      </c>
      <c r="M96" s="123"/>
      <c r="N96" s="125">
        <f>N94+O95</f>
        <v>8293.92</v>
      </c>
      <c r="O96" s="126"/>
      <c r="P96" s="129" t="s">
        <v>626</v>
      </c>
      <c r="Q96" s="128"/>
      <c r="R96" s="108"/>
      <c r="S96" s="397"/>
      <c r="T96" s="108"/>
      <c r="U96" s="108"/>
      <c r="V96" s="154"/>
      <c r="W96" s="155"/>
      <c r="X96" s="182"/>
      <c r="Y96" s="397"/>
      <c r="Z96" s="133"/>
      <c r="AA96" s="133"/>
      <c r="AB96" s="134"/>
      <c r="AC96" s="397"/>
      <c r="AD96" s="156"/>
    </row>
    <row r="97" spans="2:30" ht="12.75" customHeight="1" x14ac:dyDescent="0.2">
      <c r="B97" s="209"/>
      <c r="C97" s="107"/>
      <c r="D97" s="188"/>
      <c r="E97" s="108"/>
      <c r="F97" s="108"/>
      <c r="G97" s="108"/>
      <c r="H97" s="109"/>
      <c r="I97" s="165"/>
      <c r="J97" s="108"/>
      <c r="K97" s="110">
        <v>54</v>
      </c>
      <c r="L97" s="108"/>
      <c r="M97" s="108"/>
      <c r="N97" s="111" t="e">
        <f>N99+O97</f>
        <v>#VALUE!</v>
      </c>
      <c r="O97" s="137">
        <v>269.41000000000003</v>
      </c>
      <c r="P97" s="197"/>
      <c r="Q97" s="139" t="s">
        <v>627</v>
      </c>
      <c r="R97" s="123"/>
      <c r="S97" s="397"/>
      <c r="T97" s="123">
        <v>1</v>
      </c>
      <c r="U97" s="123">
        <v>2</v>
      </c>
      <c r="V97" s="141"/>
      <c r="W97" s="142"/>
      <c r="X97" s="182"/>
      <c r="Y97" s="397"/>
      <c r="Z97" s="143">
        <v>1</v>
      </c>
      <c r="AA97" s="143"/>
      <c r="AB97" s="144"/>
      <c r="AC97" s="397"/>
      <c r="AD97" s="151"/>
    </row>
    <row r="98" spans="2:30" ht="12.75" customHeight="1" x14ac:dyDescent="0.2">
      <c r="B98" s="121">
        <f>B96+1</f>
        <v>266</v>
      </c>
      <c r="C98" s="223" t="s">
        <v>628</v>
      </c>
      <c r="D98" s="160" t="s">
        <v>583</v>
      </c>
      <c r="E98" s="123"/>
      <c r="F98" s="123"/>
      <c r="G98" s="123"/>
      <c r="H98" s="97" t="s">
        <v>559</v>
      </c>
      <c r="I98" s="163" t="s">
        <v>567</v>
      </c>
      <c r="J98" s="123"/>
      <c r="K98" s="124">
        <v>216</v>
      </c>
      <c r="L98" s="123"/>
      <c r="M98" s="123"/>
      <c r="N98" s="125">
        <f>N96+O97</f>
        <v>8563.33</v>
      </c>
      <c r="O98" s="126"/>
      <c r="P98" s="129" t="s">
        <v>629</v>
      </c>
      <c r="Q98" s="128"/>
      <c r="R98" s="108"/>
      <c r="S98" s="397"/>
      <c r="T98" s="108"/>
      <c r="U98" s="108"/>
      <c r="V98" s="154"/>
      <c r="W98" s="155"/>
      <c r="X98" s="182"/>
      <c r="Y98" s="397"/>
      <c r="Z98" s="133"/>
      <c r="AA98" s="133"/>
      <c r="AB98" s="134"/>
      <c r="AC98" s="397"/>
      <c r="AD98" s="156"/>
    </row>
    <row r="99" spans="2:30" ht="22.5" x14ac:dyDescent="0.2">
      <c r="B99" s="187"/>
      <c r="C99" s="224"/>
      <c r="D99" s="225" t="s">
        <v>630</v>
      </c>
      <c r="E99" s="108"/>
      <c r="F99" s="108"/>
      <c r="G99" s="108"/>
      <c r="H99" s="172"/>
      <c r="I99" s="165"/>
      <c r="J99" s="108"/>
      <c r="K99" s="110">
        <v>27</v>
      </c>
      <c r="L99" s="108"/>
      <c r="M99" s="108"/>
      <c r="N99" s="111" t="e">
        <f>N101+O99</f>
        <v>#VALUE!</v>
      </c>
      <c r="O99" s="137">
        <v>156.11000000000001</v>
      </c>
      <c r="P99" s="197"/>
      <c r="Q99" s="139" t="s">
        <v>311</v>
      </c>
      <c r="R99" s="123"/>
      <c r="S99" s="397"/>
      <c r="T99" s="123">
        <v>1</v>
      </c>
      <c r="U99" s="123">
        <v>2</v>
      </c>
      <c r="V99" s="141"/>
      <c r="W99" s="142"/>
      <c r="X99" s="182"/>
      <c r="Y99" s="397"/>
      <c r="Z99" s="143">
        <v>1</v>
      </c>
      <c r="AA99" s="143"/>
      <c r="AB99" s="144"/>
      <c r="AC99" s="397"/>
      <c r="AD99" s="401" t="s">
        <v>313</v>
      </c>
    </row>
    <row r="100" spans="2:30" ht="12.75" customHeight="1" x14ac:dyDescent="0.2">
      <c r="B100" s="121">
        <f>B98+1</f>
        <v>267</v>
      </c>
      <c r="C100" s="223" t="s">
        <v>628</v>
      </c>
      <c r="D100" s="160" t="s">
        <v>583</v>
      </c>
      <c r="E100" s="123"/>
      <c r="F100" s="123"/>
      <c r="G100" s="123"/>
      <c r="H100" s="97" t="s">
        <v>559</v>
      </c>
      <c r="I100" s="163" t="s">
        <v>567</v>
      </c>
      <c r="J100" s="123"/>
      <c r="K100" s="124">
        <v>216</v>
      </c>
      <c r="L100" s="123"/>
      <c r="M100" s="123"/>
      <c r="N100" s="125">
        <f>N98+O99</f>
        <v>8719.44</v>
      </c>
      <c r="O100" s="126"/>
      <c r="P100" s="129" t="s">
        <v>631</v>
      </c>
      <c r="Q100" s="128"/>
      <c r="R100" s="108"/>
      <c r="S100" s="397"/>
      <c r="T100" s="108"/>
      <c r="U100" s="108"/>
      <c r="V100" s="154"/>
      <c r="W100" s="155"/>
      <c r="X100" s="182"/>
      <c r="Y100" s="397"/>
      <c r="Z100" s="133"/>
      <c r="AA100" s="133"/>
      <c r="AB100" s="134"/>
      <c r="AC100" s="397"/>
      <c r="AD100" s="402"/>
    </row>
    <row r="101" spans="2:30" ht="22.5" x14ac:dyDescent="0.2">
      <c r="B101" s="209"/>
      <c r="C101" s="177"/>
      <c r="D101" s="225" t="s">
        <v>630</v>
      </c>
      <c r="E101" s="108"/>
      <c r="F101" s="108"/>
      <c r="G101" s="108"/>
      <c r="H101" s="109"/>
      <c r="I101" s="165"/>
      <c r="J101" s="108"/>
      <c r="K101" s="110">
        <v>27</v>
      </c>
      <c r="L101" s="108"/>
      <c r="M101" s="108"/>
      <c r="N101" s="111" t="e">
        <f>N103+O101</f>
        <v>#VALUE!</v>
      </c>
      <c r="O101" s="137">
        <v>215.65</v>
      </c>
      <c r="P101" s="197"/>
      <c r="Q101" s="139" t="s">
        <v>314</v>
      </c>
      <c r="R101" s="123"/>
      <c r="S101" s="397"/>
      <c r="T101" s="123">
        <v>1</v>
      </c>
      <c r="U101" s="123">
        <v>2</v>
      </c>
      <c r="V101" s="141"/>
      <c r="W101" s="142"/>
      <c r="X101" s="182"/>
      <c r="Y101" s="397"/>
      <c r="Z101" s="143">
        <v>1</v>
      </c>
      <c r="AA101" s="143"/>
      <c r="AB101" s="144"/>
      <c r="AC101" s="397"/>
      <c r="AD101" s="407" t="s">
        <v>316</v>
      </c>
    </row>
    <row r="102" spans="2:30" ht="12.75" customHeight="1" x14ac:dyDescent="0.2">
      <c r="B102" s="121">
        <f>B100+1</f>
        <v>268</v>
      </c>
      <c r="C102" s="159" t="s">
        <v>632</v>
      </c>
      <c r="D102" s="160" t="s">
        <v>583</v>
      </c>
      <c r="E102" s="123"/>
      <c r="F102" s="123"/>
      <c r="G102" s="123"/>
      <c r="H102" s="97" t="s">
        <v>559</v>
      </c>
      <c r="I102" s="163" t="s">
        <v>567</v>
      </c>
      <c r="J102" s="123"/>
      <c r="K102" s="124"/>
      <c r="L102" s="123"/>
      <c r="M102" s="123"/>
      <c r="N102" s="125">
        <f>N100+O101</f>
        <v>8935.09</v>
      </c>
      <c r="O102" s="126"/>
      <c r="P102" s="191" t="s">
        <v>633</v>
      </c>
      <c r="Q102" s="128"/>
      <c r="R102" s="108"/>
      <c r="S102" s="397"/>
      <c r="T102" s="108"/>
      <c r="U102" s="108"/>
      <c r="V102" s="154"/>
      <c r="W102" s="155"/>
      <c r="X102" s="182"/>
      <c r="Y102" s="397"/>
      <c r="Z102" s="133"/>
      <c r="AA102" s="133"/>
      <c r="AB102" s="134"/>
      <c r="AC102" s="397"/>
      <c r="AD102" s="408"/>
    </row>
    <row r="103" spans="2:30" ht="12.75" customHeight="1" x14ac:dyDescent="0.2">
      <c r="B103" s="187"/>
      <c r="C103" s="161"/>
      <c r="D103" s="162"/>
      <c r="E103" s="108"/>
      <c r="F103" s="108"/>
      <c r="G103" s="108"/>
      <c r="H103" s="189"/>
      <c r="I103" s="165"/>
      <c r="J103" s="108"/>
      <c r="K103" s="110">
        <v>216</v>
      </c>
      <c r="L103" s="108"/>
      <c r="M103" s="108"/>
      <c r="N103" s="111" t="e">
        <f>N105+O103</f>
        <v>#VALUE!</v>
      </c>
      <c r="O103" s="194">
        <v>155.74</v>
      </c>
      <c r="P103" s="195"/>
      <c r="Q103" s="139" t="s">
        <v>634</v>
      </c>
      <c r="R103" s="123"/>
      <c r="S103" s="397"/>
      <c r="T103" s="123">
        <v>1</v>
      </c>
      <c r="U103" s="123">
        <v>2</v>
      </c>
      <c r="V103" s="141"/>
      <c r="W103" s="199"/>
      <c r="X103" s="182"/>
      <c r="Y103" s="397"/>
      <c r="Z103" s="143">
        <v>1</v>
      </c>
      <c r="AA103" s="143"/>
      <c r="AB103" s="144"/>
      <c r="AC103" s="397"/>
      <c r="AD103" s="132"/>
    </row>
    <row r="104" spans="2:30" ht="12.75" customHeight="1" x14ac:dyDescent="0.2">
      <c r="B104" s="121">
        <f>B102+1</f>
        <v>269</v>
      </c>
      <c r="C104" s="164" t="s">
        <v>580</v>
      </c>
      <c r="D104" s="226" t="s">
        <v>581</v>
      </c>
      <c r="E104" s="123"/>
      <c r="F104" s="123"/>
      <c r="G104" s="123"/>
      <c r="H104" s="97" t="s">
        <v>559</v>
      </c>
      <c r="I104" s="163" t="s">
        <v>567</v>
      </c>
      <c r="J104" s="123"/>
      <c r="K104" s="227"/>
      <c r="L104" s="123"/>
      <c r="M104" s="123"/>
      <c r="N104" s="125">
        <f>N102+O103</f>
        <v>9090.83</v>
      </c>
      <c r="O104" s="212"/>
      <c r="P104" s="129" t="s">
        <v>635</v>
      </c>
      <c r="Q104" s="128"/>
      <c r="R104" s="108"/>
      <c r="S104" s="397"/>
      <c r="T104" s="108"/>
      <c r="U104" s="108"/>
      <c r="V104" s="154"/>
      <c r="W104" s="201"/>
      <c r="X104" s="182"/>
      <c r="Y104" s="397"/>
      <c r="Z104" s="133"/>
      <c r="AA104" s="133"/>
      <c r="AB104" s="134"/>
      <c r="AC104" s="398"/>
      <c r="AD104" s="156"/>
    </row>
    <row r="105" spans="2:30" ht="12.75" customHeight="1" x14ac:dyDescent="0.2">
      <c r="B105" s="209"/>
      <c r="C105" s="161"/>
      <c r="D105" s="162"/>
      <c r="E105" s="108"/>
      <c r="F105" s="108"/>
      <c r="G105" s="108"/>
      <c r="H105" s="109"/>
      <c r="I105" s="165"/>
      <c r="J105" s="108"/>
      <c r="K105" s="110">
        <v>162</v>
      </c>
      <c r="L105" s="108"/>
      <c r="M105" s="108"/>
      <c r="N105" s="111" t="e">
        <f>N107+O105</f>
        <v>#VALUE!</v>
      </c>
      <c r="O105" s="167">
        <v>191.3</v>
      </c>
      <c r="P105" s="140"/>
      <c r="Q105" s="139" t="s">
        <v>636</v>
      </c>
      <c r="R105" s="123"/>
      <c r="S105" s="397"/>
      <c r="T105" s="123">
        <v>1</v>
      </c>
      <c r="U105" s="123">
        <v>2</v>
      </c>
      <c r="V105" s="141"/>
      <c r="W105" s="142"/>
      <c r="X105" s="182"/>
      <c r="Y105" s="397"/>
      <c r="Z105" s="143">
        <v>1</v>
      </c>
      <c r="AA105" s="143"/>
      <c r="AB105" s="144"/>
      <c r="AC105" s="430" t="s">
        <v>637</v>
      </c>
      <c r="AD105" s="214"/>
    </row>
    <row r="106" spans="2:30" ht="12.75" customHeight="1" x14ac:dyDescent="0.2">
      <c r="B106" s="121">
        <f>B104+1</f>
        <v>270</v>
      </c>
      <c r="C106" s="159" t="s">
        <v>580</v>
      </c>
      <c r="D106" s="160" t="s">
        <v>592</v>
      </c>
      <c r="E106" s="123"/>
      <c r="F106" s="123"/>
      <c r="G106" s="123"/>
      <c r="H106" s="169" t="s">
        <v>584</v>
      </c>
      <c r="I106" s="163" t="s">
        <v>567</v>
      </c>
      <c r="J106" s="123"/>
      <c r="K106" s="124"/>
      <c r="L106" s="123"/>
      <c r="M106" s="123"/>
      <c r="N106" s="125">
        <f>N104+O105</f>
        <v>9282.1299999999992</v>
      </c>
      <c r="O106" s="179"/>
      <c r="P106" s="181"/>
      <c r="Q106" s="128"/>
      <c r="R106" s="108"/>
      <c r="S106" s="398"/>
      <c r="T106" s="108"/>
      <c r="U106" s="108"/>
      <c r="V106" s="154"/>
      <c r="W106" s="155"/>
      <c r="X106" s="182"/>
      <c r="Y106" s="398"/>
      <c r="Z106" s="133"/>
      <c r="AA106" s="133"/>
      <c r="AB106" s="134"/>
      <c r="AC106" s="431"/>
      <c r="AD106" s="228"/>
    </row>
    <row r="107" spans="2:30" ht="12.75" customHeight="1" x14ac:dyDescent="0.2">
      <c r="B107" s="187"/>
      <c r="C107" s="164"/>
      <c r="D107" s="171"/>
      <c r="E107" s="182"/>
      <c r="F107" s="182"/>
      <c r="G107" s="182"/>
      <c r="H107" s="172"/>
      <c r="I107" s="165"/>
      <c r="J107" s="182"/>
      <c r="K107" s="153">
        <v>54</v>
      </c>
      <c r="L107" s="182"/>
      <c r="M107" s="108"/>
      <c r="N107" s="111" t="e">
        <f>N109+O107</f>
        <v>#VALUE!</v>
      </c>
      <c r="O107" s="137">
        <v>241.25</v>
      </c>
      <c r="P107" s="210"/>
      <c r="Q107" s="139" t="s">
        <v>638</v>
      </c>
      <c r="R107" s="123"/>
      <c r="S107" s="396" t="s">
        <v>578</v>
      </c>
      <c r="T107" s="123">
        <v>1</v>
      </c>
      <c r="U107" s="123">
        <v>2</v>
      </c>
      <c r="V107" s="141"/>
      <c r="W107" s="142"/>
      <c r="X107" s="182"/>
      <c r="Y107" s="396" t="s">
        <v>579</v>
      </c>
      <c r="Z107" s="143">
        <v>1</v>
      </c>
      <c r="AA107" s="143"/>
      <c r="AB107" s="144"/>
      <c r="AC107" s="417" t="s">
        <v>637</v>
      </c>
      <c r="AD107" s="183"/>
    </row>
    <row r="108" spans="2:30" ht="12.75" customHeight="1" x14ac:dyDescent="0.2">
      <c r="B108" s="121">
        <f>B106+1</f>
        <v>271</v>
      </c>
      <c r="C108" s="185" t="s">
        <v>587</v>
      </c>
      <c r="D108" s="160" t="s">
        <v>588</v>
      </c>
      <c r="E108" s="123"/>
      <c r="F108" s="123"/>
      <c r="G108" s="123"/>
      <c r="H108" s="169" t="s">
        <v>559</v>
      </c>
      <c r="I108" s="163" t="s">
        <v>567</v>
      </c>
      <c r="J108" s="123"/>
      <c r="K108" s="124"/>
      <c r="L108" s="123"/>
      <c r="M108" s="123"/>
      <c r="N108" s="125">
        <f>N106+O107</f>
        <v>9523.3799999999992</v>
      </c>
      <c r="O108" s="126"/>
      <c r="P108" s="129" t="s">
        <v>639</v>
      </c>
      <c r="Q108" s="128"/>
      <c r="R108" s="108"/>
      <c r="S108" s="397"/>
      <c r="T108" s="108"/>
      <c r="U108" s="108"/>
      <c r="V108" s="154"/>
      <c r="W108" s="155"/>
      <c r="X108" s="182"/>
      <c r="Y108" s="397"/>
      <c r="Z108" s="133"/>
      <c r="AA108" s="133"/>
      <c r="AB108" s="134"/>
      <c r="AC108" s="418"/>
      <c r="AD108" s="156"/>
    </row>
    <row r="109" spans="2:30" ht="12.75" customHeight="1" x14ac:dyDescent="0.2">
      <c r="B109" s="209"/>
      <c r="C109" s="229"/>
      <c r="D109" s="162"/>
      <c r="E109" s="108"/>
      <c r="F109" s="108"/>
      <c r="G109" s="108"/>
      <c r="H109" s="109"/>
      <c r="I109" s="165"/>
      <c r="J109" s="108"/>
      <c r="K109" s="110">
        <v>108</v>
      </c>
      <c r="L109" s="108"/>
      <c r="M109" s="108"/>
      <c r="N109" s="111" t="e">
        <f>N111+O109</f>
        <v>#VALUE!</v>
      </c>
      <c r="O109" s="137">
        <v>79.11</v>
      </c>
      <c r="P109" s="197"/>
      <c r="Q109" s="139" t="s">
        <v>317</v>
      </c>
      <c r="R109" s="123"/>
      <c r="S109" s="397"/>
      <c r="T109" s="123">
        <v>1</v>
      </c>
      <c r="U109" s="123">
        <v>2</v>
      </c>
      <c r="V109" s="141"/>
      <c r="W109" s="142"/>
      <c r="X109" s="182"/>
      <c r="Y109" s="397"/>
      <c r="Z109" s="143">
        <v>1</v>
      </c>
      <c r="AA109" s="143"/>
      <c r="AB109" s="144"/>
      <c r="AC109" s="418"/>
      <c r="AD109" s="151" t="s">
        <v>319</v>
      </c>
    </row>
    <row r="110" spans="2:30" ht="12.75" customHeight="1" x14ac:dyDescent="0.2">
      <c r="B110" s="121">
        <f>B108+1</f>
        <v>272</v>
      </c>
      <c r="C110" s="159" t="s">
        <v>587</v>
      </c>
      <c r="D110" s="160" t="s">
        <v>588</v>
      </c>
      <c r="E110" s="123"/>
      <c r="F110" s="123"/>
      <c r="G110" s="123"/>
      <c r="H110" s="97" t="s">
        <v>559</v>
      </c>
      <c r="I110" s="163" t="s">
        <v>567</v>
      </c>
      <c r="J110" s="123"/>
      <c r="K110" s="124"/>
      <c r="L110" s="123"/>
      <c r="M110" s="123"/>
      <c r="N110" s="125">
        <f>N108+O109</f>
        <v>9602.49</v>
      </c>
      <c r="O110" s="126"/>
      <c r="P110" s="215"/>
      <c r="Q110" s="128"/>
      <c r="R110" s="108"/>
      <c r="S110" s="397"/>
      <c r="T110" s="108"/>
      <c r="U110" s="108"/>
      <c r="V110" s="154"/>
      <c r="W110" s="155"/>
      <c r="X110" s="182"/>
      <c r="Y110" s="397"/>
      <c r="Z110" s="133"/>
      <c r="AA110" s="133"/>
      <c r="AB110" s="134"/>
      <c r="AC110" s="418"/>
      <c r="AD110" s="156"/>
    </row>
    <row r="111" spans="2:30" ht="12.75" customHeight="1" x14ac:dyDescent="0.2">
      <c r="B111" s="187"/>
      <c r="C111" s="161"/>
      <c r="D111" s="162"/>
      <c r="E111" s="108"/>
      <c r="F111" s="108"/>
      <c r="G111" s="108"/>
      <c r="H111" s="109"/>
      <c r="I111" s="165"/>
      <c r="J111" s="108"/>
      <c r="K111" s="110">
        <v>108</v>
      </c>
      <c r="L111" s="108"/>
      <c r="M111" s="108"/>
      <c r="N111" s="111" t="e">
        <f>N113+O111</f>
        <v>#VALUE!</v>
      </c>
      <c r="O111" s="137">
        <v>313</v>
      </c>
      <c r="P111" s="197"/>
      <c r="Q111" s="139" t="s">
        <v>640</v>
      </c>
      <c r="R111" s="123"/>
      <c r="S111" s="397"/>
      <c r="T111" s="123">
        <v>1</v>
      </c>
      <c r="U111" s="123">
        <v>2</v>
      </c>
      <c r="V111" s="141"/>
      <c r="W111" s="142"/>
      <c r="X111" s="182"/>
      <c r="Y111" s="397"/>
      <c r="Z111" s="143">
        <v>1</v>
      </c>
      <c r="AA111" s="143"/>
      <c r="AB111" s="144"/>
      <c r="AC111" s="418"/>
      <c r="AD111" s="151"/>
    </row>
    <row r="112" spans="2:30" ht="12.75" customHeight="1" x14ac:dyDescent="0.2">
      <c r="B112" s="121">
        <f>B110+1</f>
        <v>273</v>
      </c>
      <c r="C112" s="159" t="s">
        <v>580</v>
      </c>
      <c r="D112" s="160" t="s">
        <v>588</v>
      </c>
      <c r="E112" s="123"/>
      <c r="F112" s="123"/>
      <c r="G112" s="123"/>
      <c r="H112" s="97" t="s">
        <v>559</v>
      </c>
      <c r="I112" s="163" t="s">
        <v>567</v>
      </c>
      <c r="J112" s="123"/>
      <c r="K112" s="124"/>
      <c r="L112" s="123"/>
      <c r="M112" s="123"/>
      <c r="N112" s="125">
        <f>N110+O111</f>
        <v>9915.49</v>
      </c>
      <c r="O112" s="126"/>
      <c r="P112" s="129" t="s">
        <v>641</v>
      </c>
      <c r="Q112" s="128"/>
      <c r="R112" s="108"/>
      <c r="S112" s="397"/>
      <c r="T112" s="108"/>
      <c r="U112" s="108"/>
      <c r="V112" s="154"/>
      <c r="W112" s="155"/>
      <c r="X112" s="182"/>
      <c r="Y112" s="397"/>
      <c r="Z112" s="133"/>
      <c r="AA112" s="133"/>
      <c r="AB112" s="134"/>
      <c r="AC112" s="418"/>
      <c r="AD112" s="156"/>
    </row>
    <row r="113" spans="2:30" ht="12.75" customHeight="1" x14ac:dyDescent="0.2">
      <c r="B113" s="209"/>
      <c r="C113" s="161"/>
      <c r="D113" s="162"/>
      <c r="E113" s="108"/>
      <c r="F113" s="108"/>
      <c r="G113" s="108"/>
      <c r="H113" s="109"/>
      <c r="I113" s="165"/>
      <c r="J113" s="108"/>
      <c r="K113" s="110">
        <v>108</v>
      </c>
      <c r="L113" s="108"/>
      <c r="M113" s="108"/>
      <c r="N113" s="111" t="e">
        <f>N115+O113</f>
        <v>#VALUE!</v>
      </c>
      <c r="O113" s="137">
        <v>292</v>
      </c>
      <c r="P113" s="197"/>
      <c r="Q113" s="139" t="s">
        <v>642</v>
      </c>
      <c r="R113" s="123"/>
      <c r="S113" s="397"/>
      <c r="T113" s="123">
        <v>1</v>
      </c>
      <c r="U113" s="123">
        <v>2</v>
      </c>
      <c r="V113" s="141"/>
      <c r="W113" s="199"/>
      <c r="X113" s="182"/>
      <c r="Y113" s="397"/>
      <c r="Z113" s="143">
        <v>1</v>
      </c>
      <c r="AA113" s="143"/>
      <c r="AB113" s="144"/>
      <c r="AC113" s="418"/>
      <c r="AD113" s="151"/>
    </row>
    <row r="114" spans="2:30" ht="12.75" customHeight="1" x14ac:dyDescent="0.2">
      <c r="B114" s="121">
        <f>B112+1</f>
        <v>274</v>
      </c>
      <c r="C114" s="159" t="s">
        <v>580</v>
      </c>
      <c r="D114" s="160" t="s">
        <v>588</v>
      </c>
      <c r="E114" s="123"/>
      <c r="F114" s="123"/>
      <c r="G114" s="123"/>
      <c r="H114" s="97" t="s">
        <v>559</v>
      </c>
      <c r="I114" s="163" t="s">
        <v>567</v>
      </c>
      <c r="J114" s="123"/>
      <c r="K114" s="124"/>
      <c r="L114" s="123"/>
      <c r="M114" s="123"/>
      <c r="N114" s="125">
        <f>N112+O113</f>
        <v>10207.49</v>
      </c>
      <c r="O114" s="126"/>
      <c r="P114" s="196"/>
      <c r="Q114" s="128"/>
      <c r="R114" s="108"/>
      <c r="S114" s="397"/>
      <c r="T114" s="108"/>
      <c r="U114" s="108"/>
      <c r="V114" s="154"/>
      <c r="W114" s="201"/>
      <c r="X114" s="182"/>
      <c r="Y114" s="397"/>
      <c r="Z114" s="133"/>
      <c r="AA114" s="133"/>
      <c r="AB114" s="134"/>
      <c r="AC114" s="418"/>
      <c r="AD114" s="156"/>
    </row>
    <row r="115" spans="2:30" ht="12.75" customHeight="1" x14ac:dyDescent="0.2">
      <c r="B115" s="187"/>
      <c r="C115" s="107"/>
      <c r="D115" s="162"/>
      <c r="E115" s="108"/>
      <c r="F115" s="108"/>
      <c r="G115" s="108"/>
      <c r="H115" s="109"/>
      <c r="I115" s="165"/>
      <c r="J115" s="108"/>
      <c r="K115" s="110">
        <v>108</v>
      </c>
      <c r="L115" s="108"/>
      <c r="M115" s="108"/>
      <c r="N115" s="111" t="e">
        <f>N117+O115</f>
        <v>#VALUE!</v>
      </c>
      <c r="O115" s="137">
        <v>83.67</v>
      </c>
      <c r="P115" s="197"/>
      <c r="Q115" s="139" t="s">
        <v>643</v>
      </c>
      <c r="R115" s="123"/>
      <c r="S115" s="397"/>
      <c r="T115" s="123">
        <v>1</v>
      </c>
      <c r="U115" s="123">
        <v>2</v>
      </c>
      <c r="V115" s="141"/>
      <c r="W115" s="142"/>
      <c r="X115" s="192"/>
      <c r="Y115" s="397"/>
      <c r="Z115" s="143">
        <v>1</v>
      </c>
      <c r="AA115" s="143"/>
      <c r="AB115" s="144"/>
      <c r="AC115" s="418"/>
      <c r="AD115" s="151"/>
    </row>
    <row r="116" spans="2:30" ht="12.75" customHeight="1" x14ac:dyDescent="0.2">
      <c r="B116" s="121">
        <f>B114+1</f>
        <v>275</v>
      </c>
      <c r="C116" s="159" t="s">
        <v>580</v>
      </c>
      <c r="D116" s="160" t="s">
        <v>582</v>
      </c>
      <c r="E116" s="123"/>
      <c r="F116" s="123"/>
      <c r="G116" s="123"/>
      <c r="H116" s="97" t="s">
        <v>559</v>
      </c>
      <c r="I116" s="163" t="s">
        <v>567</v>
      </c>
      <c r="J116" s="123"/>
      <c r="K116" s="124"/>
      <c r="L116" s="123"/>
      <c r="M116" s="123"/>
      <c r="N116" s="125">
        <f>N114+O115</f>
        <v>10291.16</v>
      </c>
      <c r="O116" s="126"/>
      <c r="P116" s="129" t="s">
        <v>644</v>
      </c>
      <c r="Q116" s="128"/>
      <c r="R116" s="108"/>
      <c r="S116" s="397"/>
      <c r="T116" s="108"/>
      <c r="U116" s="108"/>
      <c r="V116" s="154"/>
      <c r="W116" s="155"/>
      <c r="X116" s="192"/>
      <c r="Y116" s="397"/>
      <c r="Z116" s="133"/>
      <c r="AA116" s="133"/>
      <c r="AB116" s="134"/>
      <c r="AC116" s="418"/>
      <c r="AD116" s="156"/>
    </row>
    <row r="117" spans="2:30" ht="12.75" customHeight="1" x14ac:dyDescent="0.2">
      <c r="B117" s="157" t="s">
        <v>577</v>
      </c>
      <c r="C117" s="158"/>
      <c r="D117" s="162"/>
      <c r="E117" s="108"/>
      <c r="F117" s="108"/>
      <c r="G117" s="108"/>
      <c r="H117" s="172"/>
      <c r="I117" s="165"/>
      <c r="J117" s="108"/>
      <c r="K117" s="110">
        <v>162</v>
      </c>
      <c r="L117" s="108"/>
      <c r="M117" s="108"/>
      <c r="N117" s="111" t="e">
        <f>N119+O117</f>
        <v>#VALUE!</v>
      </c>
      <c r="O117" s="137">
        <v>116.94</v>
      </c>
      <c r="P117" s="197"/>
      <c r="Q117" s="139" t="s">
        <v>320</v>
      </c>
      <c r="R117" s="123"/>
      <c r="S117" s="397"/>
      <c r="T117" s="123">
        <v>1</v>
      </c>
      <c r="U117" s="123">
        <v>2</v>
      </c>
      <c r="V117" s="141"/>
      <c r="W117" s="142"/>
      <c r="X117" s="192"/>
      <c r="Y117" s="397"/>
      <c r="Z117" s="143">
        <v>1</v>
      </c>
      <c r="AA117" s="143"/>
      <c r="AB117" s="144"/>
      <c r="AC117" s="418"/>
      <c r="AD117" s="407" t="s">
        <v>322</v>
      </c>
    </row>
    <row r="118" spans="2:30" ht="12.75" customHeight="1" x14ac:dyDescent="0.2">
      <c r="B118" s="121">
        <f>B116+1</f>
        <v>276</v>
      </c>
      <c r="C118" s="159" t="s">
        <v>580</v>
      </c>
      <c r="D118" s="160" t="s">
        <v>571</v>
      </c>
      <c r="E118" s="123"/>
      <c r="F118" s="123"/>
      <c r="G118" s="123"/>
      <c r="H118" s="169" t="s">
        <v>584</v>
      </c>
      <c r="I118" s="163" t="s">
        <v>567</v>
      </c>
      <c r="J118" s="123"/>
      <c r="K118" s="124"/>
      <c r="L118" s="123"/>
      <c r="M118" s="123"/>
      <c r="N118" s="125">
        <f>N116+O117</f>
        <v>10408.1</v>
      </c>
      <c r="O118" s="126"/>
      <c r="P118" s="196"/>
      <c r="Q118" s="128"/>
      <c r="R118" s="108"/>
      <c r="S118" s="397"/>
      <c r="T118" s="108"/>
      <c r="U118" s="108"/>
      <c r="V118" s="154"/>
      <c r="W118" s="155"/>
      <c r="X118" s="192"/>
      <c r="Y118" s="397"/>
      <c r="Z118" s="133"/>
      <c r="AA118" s="133"/>
      <c r="AB118" s="134"/>
      <c r="AC118" s="418"/>
      <c r="AD118" s="408"/>
    </row>
    <row r="119" spans="2:30" ht="12.75" customHeight="1" x14ac:dyDescent="0.2">
      <c r="B119" s="187"/>
      <c r="C119" s="177"/>
      <c r="D119" s="162"/>
      <c r="E119" s="108"/>
      <c r="F119" s="108"/>
      <c r="G119" s="108"/>
      <c r="H119" s="109"/>
      <c r="I119" s="165"/>
      <c r="J119" s="108"/>
      <c r="K119" s="110">
        <v>108</v>
      </c>
      <c r="L119" s="108"/>
      <c r="M119" s="108"/>
      <c r="N119" s="111" t="e">
        <f>N121+O119</f>
        <v>#VALUE!</v>
      </c>
      <c r="O119" s="137">
        <v>171.96</v>
      </c>
      <c r="P119" s="197"/>
      <c r="Q119" s="139" t="s">
        <v>323</v>
      </c>
      <c r="R119" s="123"/>
      <c r="S119" s="397"/>
      <c r="T119" s="123">
        <v>1</v>
      </c>
      <c r="U119" s="123">
        <v>2</v>
      </c>
      <c r="V119" s="141"/>
      <c r="W119" s="142"/>
      <c r="X119" s="192"/>
      <c r="Y119" s="397"/>
      <c r="Z119" s="143">
        <v>1</v>
      </c>
      <c r="AA119" s="143"/>
      <c r="AB119" s="144"/>
      <c r="AC119" s="418"/>
      <c r="AD119" s="407" t="s">
        <v>325</v>
      </c>
    </row>
    <row r="120" spans="2:30" ht="12.75" customHeight="1" x14ac:dyDescent="0.2">
      <c r="B120" s="121">
        <f>B118+1</f>
        <v>277</v>
      </c>
      <c r="C120" s="159" t="s">
        <v>587</v>
      </c>
      <c r="D120" s="160" t="s">
        <v>583</v>
      </c>
      <c r="E120" s="123"/>
      <c r="F120" s="123"/>
      <c r="G120" s="123"/>
      <c r="H120" s="97" t="s">
        <v>559</v>
      </c>
      <c r="I120" s="163" t="s">
        <v>567</v>
      </c>
      <c r="J120" s="123"/>
      <c r="K120" s="124"/>
      <c r="L120" s="123"/>
      <c r="M120" s="123"/>
      <c r="N120" s="125">
        <f>N118+O119</f>
        <v>10580.06</v>
      </c>
      <c r="O120" s="126"/>
      <c r="P120" s="129" t="s">
        <v>645</v>
      </c>
      <c r="Q120" s="128"/>
      <c r="R120" s="108"/>
      <c r="S120" s="397"/>
      <c r="T120" s="108"/>
      <c r="U120" s="108"/>
      <c r="V120" s="154"/>
      <c r="W120" s="155"/>
      <c r="X120" s="192"/>
      <c r="Y120" s="397"/>
      <c r="Z120" s="133"/>
      <c r="AA120" s="133"/>
      <c r="AB120" s="134"/>
      <c r="AC120" s="418"/>
      <c r="AD120" s="408"/>
    </row>
    <row r="121" spans="2:30" ht="12.75" customHeight="1" x14ac:dyDescent="0.2">
      <c r="B121" s="209"/>
      <c r="C121" s="161"/>
      <c r="D121" s="162"/>
      <c r="E121" s="108"/>
      <c r="F121" s="108"/>
      <c r="G121" s="108"/>
      <c r="H121" s="172"/>
      <c r="I121" s="165"/>
      <c r="J121" s="108"/>
      <c r="K121" s="110">
        <v>216</v>
      </c>
      <c r="L121" s="108"/>
      <c r="M121" s="108"/>
      <c r="N121" s="111" t="e">
        <f>N123+O121</f>
        <v>#VALUE!</v>
      </c>
      <c r="O121" s="137">
        <v>204.47</v>
      </c>
      <c r="P121" s="197"/>
      <c r="Q121" s="139" t="s">
        <v>326</v>
      </c>
      <c r="R121" s="123"/>
      <c r="S121" s="397"/>
      <c r="T121" s="123">
        <v>1</v>
      </c>
      <c r="U121" s="123">
        <v>2</v>
      </c>
      <c r="V121" s="141"/>
      <c r="W121" s="142"/>
      <c r="X121" s="192"/>
      <c r="Y121" s="397"/>
      <c r="Z121" s="143">
        <v>1</v>
      </c>
      <c r="AA121" s="143"/>
      <c r="AB121" s="144"/>
      <c r="AC121" s="418"/>
      <c r="AD121" s="230" t="s">
        <v>328</v>
      </c>
    </row>
    <row r="122" spans="2:30" ht="12.75" customHeight="1" x14ac:dyDescent="0.2">
      <c r="B122" s="121">
        <f>B120+1</f>
        <v>278</v>
      </c>
      <c r="C122" s="159" t="s">
        <v>580</v>
      </c>
      <c r="D122" s="160" t="s">
        <v>571</v>
      </c>
      <c r="E122" s="123"/>
      <c r="F122" s="123"/>
      <c r="G122" s="123"/>
      <c r="H122" s="169" t="s">
        <v>584</v>
      </c>
      <c r="I122" s="163" t="s">
        <v>567</v>
      </c>
      <c r="J122" s="123"/>
      <c r="K122" s="124"/>
      <c r="L122" s="123"/>
      <c r="M122" s="123"/>
      <c r="N122" s="125">
        <f>N120+O121</f>
        <v>10784.529999999999</v>
      </c>
      <c r="O122" s="126"/>
      <c r="P122" s="196"/>
      <c r="Q122" s="128"/>
      <c r="R122" s="108"/>
      <c r="S122" s="397"/>
      <c r="T122" s="108"/>
      <c r="U122" s="108"/>
      <c r="V122" s="154"/>
      <c r="W122" s="155"/>
      <c r="X122" s="192"/>
      <c r="Y122" s="397"/>
      <c r="Z122" s="133"/>
      <c r="AA122" s="133"/>
      <c r="AB122" s="134"/>
      <c r="AC122" s="418"/>
      <c r="AD122" s="156"/>
    </row>
    <row r="123" spans="2:30" ht="12.75" customHeight="1" x14ac:dyDescent="0.2">
      <c r="B123" s="187"/>
      <c r="C123" s="107"/>
      <c r="D123" s="162"/>
      <c r="E123" s="108"/>
      <c r="F123" s="108"/>
      <c r="G123" s="108"/>
      <c r="H123" s="109"/>
      <c r="I123" s="165"/>
      <c r="J123" s="108"/>
      <c r="K123" s="110">
        <v>108</v>
      </c>
      <c r="L123" s="108"/>
      <c r="M123" s="108"/>
      <c r="N123" s="111" t="e">
        <f>N125+O123</f>
        <v>#VALUE!</v>
      </c>
      <c r="O123" s="137">
        <v>138.99</v>
      </c>
      <c r="P123" s="197"/>
      <c r="Q123" s="139" t="s">
        <v>646</v>
      </c>
      <c r="R123" s="123"/>
      <c r="S123" s="397"/>
      <c r="T123" s="123">
        <v>1</v>
      </c>
      <c r="U123" s="123">
        <v>2</v>
      </c>
      <c r="V123" s="141"/>
      <c r="W123" s="142"/>
      <c r="X123" s="192"/>
      <c r="Y123" s="397"/>
      <c r="Z123" s="143">
        <v>1</v>
      </c>
      <c r="AA123" s="143"/>
      <c r="AB123" s="144"/>
      <c r="AC123" s="418"/>
      <c r="AD123" s="151"/>
    </row>
    <row r="124" spans="2:30" ht="15.75" x14ac:dyDescent="0.2">
      <c r="B124" s="121">
        <f>B122+1</f>
        <v>279</v>
      </c>
      <c r="C124" s="159" t="s">
        <v>580</v>
      </c>
      <c r="D124" s="160" t="s">
        <v>592</v>
      </c>
      <c r="E124" s="413" t="s">
        <v>593</v>
      </c>
      <c r="F124" s="123"/>
      <c r="G124" s="123"/>
      <c r="H124" s="169" t="s">
        <v>584</v>
      </c>
      <c r="I124" s="163" t="s">
        <v>567</v>
      </c>
      <c r="J124" s="123"/>
      <c r="K124" s="124">
        <v>72</v>
      </c>
      <c r="L124" s="123"/>
      <c r="M124" s="123"/>
      <c r="N124" s="125">
        <f>N122+O123</f>
        <v>10923.519999999999</v>
      </c>
      <c r="O124" s="126"/>
      <c r="P124" s="196"/>
      <c r="Q124" s="128"/>
      <c r="R124" s="108"/>
      <c r="S124" s="397"/>
      <c r="T124" s="108"/>
      <c r="U124" s="108"/>
      <c r="V124" s="154"/>
      <c r="W124" s="155"/>
      <c r="X124" s="192"/>
      <c r="Y124" s="397"/>
      <c r="Z124" s="133"/>
      <c r="AA124" s="133"/>
      <c r="AB124" s="134"/>
      <c r="AC124" s="418"/>
      <c r="AD124" s="156"/>
    </row>
    <row r="125" spans="2:30" ht="22.5" x14ac:dyDescent="0.2">
      <c r="B125" s="209"/>
      <c r="C125" s="107"/>
      <c r="D125" s="178" t="s">
        <v>594</v>
      </c>
      <c r="E125" s="414"/>
      <c r="F125" s="108"/>
      <c r="G125" s="108"/>
      <c r="H125" s="172"/>
      <c r="I125" s="165"/>
      <c r="J125" s="108"/>
      <c r="K125" s="110">
        <v>18</v>
      </c>
      <c r="L125" s="108"/>
      <c r="M125" s="108"/>
      <c r="N125" s="111" t="e">
        <f>N127+O125</f>
        <v>#VALUE!</v>
      </c>
      <c r="O125" s="137">
        <v>383.29</v>
      </c>
      <c r="P125" s="197"/>
      <c r="Q125" s="139" t="s">
        <v>647</v>
      </c>
      <c r="R125" s="123"/>
      <c r="S125" s="397"/>
      <c r="T125" s="123">
        <v>1</v>
      </c>
      <c r="U125" s="123">
        <v>2</v>
      </c>
      <c r="V125" s="141"/>
      <c r="W125" s="142"/>
      <c r="X125" s="192"/>
      <c r="Y125" s="397"/>
      <c r="Z125" s="143">
        <v>1</v>
      </c>
      <c r="AA125" s="143"/>
      <c r="AB125" s="206">
        <v>3</v>
      </c>
      <c r="AC125" s="418"/>
      <c r="AD125" s="151"/>
    </row>
    <row r="126" spans="2:30" ht="12.75" customHeight="1" x14ac:dyDescent="0.2">
      <c r="B126" s="121">
        <f>B124+1</f>
        <v>280</v>
      </c>
      <c r="C126" s="159" t="s">
        <v>580</v>
      </c>
      <c r="D126" s="160" t="s">
        <v>592</v>
      </c>
      <c r="E126" s="123"/>
      <c r="F126" s="123"/>
      <c r="G126" s="123"/>
      <c r="H126" s="169" t="s">
        <v>584</v>
      </c>
      <c r="I126" s="163" t="s">
        <v>567</v>
      </c>
      <c r="J126" s="123"/>
      <c r="K126" s="124"/>
      <c r="L126" s="123"/>
      <c r="M126" s="123"/>
      <c r="N126" s="125">
        <f>N124+O125</f>
        <v>11306.81</v>
      </c>
      <c r="O126" s="126"/>
      <c r="P126" s="196"/>
      <c r="Q126" s="128"/>
      <c r="R126" s="108"/>
      <c r="S126" s="397"/>
      <c r="T126" s="108"/>
      <c r="U126" s="108"/>
      <c r="V126" s="154"/>
      <c r="W126" s="155"/>
      <c r="X126" s="192"/>
      <c r="Y126" s="397"/>
      <c r="Z126" s="133"/>
      <c r="AA126" s="133"/>
      <c r="AB126" s="207"/>
      <c r="AC126" s="418"/>
      <c r="AD126" s="156"/>
    </row>
    <row r="127" spans="2:30" ht="12.75" customHeight="1" x14ac:dyDescent="0.2">
      <c r="B127" s="187"/>
      <c r="C127" s="161"/>
      <c r="D127" s="188"/>
      <c r="E127" s="108"/>
      <c r="F127" s="108"/>
      <c r="G127" s="108"/>
      <c r="H127" s="172"/>
      <c r="I127" s="165"/>
      <c r="J127" s="108"/>
      <c r="K127" s="110">
        <v>54</v>
      </c>
      <c r="L127" s="108"/>
      <c r="M127" s="108"/>
      <c r="N127" s="111" t="e">
        <f>N129+O127</f>
        <v>#VALUE!</v>
      </c>
      <c r="O127" s="137">
        <v>129.06</v>
      </c>
      <c r="P127" s="197"/>
      <c r="Q127" s="139" t="s">
        <v>648</v>
      </c>
      <c r="R127" s="123"/>
      <c r="S127" s="397"/>
      <c r="T127" s="123">
        <v>1</v>
      </c>
      <c r="U127" s="123">
        <v>2</v>
      </c>
      <c r="V127" s="141"/>
      <c r="W127" s="199"/>
      <c r="X127" s="182"/>
      <c r="Y127" s="397"/>
      <c r="Z127" s="143">
        <v>1</v>
      </c>
      <c r="AA127" s="143"/>
      <c r="AB127" s="144"/>
      <c r="AC127" s="418"/>
      <c r="AD127" s="151"/>
    </row>
    <row r="128" spans="2:30" ht="12.75" customHeight="1" x14ac:dyDescent="0.2">
      <c r="B128" s="121">
        <f>B126+1</f>
        <v>281</v>
      </c>
      <c r="C128" s="159" t="s">
        <v>580</v>
      </c>
      <c r="D128" s="160" t="s">
        <v>571</v>
      </c>
      <c r="E128" s="123"/>
      <c r="F128" s="123"/>
      <c r="G128" s="123"/>
      <c r="H128" s="169" t="s">
        <v>584</v>
      </c>
      <c r="I128" s="163" t="s">
        <v>567</v>
      </c>
      <c r="J128" s="123"/>
      <c r="K128" s="124"/>
      <c r="L128" s="123" t="s">
        <v>590</v>
      </c>
      <c r="M128" s="123"/>
      <c r="N128" s="125">
        <f>N126+O127</f>
        <v>11435.869999999999</v>
      </c>
      <c r="O128" s="126"/>
      <c r="P128" s="196"/>
      <c r="Q128" s="128"/>
      <c r="R128" s="108"/>
      <c r="S128" s="397"/>
      <c r="T128" s="108"/>
      <c r="U128" s="108"/>
      <c r="V128" s="154"/>
      <c r="W128" s="201"/>
      <c r="X128" s="182"/>
      <c r="Y128" s="397"/>
      <c r="Z128" s="133"/>
      <c r="AA128" s="133"/>
      <c r="AB128" s="134"/>
      <c r="AC128" s="418"/>
      <c r="AD128" s="156"/>
    </row>
    <row r="129" spans="2:30" ht="12.75" customHeight="1" x14ac:dyDescent="0.2">
      <c r="B129" s="209"/>
      <c r="C129" s="177"/>
      <c r="D129" s="162"/>
      <c r="E129" s="108"/>
      <c r="F129" s="108"/>
      <c r="G129" s="108"/>
      <c r="H129" s="109"/>
      <c r="I129" s="165"/>
      <c r="J129" s="108"/>
      <c r="K129" s="110">
        <v>108</v>
      </c>
      <c r="L129" s="108"/>
      <c r="M129" s="108"/>
      <c r="N129" s="111" t="e">
        <f>N131+O129</f>
        <v>#VALUE!</v>
      </c>
      <c r="O129" s="137">
        <v>189.54</v>
      </c>
      <c r="P129" s="197"/>
      <c r="Q129" s="139" t="s">
        <v>329</v>
      </c>
      <c r="R129" s="123"/>
      <c r="S129" s="397"/>
      <c r="T129" s="123">
        <v>1</v>
      </c>
      <c r="U129" s="123">
        <v>2</v>
      </c>
      <c r="V129" s="141"/>
      <c r="W129" s="142"/>
      <c r="X129" s="182"/>
      <c r="Y129" s="397"/>
      <c r="Z129" s="143">
        <v>1</v>
      </c>
      <c r="AA129" s="143"/>
      <c r="AB129" s="144"/>
      <c r="AC129" s="418"/>
      <c r="AD129" s="230" t="s">
        <v>331</v>
      </c>
    </row>
    <row r="130" spans="2:30" ht="12.75" customHeight="1" x14ac:dyDescent="0.2">
      <c r="B130" s="121">
        <f>B128+1</f>
        <v>282</v>
      </c>
      <c r="C130" s="159" t="s">
        <v>580</v>
      </c>
      <c r="D130" s="160" t="s">
        <v>571</v>
      </c>
      <c r="E130" s="123"/>
      <c r="F130" s="123"/>
      <c r="G130" s="123"/>
      <c r="H130" s="169" t="s">
        <v>584</v>
      </c>
      <c r="I130" s="163" t="s">
        <v>567</v>
      </c>
      <c r="J130" s="123"/>
      <c r="K130" s="124"/>
      <c r="L130" s="123"/>
      <c r="M130" s="123"/>
      <c r="N130" s="125">
        <f>N128+O129</f>
        <v>11625.41</v>
      </c>
      <c r="O130" s="126"/>
      <c r="P130" s="196"/>
      <c r="Q130" s="128"/>
      <c r="R130" s="108"/>
      <c r="S130" s="397"/>
      <c r="T130" s="108"/>
      <c r="U130" s="108"/>
      <c r="V130" s="154"/>
      <c r="W130" s="155"/>
      <c r="X130" s="182"/>
      <c r="Y130" s="397"/>
      <c r="Z130" s="133"/>
      <c r="AA130" s="133"/>
      <c r="AB130" s="134"/>
      <c r="AC130" s="418"/>
      <c r="AD130" s="156"/>
    </row>
    <row r="131" spans="2:30" ht="12.75" customHeight="1" x14ac:dyDescent="0.2">
      <c r="B131" s="187"/>
      <c r="C131" s="161"/>
      <c r="D131" s="162"/>
      <c r="E131" s="108"/>
      <c r="F131" s="108"/>
      <c r="G131" s="108"/>
      <c r="H131" s="189"/>
      <c r="I131" s="165"/>
      <c r="J131" s="108"/>
      <c r="K131" s="110">
        <v>108</v>
      </c>
      <c r="L131" s="108"/>
      <c r="M131" s="108"/>
      <c r="N131" s="111" t="e">
        <f>N133+O131</f>
        <v>#VALUE!</v>
      </c>
      <c r="O131" s="137">
        <v>206.8</v>
      </c>
      <c r="P131" s="231"/>
      <c r="Q131" s="139" t="s">
        <v>332</v>
      </c>
      <c r="R131" s="123"/>
      <c r="S131" s="397"/>
      <c r="T131" s="123">
        <v>1</v>
      </c>
      <c r="U131" s="123">
        <v>2</v>
      </c>
      <c r="V131" s="141"/>
      <c r="W131" s="142"/>
      <c r="X131" s="182"/>
      <c r="Y131" s="397"/>
      <c r="Z131" s="143">
        <v>1</v>
      </c>
      <c r="AA131" s="143"/>
      <c r="AB131" s="144"/>
      <c r="AC131" s="418"/>
      <c r="AD131" s="151" t="s">
        <v>334</v>
      </c>
    </row>
    <row r="132" spans="2:30" ht="12.75" customHeight="1" x14ac:dyDescent="0.2">
      <c r="B132" s="121">
        <f>B130+1</f>
        <v>283</v>
      </c>
      <c r="C132" s="159" t="s">
        <v>587</v>
      </c>
      <c r="D132" s="232" t="s">
        <v>588</v>
      </c>
      <c r="E132" s="123"/>
      <c r="F132" s="123"/>
      <c r="G132" s="123"/>
      <c r="H132" s="97" t="s">
        <v>559</v>
      </c>
      <c r="I132" s="163" t="s">
        <v>567</v>
      </c>
      <c r="J132" s="123"/>
      <c r="K132" s="186"/>
      <c r="L132" s="123"/>
      <c r="M132" s="123"/>
      <c r="N132" s="125">
        <f>N130+O131</f>
        <v>11832.21</v>
      </c>
      <c r="O132" s="126"/>
      <c r="P132" s="213"/>
      <c r="Q132" s="128"/>
      <c r="R132" s="108"/>
      <c r="S132" s="397"/>
      <c r="T132" s="108"/>
      <c r="U132" s="108"/>
      <c r="V132" s="154"/>
      <c r="W132" s="155"/>
      <c r="X132" s="182"/>
      <c r="Y132" s="397"/>
      <c r="Z132" s="133"/>
      <c r="AA132" s="133"/>
      <c r="AB132" s="134"/>
      <c r="AC132" s="418"/>
      <c r="AD132" s="193"/>
    </row>
    <row r="133" spans="2:30" ht="12.75" customHeight="1" x14ac:dyDescent="0.2">
      <c r="B133" s="209"/>
      <c r="C133" s="161"/>
      <c r="D133" s="162"/>
      <c r="E133" s="108"/>
      <c r="F133" s="108"/>
      <c r="G133" s="108"/>
      <c r="H133" s="109"/>
      <c r="I133" s="165"/>
      <c r="J133" s="108"/>
      <c r="K133" s="190">
        <v>108</v>
      </c>
      <c r="L133" s="108"/>
      <c r="M133" s="108"/>
      <c r="N133" s="111" t="e">
        <f>N135+O133</f>
        <v>#VALUE!</v>
      </c>
      <c r="O133" s="194">
        <v>108.68</v>
      </c>
      <c r="P133" s="195"/>
      <c r="Q133" s="139" t="s">
        <v>335</v>
      </c>
      <c r="R133" s="123"/>
      <c r="S133" s="397"/>
      <c r="T133" s="123">
        <v>1</v>
      </c>
      <c r="U133" s="123">
        <v>2</v>
      </c>
      <c r="V133" s="141"/>
      <c r="W133" s="142"/>
      <c r="X133" s="192"/>
      <c r="Y133" s="397"/>
      <c r="Z133" s="143">
        <v>1</v>
      </c>
      <c r="AA133" s="143"/>
      <c r="AB133" s="144"/>
      <c r="AC133" s="418"/>
      <c r="AD133" s="132" t="s">
        <v>334</v>
      </c>
    </row>
    <row r="134" spans="2:30" ht="12.75" customHeight="1" x14ac:dyDescent="0.2">
      <c r="B134" s="121">
        <f>B132+1</f>
        <v>284</v>
      </c>
      <c r="C134" s="164" t="s">
        <v>587</v>
      </c>
      <c r="D134" s="226" t="s">
        <v>582</v>
      </c>
      <c r="E134" s="123"/>
      <c r="F134" s="123"/>
      <c r="G134" s="123"/>
      <c r="H134" s="97" t="s">
        <v>559</v>
      </c>
      <c r="I134" s="163" t="s">
        <v>567</v>
      </c>
      <c r="J134" s="123"/>
      <c r="K134" s="227"/>
      <c r="L134" s="123"/>
      <c r="M134" s="123"/>
      <c r="N134" s="125">
        <f>N132+O133</f>
        <v>11940.89</v>
      </c>
      <c r="O134" s="212"/>
      <c r="P134" s="196"/>
      <c r="Q134" s="128"/>
      <c r="R134" s="108"/>
      <c r="S134" s="397"/>
      <c r="T134" s="108"/>
      <c r="U134" s="108"/>
      <c r="V134" s="154"/>
      <c r="W134" s="155"/>
      <c r="X134" s="192"/>
      <c r="Y134" s="397"/>
      <c r="Z134" s="133"/>
      <c r="AA134" s="133"/>
      <c r="AB134" s="134"/>
      <c r="AC134" s="418"/>
      <c r="AD134" s="156"/>
    </row>
    <row r="135" spans="2:30" ht="12.75" customHeight="1" x14ac:dyDescent="0.2">
      <c r="B135" s="187"/>
      <c r="C135" s="161"/>
      <c r="D135" s="162"/>
      <c r="E135" s="108"/>
      <c r="F135" s="108"/>
      <c r="G135" s="108"/>
      <c r="H135" s="109"/>
      <c r="I135" s="165"/>
      <c r="J135" s="108"/>
      <c r="K135" s="110">
        <v>162</v>
      </c>
      <c r="L135" s="108"/>
      <c r="M135" s="108"/>
      <c r="N135" s="111" t="e">
        <f>N137+O135</f>
        <v>#VALUE!</v>
      </c>
      <c r="O135" s="167">
        <v>82.89</v>
      </c>
      <c r="P135" s="197"/>
      <c r="Q135" s="139" t="s">
        <v>337</v>
      </c>
      <c r="R135" s="123"/>
      <c r="S135" s="397"/>
      <c r="T135" s="123">
        <v>1</v>
      </c>
      <c r="U135" s="123">
        <v>2</v>
      </c>
      <c r="V135" s="141"/>
      <c r="W135" s="199"/>
      <c r="X135" s="192"/>
      <c r="Y135" s="397"/>
      <c r="Z135" s="143">
        <v>1</v>
      </c>
      <c r="AA135" s="143"/>
      <c r="AB135" s="144"/>
      <c r="AC135" s="418"/>
      <c r="AD135" s="214" t="s">
        <v>339</v>
      </c>
    </row>
    <row r="136" spans="2:30" ht="12.75" customHeight="1" x14ac:dyDescent="0.2">
      <c r="B136" s="121">
        <f>B134+1</f>
        <v>285</v>
      </c>
      <c r="C136" s="159" t="s">
        <v>587</v>
      </c>
      <c r="D136" s="160" t="s">
        <v>581</v>
      </c>
      <c r="E136" s="123"/>
      <c r="F136" s="123"/>
      <c r="G136" s="123"/>
      <c r="H136" s="97" t="s">
        <v>559</v>
      </c>
      <c r="I136" s="163" t="s">
        <v>567</v>
      </c>
      <c r="J136" s="123"/>
      <c r="K136" s="124"/>
      <c r="L136" s="123"/>
      <c r="M136" s="123"/>
      <c r="N136" s="125">
        <f>N134+O135</f>
        <v>12023.779999999999</v>
      </c>
      <c r="O136" s="126"/>
      <c r="P136" s="129"/>
      <c r="Q136" s="128"/>
      <c r="R136" s="108"/>
      <c r="S136" s="397"/>
      <c r="T136" s="108"/>
      <c r="U136" s="108"/>
      <c r="V136" s="154"/>
      <c r="W136" s="201"/>
      <c r="X136" s="192"/>
      <c r="Y136" s="397"/>
      <c r="Z136" s="133"/>
      <c r="AA136" s="133"/>
      <c r="AB136" s="134"/>
      <c r="AC136" s="419"/>
      <c r="AD136" s="156"/>
    </row>
    <row r="137" spans="2:30" ht="12.75" customHeight="1" x14ac:dyDescent="0.2">
      <c r="B137" s="209"/>
      <c r="C137" s="164"/>
      <c r="D137" s="171"/>
      <c r="E137" s="108"/>
      <c r="F137" s="108"/>
      <c r="G137" s="108"/>
      <c r="H137" s="172"/>
      <c r="I137" s="165"/>
      <c r="J137" s="108"/>
      <c r="K137" s="153">
        <v>162</v>
      </c>
      <c r="L137" s="108"/>
      <c r="M137" s="108"/>
      <c r="N137" s="111" t="e">
        <f>N139+O137</f>
        <v>#VALUE!</v>
      </c>
      <c r="O137" s="137">
        <v>363.2</v>
      </c>
      <c r="P137" s="197"/>
      <c r="Q137" s="139" t="s">
        <v>340</v>
      </c>
      <c r="R137" s="123"/>
      <c r="S137" s="397"/>
      <c r="T137" s="123">
        <v>1</v>
      </c>
      <c r="U137" s="123">
        <v>2</v>
      </c>
      <c r="V137" s="141"/>
      <c r="W137" s="199"/>
      <c r="X137" s="192"/>
      <c r="Y137" s="397"/>
      <c r="Z137" s="143">
        <v>1</v>
      </c>
      <c r="AA137" s="143"/>
      <c r="AB137" s="206">
        <v>3</v>
      </c>
      <c r="AC137" s="420" t="s">
        <v>342</v>
      </c>
      <c r="AD137" s="151" t="s">
        <v>343</v>
      </c>
    </row>
    <row r="138" spans="2:30" ht="12.75" customHeight="1" x14ac:dyDescent="0.2">
      <c r="B138" s="121">
        <f>B136+1</f>
        <v>286</v>
      </c>
      <c r="C138" s="159" t="s">
        <v>580</v>
      </c>
      <c r="D138" s="160" t="s">
        <v>582</v>
      </c>
      <c r="E138" s="123"/>
      <c r="F138" s="123"/>
      <c r="G138" s="123"/>
      <c r="H138" s="97" t="s">
        <v>559</v>
      </c>
      <c r="I138" s="163" t="s">
        <v>567</v>
      </c>
      <c r="J138" s="123"/>
      <c r="K138" s="124"/>
      <c r="L138" s="123"/>
      <c r="M138" s="123"/>
      <c r="N138" s="125">
        <f>N136+O137</f>
        <v>12386.98</v>
      </c>
      <c r="O138" s="126"/>
      <c r="P138" s="196"/>
      <c r="Q138" s="128"/>
      <c r="R138" s="108"/>
      <c r="S138" s="397"/>
      <c r="T138" s="108"/>
      <c r="U138" s="108"/>
      <c r="V138" s="154"/>
      <c r="W138" s="201"/>
      <c r="X138" s="192"/>
      <c r="Y138" s="397"/>
      <c r="Z138" s="133"/>
      <c r="AA138" s="133"/>
      <c r="AB138" s="207"/>
      <c r="AC138" s="421"/>
      <c r="AD138" s="156"/>
    </row>
    <row r="139" spans="2:30" ht="12.75" customHeight="1" x14ac:dyDescent="0.2">
      <c r="B139" s="187"/>
      <c r="C139" s="164"/>
      <c r="D139" s="171"/>
      <c r="E139" s="108"/>
      <c r="F139" s="108"/>
      <c r="G139" s="108"/>
      <c r="H139" s="173"/>
      <c r="I139" s="165"/>
      <c r="J139" s="108"/>
      <c r="K139" s="153">
        <v>162</v>
      </c>
      <c r="L139" s="108"/>
      <c r="M139" s="108"/>
      <c r="N139" s="111" t="e">
        <f>N141+O139</f>
        <v>#VALUE!</v>
      </c>
      <c r="O139" s="137">
        <v>182.32</v>
      </c>
      <c r="P139" s="197"/>
      <c r="Q139" s="139" t="s">
        <v>344</v>
      </c>
      <c r="R139" s="123"/>
      <c r="S139" s="397"/>
      <c r="T139" s="123">
        <v>1</v>
      </c>
      <c r="U139" s="123">
        <v>2</v>
      </c>
      <c r="V139" s="141"/>
      <c r="W139" s="199"/>
      <c r="X139" s="192"/>
      <c r="Y139" s="397"/>
      <c r="Z139" s="143">
        <v>1</v>
      </c>
      <c r="AA139" s="143"/>
      <c r="AB139" s="144"/>
      <c r="AC139" s="421"/>
      <c r="AD139" s="230" t="s">
        <v>328</v>
      </c>
    </row>
    <row r="140" spans="2:30" ht="12.75" customHeight="1" x14ac:dyDescent="0.2">
      <c r="B140" s="121">
        <f>B138+1</f>
        <v>287</v>
      </c>
      <c r="C140" s="159" t="s">
        <v>587</v>
      </c>
      <c r="D140" s="160" t="s">
        <v>581</v>
      </c>
      <c r="E140" s="123"/>
      <c r="F140" s="123"/>
      <c r="G140" s="123"/>
      <c r="H140" s="97" t="s">
        <v>559</v>
      </c>
      <c r="I140" s="163" t="s">
        <v>567</v>
      </c>
      <c r="J140" s="123"/>
      <c r="K140" s="186"/>
      <c r="L140" s="123"/>
      <c r="M140" s="123"/>
      <c r="N140" s="125">
        <f>N138+O139</f>
        <v>12569.3</v>
      </c>
      <c r="O140" s="167"/>
      <c r="P140" s="181" t="s">
        <v>645</v>
      </c>
      <c r="Q140" s="128"/>
      <c r="R140" s="108"/>
      <c r="S140" s="398"/>
      <c r="T140" s="108"/>
      <c r="U140" s="108"/>
      <c r="V140" s="154"/>
      <c r="W140" s="201"/>
      <c r="X140" s="192"/>
      <c r="Y140" s="398"/>
      <c r="Z140" s="133"/>
      <c r="AA140" s="133"/>
      <c r="AB140" s="134"/>
      <c r="AC140" s="422"/>
      <c r="AD140" s="214"/>
    </row>
    <row r="141" spans="2:30" ht="12.75" customHeight="1" x14ac:dyDescent="0.2">
      <c r="B141" s="209"/>
      <c r="C141" s="164"/>
      <c r="D141" s="171"/>
      <c r="E141" s="182"/>
      <c r="F141" s="182"/>
      <c r="G141" s="182"/>
      <c r="H141" s="173"/>
      <c r="I141" s="165"/>
      <c r="J141" s="182"/>
      <c r="K141" s="233">
        <v>162</v>
      </c>
      <c r="L141" s="182"/>
      <c r="M141" s="182"/>
      <c r="N141" s="111" t="e">
        <f>N143+O141</f>
        <v>#VALUE!</v>
      </c>
      <c r="O141" s="137">
        <v>347.78</v>
      </c>
      <c r="P141" s="210"/>
      <c r="Q141" s="139" t="s">
        <v>649</v>
      </c>
      <c r="R141" s="123"/>
      <c r="S141" s="396" t="s">
        <v>578</v>
      </c>
      <c r="T141" s="123">
        <v>1</v>
      </c>
      <c r="U141" s="123">
        <v>2</v>
      </c>
      <c r="V141" s="141"/>
      <c r="W141" s="142"/>
      <c r="X141" s="192"/>
      <c r="Y141" s="396" t="s">
        <v>579</v>
      </c>
      <c r="Z141" s="143">
        <v>1</v>
      </c>
      <c r="AA141" s="143"/>
      <c r="AB141" s="206">
        <v>4</v>
      </c>
      <c r="AC141" s="396" t="s">
        <v>342</v>
      </c>
      <c r="AD141" s="145"/>
    </row>
    <row r="142" spans="2:30" ht="12.75" customHeight="1" x14ac:dyDescent="0.2">
      <c r="B142" s="121">
        <f>B140+1</f>
        <v>288</v>
      </c>
      <c r="C142" s="185" t="s">
        <v>580</v>
      </c>
      <c r="D142" s="160" t="s">
        <v>592</v>
      </c>
      <c r="E142" s="123"/>
      <c r="F142" s="123"/>
      <c r="G142" s="123"/>
      <c r="H142" s="169" t="s">
        <v>584</v>
      </c>
      <c r="I142" s="163" t="s">
        <v>567</v>
      </c>
      <c r="J142" s="123"/>
      <c r="K142" s="124"/>
      <c r="L142" s="123"/>
      <c r="M142" s="123"/>
      <c r="N142" s="125">
        <f>N140+O141</f>
        <v>12917.08</v>
      </c>
      <c r="O142" s="126"/>
      <c r="P142" s="213"/>
      <c r="Q142" s="128"/>
      <c r="R142" s="108"/>
      <c r="S142" s="397"/>
      <c r="T142" s="108"/>
      <c r="U142" s="108"/>
      <c r="V142" s="154"/>
      <c r="W142" s="155"/>
      <c r="X142" s="192"/>
      <c r="Y142" s="397"/>
      <c r="Z142" s="133"/>
      <c r="AA142" s="133"/>
      <c r="AB142" s="207"/>
      <c r="AC142" s="397"/>
      <c r="AD142" s="156"/>
    </row>
    <row r="143" spans="2:30" ht="12.75" customHeight="1" x14ac:dyDescent="0.2">
      <c r="B143" s="187"/>
      <c r="C143" s="229"/>
      <c r="D143" s="162"/>
      <c r="E143" s="108"/>
      <c r="F143" s="108"/>
      <c r="G143" s="108"/>
      <c r="H143" s="109"/>
      <c r="I143" s="165"/>
      <c r="J143" s="108"/>
      <c r="K143" s="110">
        <v>54</v>
      </c>
      <c r="L143" s="108"/>
      <c r="M143" s="108"/>
      <c r="N143" s="111" t="e">
        <f>N145+O143</f>
        <v>#VALUE!</v>
      </c>
      <c r="O143" s="137">
        <v>214.34</v>
      </c>
      <c r="P143" s="197"/>
      <c r="Q143" s="139" t="s">
        <v>650</v>
      </c>
      <c r="R143" s="123"/>
      <c r="S143" s="397"/>
      <c r="T143" s="123">
        <v>1</v>
      </c>
      <c r="U143" s="123">
        <v>2</v>
      </c>
      <c r="V143" s="141"/>
      <c r="W143" s="142"/>
      <c r="X143" s="192"/>
      <c r="Y143" s="397"/>
      <c r="Z143" s="143">
        <v>1</v>
      </c>
      <c r="AA143" s="143"/>
      <c r="AB143" s="206">
        <v>2</v>
      </c>
      <c r="AC143" s="397"/>
      <c r="AD143" s="151"/>
    </row>
    <row r="144" spans="2:30" ht="12.75" customHeight="1" x14ac:dyDescent="0.2">
      <c r="B144" s="121">
        <f>B142+1</f>
        <v>289</v>
      </c>
      <c r="C144" s="159" t="s">
        <v>580</v>
      </c>
      <c r="D144" s="160" t="s">
        <v>592</v>
      </c>
      <c r="E144" s="123"/>
      <c r="F144" s="123"/>
      <c r="G144" s="123"/>
      <c r="H144" s="169" t="s">
        <v>584</v>
      </c>
      <c r="I144" s="163" t="s">
        <v>567</v>
      </c>
      <c r="J144" s="123"/>
      <c r="K144" s="124"/>
      <c r="L144" s="123"/>
      <c r="M144" s="123"/>
      <c r="N144" s="125">
        <f>N142+O143</f>
        <v>13131.42</v>
      </c>
      <c r="O144" s="126"/>
      <c r="P144" s="196"/>
      <c r="Q144" s="128"/>
      <c r="R144" s="108"/>
      <c r="S144" s="397"/>
      <c r="T144" s="108"/>
      <c r="U144" s="108"/>
      <c r="V144" s="154"/>
      <c r="W144" s="155"/>
      <c r="X144" s="192"/>
      <c r="Y144" s="397"/>
      <c r="Z144" s="133"/>
      <c r="AA144" s="133"/>
      <c r="AB144" s="207"/>
      <c r="AC144" s="397"/>
      <c r="AD144" s="156"/>
    </row>
    <row r="145" spans="2:30" ht="12.75" customHeight="1" x14ac:dyDescent="0.2">
      <c r="B145" s="209"/>
      <c r="C145" s="107"/>
      <c r="D145" s="162"/>
      <c r="E145" s="108"/>
      <c r="F145" s="108"/>
      <c r="G145" s="108"/>
      <c r="H145" s="109"/>
      <c r="I145" s="165"/>
      <c r="J145" s="108"/>
      <c r="K145" s="110">
        <v>54</v>
      </c>
      <c r="L145" s="108"/>
      <c r="M145" s="108"/>
      <c r="N145" s="111" t="e">
        <f>N147+O145</f>
        <v>#VALUE!</v>
      </c>
      <c r="O145" s="137">
        <v>247.3</v>
      </c>
      <c r="P145" s="197"/>
      <c r="Q145" s="139" t="s">
        <v>651</v>
      </c>
      <c r="R145" s="123"/>
      <c r="S145" s="397"/>
      <c r="T145" s="123">
        <v>1</v>
      </c>
      <c r="U145" s="123">
        <v>2</v>
      </c>
      <c r="V145" s="141"/>
      <c r="W145" s="142"/>
      <c r="X145" s="192"/>
      <c r="Y145" s="397"/>
      <c r="Z145" s="143">
        <v>1</v>
      </c>
      <c r="AA145" s="143"/>
      <c r="AB145" s="144"/>
      <c r="AC145" s="397"/>
      <c r="AD145" s="151"/>
    </row>
    <row r="146" spans="2:30" ht="12.75" customHeight="1" x14ac:dyDescent="0.2">
      <c r="B146" s="121">
        <f>B144+1</f>
        <v>290</v>
      </c>
      <c r="C146" s="159" t="s">
        <v>587</v>
      </c>
      <c r="D146" s="160" t="s">
        <v>588</v>
      </c>
      <c r="E146" s="123"/>
      <c r="F146" s="123"/>
      <c r="G146" s="123"/>
      <c r="H146" s="97" t="s">
        <v>559</v>
      </c>
      <c r="I146" s="163" t="s">
        <v>567</v>
      </c>
      <c r="J146" s="234"/>
      <c r="K146" s="124"/>
      <c r="L146" s="123"/>
      <c r="M146" s="123"/>
      <c r="N146" s="125">
        <f>N144+O145</f>
        <v>13378.72</v>
      </c>
      <c r="O146" s="126"/>
      <c r="P146" s="129" t="s">
        <v>652</v>
      </c>
      <c r="Q146" s="128"/>
      <c r="R146" s="108"/>
      <c r="S146" s="397"/>
      <c r="T146" s="108"/>
      <c r="U146" s="108"/>
      <c r="V146" s="154"/>
      <c r="W146" s="155"/>
      <c r="X146" s="192"/>
      <c r="Y146" s="397"/>
      <c r="Z146" s="133"/>
      <c r="AA146" s="133"/>
      <c r="AB146" s="134"/>
      <c r="AC146" s="397"/>
      <c r="AD146" s="156"/>
    </row>
    <row r="147" spans="2:30" ht="12.75" customHeight="1" x14ac:dyDescent="0.2">
      <c r="B147" s="187"/>
      <c r="C147" s="161"/>
      <c r="D147" s="162"/>
      <c r="E147" s="108"/>
      <c r="F147" s="108"/>
      <c r="G147" s="108"/>
      <c r="H147" s="172"/>
      <c r="I147" s="165"/>
      <c r="J147" s="235"/>
      <c r="K147" s="110">
        <v>108</v>
      </c>
      <c r="L147" s="108"/>
      <c r="M147" s="108"/>
      <c r="N147" s="111" t="e">
        <f>N149+O147</f>
        <v>#VALUE!</v>
      </c>
      <c r="O147" s="137">
        <v>82.77</v>
      </c>
      <c r="P147" s="197"/>
      <c r="Q147" s="139" t="s">
        <v>653</v>
      </c>
      <c r="R147" s="123"/>
      <c r="S147" s="397"/>
      <c r="T147" s="123">
        <v>1</v>
      </c>
      <c r="U147" s="123">
        <v>2</v>
      </c>
      <c r="V147" s="141"/>
      <c r="W147" s="142"/>
      <c r="X147" s="192"/>
      <c r="Y147" s="397"/>
      <c r="Z147" s="143">
        <v>1</v>
      </c>
      <c r="AA147" s="143"/>
      <c r="AB147" s="144"/>
      <c r="AC147" s="397"/>
      <c r="AD147" s="151"/>
    </row>
    <row r="148" spans="2:30" ht="12.75" customHeight="1" x14ac:dyDescent="0.2">
      <c r="B148" s="121">
        <f>B146+1</f>
        <v>291</v>
      </c>
      <c r="C148" s="159" t="s">
        <v>580</v>
      </c>
      <c r="D148" s="160" t="s">
        <v>588</v>
      </c>
      <c r="E148" s="123"/>
      <c r="F148" s="123"/>
      <c r="G148" s="123"/>
      <c r="H148" s="97" t="s">
        <v>559</v>
      </c>
      <c r="I148" s="163" t="s">
        <v>567</v>
      </c>
      <c r="J148" s="123"/>
      <c r="K148" s="124"/>
      <c r="L148" s="123"/>
      <c r="M148" s="123"/>
      <c r="N148" s="125">
        <f>N146+O147</f>
        <v>13461.49</v>
      </c>
      <c r="O148" s="126"/>
      <c r="P148" s="196"/>
      <c r="Q148" s="128"/>
      <c r="R148" s="108"/>
      <c r="S148" s="397"/>
      <c r="T148" s="108"/>
      <c r="U148" s="108"/>
      <c r="V148" s="154"/>
      <c r="W148" s="155"/>
      <c r="X148" s="192"/>
      <c r="Y148" s="397"/>
      <c r="Z148" s="133"/>
      <c r="AA148" s="133"/>
      <c r="AB148" s="134"/>
      <c r="AC148" s="397"/>
      <c r="AD148" s="156"/>
    </row>
    <row r="149" spans="2:30" ht="12.75" customHeight="1" x14ac:dyDescent="0.2">
      <c r="B149" s="209"/>
      <c r="C149" s="177"/>
      <c r="D149" s="162"/>
      <c r="E149" s="108"/>
      <c r="F149" s="108"/>
      <c r="G149" s="108"/>
      <c r="H149" s="109"/>
      <c r="I149" s="165"/>
      <c r="J149" s="108"/>
      <c r="K149" s="110">
        <v>108</v>
      </c>
      <c r="L149" s="108"/>
      <c r="M149" s="108"/>
      <c r="N149" s="111" t="e">
        <f>N151+O149</f>
        <v>#VALUE!</v>
      </c>
      <c r="O149" s="137">
        <v>312.48</v>
      </c>
      <c r="P149" s="197"/>
      <c r="Q149" s="139" t="s">
        <v>654</v>
      </c>
      <c r="R149" s="123"/>
      <c r="S149" s="397"/>
      <c r="T149" s="123">
        <v>1</v>
      </c>
      <c r="U149" s="123">
        <v>2</v>
      </c>
      <c r="V149" s="141"/>
      <c r="W149" s="199"/>
      <c r="X149" s="182"/>
      <c r="Y149" s="397"/>
      <c r="Z149" s="143">
        <v>1</v>
      </c>
      <c r="AA149" s="143"/>
      <c r="AB149" s="206">
        <v>5</v>
      </c>
      <c r="AC149" s="397"/>
      <c r="AD149" s="151"/>
    </row>
    <row r="150" spans="2:30" ht="12.75" customHeight="1" x14ac:dyDescent="0.2">
      <c r="B150" s="121">
        <f>B148+1</f>
        <v>292</v>
      </c>
      <c r="C150" s="159" t="s">
        <v>580</v>
      </c>
      <c r="D150" s="160" t="s">
        <v>592</v>
      </c>
      <c r="E150" s="123"/>
      <c r="F150" s="123"/>
      <c r="G150" s="123"/>
      <c r="H150" s="169" t="s">
        <v>584</v>
      </c>
      <c r="I150" s="163" t="s">
        <v>567</v>
      </c>
      <c r="J150" s="123"/>
      <c r="K150" s="124"/>
      <c r="L150" s="123" t="s">
        <v>561</v>
      </c>
      <c r="M150" s="123"/>
      <c r="N150" s="125">
        <f>N148+O149</f>
        <v>13773.97</v>
      </c>
      <c r="O150" s="126"/>
      <c r="P150" s="196"/>
      <c r="Q150" s="128"/>
      <c r="R150" s="108"/>
      <c r="S150" s="397"/>
      <c r="T150" s="108"/>
      <c r="U150" s="108"/>
      <c r="V150" s="154"/>
      <c r="W150" s="201"/>
      <c r="X150" s="182"/>
      <c r="Y150" s="397"/>
      <c r="Z150" s="133"/>
      <c r="AA150" s="133"/>
      <c r="AB150" s="207"/>
      <c r="AC150" s="397"/>
      <c r="AD150" s="156"/>
    </row>
    <row r="151" spans="2:30" ht="12.75" customHeight="1" x14ac:dyDescent="0.2">
      <c r="B151" s="187"/>
      <c r="C151" s="161"/>
      <c r="D151" s="162"/>
      <c r="E151" s="108"/>
      <c r="F151" s="108"/>
      <c r="G151" s="108"/>
      <c r="H151" s="172"/>
      <c r="I151" s="165"/>
      <c r="J151" s="108"/>
      <c r="K151" s="110">
        <v>54</v>
      </c>
      <c r="L151" s="108"/>
      <c r="M151" s="108"/>
      <c r="N151" s="111" t="e">
        <f>N153+O151</f>
        <v>#VALUE!</v>
      </c>
      <c r="O151" s="137">
        <v>233.46</v>
      </c>
      <c r="P151" s="197"/>
      <c r="Q151" s="139" t="s">
        <v>346</v>
      </c>
      <c r="R151" s="123"/>
      <c r="S151" s="397"/>
      <c r="T151" s="123">
        <v>1</v>
      </c>
      <c r="U151" s="123">
        <v>2</v>
      </c>
      <c r="V151" s="141"/>
      <c r="W151" s="199"/>
      <c r="X151" s="182"/>
      <c r="Y151" s="397"/>
      <c r="Z151" s="143">
        <v>1</v>
      </c>
      <c r="AA151" s="143"/>
      <c r="AB151" s="144"/>
      <c r="AC151" s="397"/>
      <c r="AD151" s="407" t="s">
        <v>348</v>
      </c>
    </row>
    <row r="152" spans="2:30" ht="12.75" customHeight="1" x14ac:dyDescent="0.2">
      <c r="B152" s="121">
        <f>B150+1</f>
        <v>293</v>
      </c>
      <c r="C152" s="159" t="s">
        <v>587</v>
      </c>
      <c r="D152" s="160" t="s">
        <v>582</v>
      </c>
      <c r="E152" s="123"/>
      <c r="F152" s="123"/>
      <c r="G152" s="123"/>
      <c r="H152" s="97" t="s">
        <v>559</v>
      </c>
      <c r="I152" s="163" t="s">
        <v>567</v>
      </c>
      <c r="J152" s="123"/>
      <c r="K152" s="124"/>
      <c r="L152" s="123"/>
      <c r="M152" s="123"/>
      <c r="N152" s="125">
        <f>N150+O151</f>
        <v>14007.429999999998</v>
      </c>
      <c r="O152" s="126"/>
      <c r="P152" s="129" t="s">
        <v>655</v>
      </c>
      <c r="Q152" s="128"/>
      <c r="R152" s="108"/>
      <c r="S152" s="397"/>
      <c r="T152" s="108"/>
      <c r="U152" s="108"/>
      <c r="V152" s="154"/>
      <c r="W152" s="201"/>
      <c r="X152" s="182"/>
      <c r="Y152" s="397"/>
      <c r="Z152" s="133"/>
      <c r="AA152" s="133"/>
      <c r="AB152" s="134"/>
      <c r="AC152" s="397"/>
      <c r="AD152" s="408"/>
    </row>
    <row r="153" spans="2:30" ht="12.75" customHeight="1" x14ac:dyDescent="0.2">
      <c r="B153" s="209"/>
      <c r="C153" s="107"/>
      <c r="D153" s="162"/>
      <c r="E153" s="108"/>
      <c r="F153" s="108"/>
      <c r="G153" s="108"/>
      <c r="H153" s="109"/>
      <c r="I153" s="165"/>
      <c r="J153" s="108"/>
      <c r="K153" s="110">
        <v>162</v>
      </c>
      <c r="L153" s="108"/>
      <c r="M153" s="108"/>
      <c r="N153" s="111" t="e">
        <f>N155+O153</f>
        <v>#VALUE!</v>
      </c>
      <c r="O153" s="137">
        <v>175.92</v>
      </c>
      <c r="P153" s="197"/>
      <c r="Q153" s="139" t="s">
        <v>349</v>
      </c>
      <c r="R153" s="123"/>
      <c r="S153" s="397"/>
      <c r="T153" s="123">
        <v>1</v>
      </c>
      <c r="U153" s="123">
        <v>2</v>
      </c>
      <c r="V153" s="141"/>
      <c r="W153" s="142"/>
      <c r="X153" s="182"/>
      <c r="Y153" s="397"/>
      <c r="Z153" s="143">
        <v>1</v>
      </c>
      <c r="AA153" s="143"/>
      <c r="AB153" s="144"/>
      <c r="AC153" s="397"/>
      <c r="AD153" s="423" t="s">
        <v>351</v>
      </c>
    </row>
    <row r="154" spans="2:30" ht="12.75" customHeight="1" x14ac:dyDescent="0.2">
      <c r="B154" s="121">
        <f>B152+1</f>
        <v>294</v>
      </c>
      <c r="C154" s="159" t="s">
        <v>587</v>
      </c>
      <c r="D154" s="160" t="s">
        <v>581</v>
      </c>
      <c r="E154" s="123"/>
      <c r="F154" s="123"/>
      <c r="G154" s="123"/>
      <c r="H154" s="97" t="s">
        <v>559</v>
      </c>
      <c r="I154" s="163" t="s">
        <v>567</v>
      </c>
      <c r="J154" s="123"/>
      <c r="K154" s="124"/>
      <c r="L154" s="123"/>
      <c r="M154" s="123"/>
      <c r="N154" s="125">
        <f>N152+O153</f>
        <v>14183.349999999999</v>
      </c>
      <c r="O154" s="126"/>
      <c r="P154" s="129" t="s">
        <v>656</v>
      </c>
      <c r="Q154" s="128"/>
      <c r="R154" s="108"/>
      <c r="S154" s="397"/>
      <c r="T154" s="108"/>
      <c r="U154" s="108"/>
      <c r="V154" s="154"/>
      <c r="W154" s="155"/>
      <c r="X154" s="182"/>
      <c r="Y154" s="397"/>
      <c r="Z154" s="133"/>
      <c r="AA154" s="133"/>
      <c r="AB154" s="134"/>
      <c r="AC154" s="397"/>
      <c r="AD154" s="424"/>
    </row>
    <row r="155" spans="2:30" ht="12.75" customHeight="1" x14ac:dyDescent="0.2">
      <c r="B155" s="187"/>
      <c r="C155" s="107"/>
      <c r="D155" s="188"/>
      <c r="E155" s="108"/>
      <c r="F155" s="108"/>
      <c r="G155" s="108"/>
      <c r="H155" s="172"/>
      <c r="I155" s="165"/>
      <c r="J155" s="108"/>
      <c r="K155" s="110">
        <v>162</v>
      </c>
      <c r="L155" s="108"/>
      <c r="M155" s="108"/>
      <c r="N155" s="111" t="e">
        <f>N157+O155</f>
        <v>#VALUE!</v>
      </c>
      <c r="O155" s="137">
        <v>154.91999999999999</v>
      </c>
      <c r="P155" s="140"/>
      <c r="Q155" s="139" t="s">
        <v>352</v>
      </c>
      <c r="R155" s="123"/>
      <c r="S155" s="397"/>
      <c r="T155" s="123">
        <v>1</v>
      </c>
      <c r="U155" s="123">
        <v>2</v>
      </c>
      <c r="V155" s="141"/>
      <c r="W155" s="142"/>
      <c r="X155" s="182"/>
      <c r="Y155" s="397"/>
      <c r="Z155" s="143">
        <v>1</v>
      </c>
      <c r="AA155" s="143"/>
      <c r="AB155" s="144"/>
      <c r="AC155" s="397"/>
      <c r="AD155" s="407" t="s">
        <v>354</v>
      </c>
    </row>
    <row r="156" spans="2:30" ht="12.75" customHeight="1" x14ac:dyDescent="0.2">
      <c r="B156" s="121">
        <f>B154+1</f>
        <v>295</v>
      </c>
      <c r="C156" s="159" t="s">
        <v>587</v>
      </c>
      <c r="D156" s="160" t="s">
        <v>582</v>
      </c>
      <c r="E156" s="123"/>
      <c r="F156" s="123"/>
      <c r="G156" s="123"/>
      <c r="H156" s="97" t="s">
        <v>559</v>
      </c>
      <c r="I156" s="163" t="s">
        <v>567</v>
      </c>
      <c r="J156" s="123"/>
      <c r="K156" s="124"/>
      <c r="L156" s="123"/>
      <c r="M156" s="123"/>
      <c r="N156" s="125">
        <f>N154+O155</f>
        <v>14338.269999999999</v>
      </c>
      <c r="O156" s="126"/>
      <c r="P156" s="129"/>
      <c r="Q156" s="128"/>
      <c r="R156" s="108"/>
      <c r="S156" s="397"/>
      <c r="T156" s="108"/>
      <c r="U156" s="108"/>
      <c r="V156" s="154"/>
      <c r="W156" s="155"/>
      <c r="X156" s="182"/>
      <c r="Y156" s="397"/>
      <c r="Z156" s="133"/>
      <c r="AA156" s="133"/>
      <c r="AB156" s="134"/>
      <c r="AC156" s="397"/>
      <c r="AD156" s="408"/>
    </row>
    <row r="157" spans="2:30" ht="12.75" customHeight="1" x14ac:dyDescent="0.2">
      <c r="B157" s="209"/>
      <c r="C157" s="161"/>
      <c r="D157" s="188"/>
      <c r="E157" s="108"/>
      <c r="F157" s="108"/>
      <c r="G157" s="108"/>
      <c r="H157" s="172"/>
      <c r="I157" s="165"/>
      <c r="J157" s="108"/>
      <c r="K157" s="110">
        <v>162</v>
      </c>
      <c r="L157" s="108"/>
      <c r="M157" s="108"/>
      <c r="N157" s="111" t="e">
        <f>N159+O157</f>
        <v>#VALUE!</v>
      </c>
      <c r="O157" s="137">
        <v>241.23</v>
      </c>
      <c r="P157" s="140"/>
      <c r="Q157" s="139" t="s">
        <v>355</v>
      </c>
      <c r="R157" s="123"/>
      <c r="S157" s="397"/>
      <c r="T157" s="123">
        <v>1</v>
      </c>
      <c r="U157" s="123">
        <v>2</v>
      </c>
      <c r="V157" s="141"/>
      <c r="W157" s="142"/>
      <c r="X157" s="182"/>
      <c r="Y157" s="397"/>
      <c r="Z157" s="143">
        <v>1</v>
      </c>
      <c r="AA157" s="143"/>
      <c r="AB157" s="206">
        <v>3</v>
      </c>
      <c r="AC157" s="397"/>
      <c r="AD157" s="407" t="s">
        <v>357</v>
      </c>
    </row>
    <row r="158" spans="2:30" ht="12.75" customHeight="1" x14ac:dyDescent="0.2">
      <c r="B158" s="121">
        <f>B156+1</f>
        <v>296</v>
      </c>
      <c r="C158" s="159" t="s">
        <v>587</v>
      </c>
      <c r="D158" s="160" t="s">
        <v>581</v>
      </c>
      <c r="E158" s="123"/>
      <c r="F158" s="123"/>
      <c r="G158" s="123"/>
      <c r="H158" s="97" t="s">
        <v>559</v>
      </c>
      <c r="I158" s="163" t="s">
        <v>567</v>
      </c>
      <c r="J158" s="123"/>
      <c r="K158" s="124"/>
      <c r="L158" s="123"/>
      <c r="M158" s="123"/>
      <c r="N158" s="125">
        <f>N156+O157</f>
        <v>14579.499999999998</v>
      </c>
      <c r="O158" s="126"/>
      <c r="P158" s="129"/>
      <c r="Q158" s="128"/>
      <c r="R158" s="108"/>
      <c r="S158" s="397"/>
      <c r="T158" s="108"/>
      <c r="U158" s="108"/>
      <c r="V158" s="154"/>
      <c r="W158" s="155"/>
      <c r="X158" s="182"/>
      <c r="Y158" s="397"/>
      <c r="Z158" s="133"/>
      <c r="AA158" s="133"/>
      <c r="AB158" s="207"/>
      <c r="AC158" s="397"/>
      <c r="AD158" s="408"/>
    </row>
    <row r="159" spans="2:30" ht="12.75" customHeight="1" x14ac:dyDescent="0.2">
      <c r="B159" s="157" t="s">
        <v>577</v>
      </c>
      <c r="C159" s="158"/>
      <c r="D159" s="162" t="s">
        <v>657</v>
      </c>
      <c r="E159" s="108"/>
      <c r="F159" s="108"/>
      <c r="G159" s="108"/>
      <c r="H159" s="109"/>
      <c r="I159" s="165"/>
      <c r="J159" s="108"/>
      <c r="K159" s="110">
        <v>162</v>
      </c>
      <c r="L159" s="108"/>
      <c r="M159" s="108"/>
      <c r="N159" s="111" t="e">
        <f>N161+O159</f>
        <v>#VALUE!</v>
      </c>
      <c r="O159" s="137">
        <v>309.58</v>
      </c>
      <c r="P159" s="140"/>
      <c r="Q159" s="139" t="s">
        <v>658</v>
      </c>
      <c r="R159" s="123"/>
      <c r="S159" s="397"/>
      <c r="T159" s="123">
        <v>1</v>
      </c>
      <c r="U159" s="123">
        <v>2</v>
      </c>
      <c r="V159" s="141"/>
      <c r="W159" s="142"/>
      <c r="X159" s="182"/>
      <c r="Y159" s="397"/>
      <c r="Z159" s="143">
        <v>1</v>
      </c>
      <c r="AA159" s="143"/>
      <c r="AB159" s="144"/>
      <c r="AC159" s="397"/>
      <c r="AD159" s="151"/>
    </row>
    <row r="160" spans="2:30" ht="12.75" customHeight="1" x14ac:dyDescent="0.2">
      <c r="B160" s="121">
        <f>B158+1</f>
        <v>297</v>
      </c>
      <c r="C160" s="159" t="s">
        <v>580</v>
      </c>
      <c r="D160" s="160" t="s">
        <v>592</v>
      </c>
      <c r="E160" s="123"/>
      <c r="F160" s="123"/>
      <c r="G160" s="123"/>
      <c r="H160" s="169" t="s">
        <v>584</v>
      </c>
      <c r="I160" s="163" t="s">
        <v>567</v>
      </c>
      <c r="J160" s="123"/>
      <c r="K160" s="124"/>
      <c r="L160" s="123"/>
      <c r="M160" s="123"/>
      <c r="N160" s="125">
        <f>N158+O159</f>
        <v>14889.079999999998</v>
      </c>
      <c r="O160" s="126"/>
      <c r="P160" s="129"/>
      <c r="Q160" s="128"/>
      <c r="R160" s="108"/>
      <c r="S160" s="397"/>
      <c r="T160" s="108"/>
      <c r="U160" s="108"/>
      <c r="V160" s="154"/>
      <c r="W160" s="155"/>
      <c r="X160" s="182"/>
      <c r="Y160" s="397"/>
      <c r="Z160" s="133"/>
      <c r="AA160" s="133"/>
      <c r="AB160" s="134"/>
      <c r="AC160" s="397"/>
      <c r="AD160" s="156"/>
    </row>
    <row r="161" spans="2:33" ht="12.75" customHeight="1" x14ac:dyDescent="0.2">
      <c r="B161" s="209"/>
      <c r="C161" s="161"/>
      <c r="D161" s="217" t="s">
        <v>659</v>
      </c>
      <c r="E161" s="108"/>
      <c r="F161" s="108"/>
      <c r="G161" s="108"/>
      <c r="H161" s="189"/>
      <c r="I161" s="165"/>
      <c r="J161" s="108"/>
      <c r="K161" s="110">
        <v>54</v>
      </c>
      <c r="L161" s="108"/>
      <c r="M161" s="108"/>
      <c r="N161" s="111" t="e">
        <f>N163+O161</f>
        <v>#VALUE!</v>
      </c>
      <c r="O161" s="137">
        <v>144.79</v>
      </c>
      <c r="P161" s="140"/>
      <c r="Q161" s="139" t="s">
        <v>660</v>
      </c>
      <c r="R161" s="123"/>
      <c r="S161" s="397"/>
      <c r="T161" s="123">
        <v>1</v>
      </c>
      <c r="U161" s="123">
        <v>2</v>
      </c>
      <c r="V161" s="141"/>
      <c r="W161" s="199"/>
      <c r="X161" s="182"/>
      <c r="Y161" s="397"/>
      <c r="Z161" s="143">
        <v>1</v>
      </c>
      <c r="AA161" s="143"/>
      <c r="AB161" s="144"/>
      <c r="AC161" s="397"/>
      <c r="AD161" s="151"/>
    </row>
    <row r="162" spans="2:33" ht="12.75" customHeight="1" x14ac:dyDescent="0.2">
      <c r="B162" s="121">
        <f>B160+1</f>
        <v>298</v>
      </c>
      <c r="C162" s="159" t="s">
        <v>587</v>
      </c>
      <c r="D162" s="232" t="s">
        <v>588</v>
      </c>
      <c r="E162" s="123"/>
      <c r="F162" s="123"/>
      <c r="G162" s="123"/>
      <c r="H162" s="97" t="s">
        <v>559</v>
      </c>
      <c r="I162" s="163" t="s">
        <v>567</v>
      </c>
      <c r="J162" s="234"/>
      <c r="K162" s="186"/>
      <c r="L162" s="123"/>
      <c r="M162" s="123"/>
      <c r="N162" s="125">
        <f>N160+O161</f>
        <v>15033.869999999999</v>
      </c>
      <c r="O162" s="126"/>
      <c r="P162" s="191" t="s">
        <v>661</v>
      </c>
      <c r="Q162" s="128"/>
      <c r="R162" s="108"/>
      <c r="S162" s="397"/>
      <c r="T162" s="108"/>
      <c r="U162" s="108"/>
      <c r="V162" s="154"/>
      <c r="W162" s="201"/>
      <c r="X162" s="182"/>
      <c r="Y162" s="397"/>
      <c r="Z162" s="133"/>
      <c r="AA162" s="133"/>
      <c r="AB162" s="134"/>
      <c r="AC162" s="397"/>
      <c r="AD162" s="193"/>
    </row>
    <row r="163" spans="2:33" ht="12.75" customHeight="1" x14ac:dyDescent="0.2">
      <c r="B163" s="187"/>
      <c r="C163" s="161"/>
      <c r="D163" s="162"/>
      <c r="E163" s="108"/>
      <c r="F163" s="108"/>
      <c r="G163" s="108"/>
      <c r="H163" s="109"/>
      <c r="I163" s="165"/>
      <c r="J163" s="235"/>
      <c r="K163" s="190">
        <v>108</v>
      </c>
      <c r="L163" s="108"/>
      <c r="M163" s="108"/>
      <c r="N163" s="111" t="e">
        <f>N165+O163</f>
        <v>#VALUE!</v>
      </c>
      <c r="O163" s="179">
        <v>76.12</v>
      </c>
      <c r="P163" s="181"/>
      <c r="Q163" s="139" t="s">
        <v>358</v>
      </c>
      <c r="R163" s="123"/>
      <c r="S163" s="397"/>
      <c r="T163" s="123">
        <v>1</v>
      </c>
      <c r="U163" s="123">
        <v>2</v>
      </c>
      <c r="V163" s="141"/>
      <c r="W163" s="142"/>
      <c r="X163" s="182"/>
      <c r="Y163" s="397"/>
      <c r="Z163" s="143">
        <v>1</v>
      </c>
      <c r="AA163" s="143"/>
      <c r="AB163" s="144"/>
      <c r="AC163" s="397"/>
      <c r="AD163" s="236" t="s">
        <v>360</v>
      </c>
    </row>
    <row r="164" spans="2:33" ht="12.75" customHeight="1" x14ac:dyDescent="0.2">
      <c r="B164" s="121">
        <f>B162+1</f>
        <v>299</v>
      </c>
      <c r="C164" s="164" t="s">
        <v>580</v>
      </c>
      <c r="D164" s="226" t="s">
        <v>571</v>
      </c>
      <c r="E164" s="123"/>
      <c r="F164" s="123"/>
      <c r="G164" s="123"/>
      <c r="H164" s="169" t="s">
        <v>584</v>
      </c>
      <c r="I164" s="163" t="s">
        <v>567</v>
      </c>
      <c r="J164" s="123"/>
      <c r="K164" s="227"/>
      <c r="L164" s="123"/>
      <c r="M164" s="123"/>
      <c r="N164" s="125">
        <f>N162+O163</f>
        <v>15109.99</v>
      </c>
      <c r="O164" s="212"/>
      <c r="P164" s="129"/>
      <c r="Q164" s="128"/>
      <c r="R164" s="108"/>
      <c r="S164" s="397"/>
      <c r="T164" s="108"/>
      <c r="U164" s="108"/>
      <c r="V164" s="154"/>
      <c r="W164" s="155"/>
      <c r="X164" s="182"/>
      <c r="Y164" s="397"/>
      <c r="Z164" s="133"/>
      <c r="AA164" s="133"/>
      <c r="AB164" s="134"/>
      <c r="AC164" s="397"/>
      <c r="AD164" s="156"/>
    </row>
    <row r="165" spans="2:33" ht="12.75" customHeight="1" x14ac:dyDescent="0.2">
      <c r="B165" s="209"/>
      <c r="C165" s="161"/>
      <c r="D165" s="162"/>
      <c r="E165" s="108"/>
      <c r="F165" s="108"/>
      <c r="G165" s="108"/>
      <c r="H165" s="109"/>
      <c r="I165" s="165"/>
      <c r="J165" s="108"/>
      <c r="K165" s="110">
        <v>108</v>
      </c>
      <c r="L165" s="108"/>
      <c r="M165" s="108"/>
      <c r="N165" s="111" t="e">
        <f>N167+O165</f>
        <v>#VALUE!</v>
      </c>
      <c r="O165" s="167">
        <v>216.93</v>
      </c>
      <c r="P165" s="140"/>
      <c r="Q165" s="139" t="s">
        <v>361</v>
      </c>
      <c r="R165" s="123"/>
      <c r="S165" s="397"/>
      <c r="T165" s="123">
        <v>1</v>
      </c>
      <c r="U165" s="123">
        <v>2</v>
      </c>
      <c r="V165" s="141"/>
      <c r="W165" s="142"/>
      <c r="X165" s="182"/>
      <c r="Y165" s="397"/>
      <c r="Z165" s="143">
        <v>1</v>
      </c>
      <c r="AA165" s="143"/>
      <c r="AB165" s="144"/>
      <c r="AC165" s="397"/>
      <c r="AD165" s="214" t="s">
        <v>334</v>
      </c>
    </row>
    <row r="166" spans="2:33" ht="12.75" customHeight="1" x14ac:dyDescent="0.2">
      <c r="B166" s="121">
        <f>B164+1</f>
        <v>300</v>
      </c>
      <c r="C166" s="159" t="s">
        <v>587</v>
      </c>
      <c r="D166" s="160" t="s">
        <v>583</v>
      </c>
      <c r="E166" s="123"/>
      <c r="F166" s="123"/>
      <c r="G166" s="123"/>
      <c r="H166" s="97" t="s">
        <v>559</v>
      </c>
      <c r="I166" s="163" t="s">
        <v>567</v>
      </c>
      <c r="J166" s="123"/>
      <c r="K166" s="124"/>
      <c r="L166" s="123"/>
      <c r="M166" s="123"/>
      <c r="N166" s="125">
        <f>N164+O165</f>
        <v>15326.92</v>
      </c>
      <c r="O166" s="126"/>
      <c r="P166" s="129"/>
      <c r="Q166" s="128"/>
      <c r="R166" s="108"/>
      <c r="S166" s="397"/>
      <c r="T166" s="108"/>
      <c r="U166" s="108"/>
      <c r="V166" s="154"/>
      <c r="W166" s="155"/>
      <c r="X166" s="182"/>
      <c r="Y166" s="397"/>
      <c r="Z166" s="133"/>
      <c r="AA166" s="133"/>
      <c r="AB166" s="134"/>
      <c r="AC166" s="397"/>
      <c r="AD166" s="156"/>
    </row>
    <row r="167" spans="2:33" ht="12.75" customHeight="1" x14ac:dyDescent="0.2">
      <c r="B167" s="187"/>
      <c r="C167" s="164"/>
      <c r="D167" s="171"/>
      <c r="E167" s="108"/>
      <c r="F167" s="108"/>
      <c r="G167" s="108"/>
      <c r="H167" s="172"/>
      <c r="I167" s="165"/>
      <c r="J167" s="108"/>
      <c r="K167" s="153">
        <v>216</v>
      </c>
      <c r="L167" s="108"/>
      <c r="M167" s="108"/>
      <c r="N167" s="111" t="e">
        <f>N169+O167</f>
        <v>#VALUE!</v>
      </c>
      <c r="O167" s="137">
        <v>239</v>
      </c>
      <c r="P167" s="140"/>
      <c r="Q167" s="139" t="s">
        <v>363</v>
      </c>
      <c r="R167" s="123"/>
      <c r="S167" s="397"/>
      <c r="T167" s="123">
        <v>1</v>
      </c>
      <c r="U167" s="123">
        <v>2</v>
      </c>
      <c r="V167" s="141"/>
      <c r="W167" s="199"/>
      <c r="X167" s="182"/>
      <c r="Y167" s="397"/>
      <c r="Z167" s="143">
        <v>1</v>
      </c>
      <c r="AA167" s="143"/>
      <c r="AB167" s="144"/>
      <c r="AC167" s="397"/>
      <c r="AD167" s="425" t="s">
        <v>364</v>
      </c>
    </row>
    <row r="168" spans="2:33" ht="15.75" x14ac:dyDescent="0.2">
      <c r="B168" s="121">
        <f>B166+1</f>
        <v>301</v>
      </c>
      <c r="C168" s="159" t="s">
        <v>580</v>
      </c>
      <c r="D168" s="160" t="s">
        <v>571</v>
      </c>
      <c r="E168" s="413" t="s">
        <v>593</v>
      </c>
      <c r="F168" s="123"/>
      <c r="G168" s="123"/>
      <c r="H168" s="169" t="s">
        <v>584</v>
      </c>
      <c r="I168" s="163" t="s">
        <v>567</v>
      </c>
      <c r="J168" s="123"/>
      <c r="K168" s="124">
        <v>108</v>
      </c>
      <c r="L168" s="123"/>
      <c r="M168" s="123"/>
      <c r="N168" s="125">
        <f>N166+O167</f>
        <v>15565.92</v>
      </c>
      <c r="O168" s="126"/>
      <c r="P168" s="129"/>
      <c r="Q168" s="128"/>
      <c r="R168" s="108"/>
      <c r="S168" s="397"/>
      <c r="T168" s="108"/>
      <c r="U168" s="108"/>
      <c r="V168" s="154"/>
      <c r="W168" s="201"/>
      <c r="X168" s="182"/>
      <c r="Y168" s="397"/>
      <c r="Z168" s="133"/>
      <c r="AA168" s="133"/>
      <c r="AB168" s="134"/>
      <c r="AC168" s="397"/>
      <c r="AD168" s="426"/>
    </row>
    <row r="169" spans="2:33" ht="22.5" x14ac:dyDescent="0.2">
      <c r="B169" s="209"/>
      <c r="C169" s="164"/>
      <c r="D169" s="178" t="s">
        <v>594</v>
      </c>
      <c r="E169" s="414"/>
      <c r="F169" s="108"/>
      <c r="G169" s="108"/>
      <c r="H169" s="173"/>
      <c r="I169" s="165"/>
      <c r="J169" s="108"/>
      <c r="K169" s="153">
        <v>18</v>
      </c>
      <c r="L169" s="108"/>
      <c r="M169" s="108"/>
      <c r="N169" s="111" t="e">
        <f>N171+O169</f>
        <v>#VALUE!</v>
      </c>
      <c r="O169" s="137">
        <v>315.57</v>
      </c>
      <c r="P169" s="140"/>
      <c r="Q169" s="139" t="s">
        <v>365</v>
      </c>
      <c r="R169" s="123"/>
      <c r="S169" s="397"/>
      <c r="T169" s="123">
        <v>1</v>
      </c>
      <c r="U169" s="123">
        <v>2</v>
      </c>
      <c r="V169" s="141"/>
      <c r="W169" s="199"/>
      <c r="X169" s="182"/>
      <c r="Y169" s="397"/>
      <c r="Z169" s="143">
        <v>1</v>
      </c>
      <c r="AA169" s="143"/>
      <c r="AB169" s="144"/>
      <c r="AC169" s="397"/>
      <c r="AD169" s="427" t="s">
        <v>367</v>
      </c>
    </row>
    <row r="170" spans="2:33" ht="12.75" customHeight="1" x14ac:dyDescent="0.2">
      <c r="B170" s="121">
        <f>B168+1</f>
        <v>302</v>
      </c>
      <c r="C170" s="159" t="s">
        <v>587</v>
      </c>
      <c r="D170" s="160" t="s">
        <v>583</v>
      </c>
      <c r="E170" s="123"/>
      <c r="F170" s="123"/>
      <c r="G170" s="123"/>
      <c r="H170" s="97" t="s">
        <v>559</v>
      </c>
      <c r="I170" s="163" t="s">
        <v>567</v>
      </c>
      <c r="J170" s="123"/>
      <c r="K170" s="124"/>
      <c r="L170" s="123"/>
      <c r="M170" s="123"/>
      <c r="N170" s="125">
        <f>N168+O169</f>
        <v>15881.49</v>
      </c>
      <c r="O170" s="126"/>
      <c r="P170" s="129" t="s">
        <v>662</v>
      </c>
      <c r="Q170" s="128"/>
      <c r="R170" s="108"/>
      <c r="S170" s="397"/>
      <c r="T170" s="108"/>
      <c r="U170" s="108"/>
      <c r="V170" s="154"/>
      <c r="W170" s="201"/>
      <c r="X170" s="182"/>
      <c r="Y170" s="397"/>
      <c r="Z170" s="133"/>
      <c r="AA170" s="133"/>
      <c r="AB170" s="134"/>
      <c r="AC170" s="397"/>
      <c r="AD170" s="428"/>
    </row>
    <row r="171" spans="2:33" ht="12.75" customHeight="1" x14ac:dyDescent="0.2">
      <c r="B171" s="187"/>
      <c r="C171" s="161"/>
      <c r="D171" s="162"/>
      <c r="E171" s="108"/>
      <c r="F171" s="108"/>
      <c r="G171" s="108"/>
      <c r="H171" s="109"/>
      <c r="I171" s="165"/>
      <c r="J171" s="108"/>
      <c r="K171" s="110">
        <v>216</v>
      </c>
      <c r="L171" s="108"/>
      <c r="M171" s="108"/>
      <c r="N171" s="111" t="e">
        <f>N173+O171</f>
        <v>#VALUE!</v>
      </c>
      <c r="O171" s="137">
        <v>82.21</v>
      </c>
      <c r="P171" s="140"/>
      <c r="Q171" s="139" t="s">
        <v>368</v>
      </c>
      <c r="R171" s="123"/>
      <c r="S171" s="397"/>
      <c r="T171" s="123">
        <v>1</v>
      </c>
      <c r="U171" s="123">
        <v>2</v>
      </c>
      <c r="V171" s="141"/>
      <c r="W171" s="142"/>
      <c r="X171" s="182"/>
      <c r="Y171" s="397"/>
      <c r="Z171" s="143">
        <v>1</v>
      </c>
      <c r="AA171" s="143"/>
      <c r="AB171" s="144"/>
      <c r="AC171" s="397"/>
      <c r="AD171" s="407" t="s">
        <v>370</v>
      </c>
      <c r="AG171" s="67"/>
    </row>
    <row r="172" spans="2:33" ht="12.75" customHeight="1" x14ac:dyDescent="0.2">
      <c r="B172" s="121">
        <f>B170+1</f>
        <v>303</v>
      </c>
      <c r="C172" s="159" t="s">
        <v>580</v>
      </c>
      <c r="D172" s="160" t="s">
        <v>583</v>
      </c>
      <c r="E172" s="123"/>
      <c r="F172" s="123"/>
      <c r="G172" s="123"/>
      <c r="H172" s="97" t="s">
        <v>559</v>
      </c>
      <c r="I172" s="163" t="s">
        <v>567</v>
      </c>
      <c r="J172" s="123"/>
      <c r="K172" s="124"/>
      <c r="L172" s="123"/>
      <c r="M172" s="123"/>
      <c r="N172" s="125">
        <f>N170+O171</f>
        <v>15963.699999999999</v>
      </c>
      <c r="O172" s="126"/>
      <c r="P172" s="129"/>
      <c r="Q172" s="128"/>
      <c r="R172" s="108"/>
      <c r="S172" s="397"/>
      <c r="T172" s="108"/>
      <c r="U172" s="108"/>
      <c r="V172" s="154"/>
      <c r="W172" s="155"/>
      <c r="X172" s="182"/>
      <c r="Y172" s="397"/>
      <c r="Z172" s="133"/>
      <c r="AA172" s="133"/>
      <c r="AB172" s="134"/>
      <c r="AC172" s="397"/>
      <c r="AD172" s="408"/>
    </row>
    <row r="173" spans="2:33" ht="12.75" customHeight="1" x14ac:dyDescent="0.2">
      <c r="B173" s="209"/>
      <c r="C173" s="161"/>
      <c r="D173" s="162"/>
      <c r="E173" s="108"/>
      <c r="F173" s="108"/>
      <c r="G173" s="108"/>
      <c r="H173" s="109"/>
      <c r="I173" s="165"/>
      <c r="J173" s="108"/>
      <c r="K173" s="110">
        <v>216</v>
      </c>
      <c r="L173" s="108"/>
      <c r="M173" s="108"/>
      <c r="N173" s="111" t="e">
        <f>N175+O173</f>
        <v>#VALUE!</v>
      </c>
      <c r="O173" s="137">
        <v>104.89</v>
      </c>
      <c r="P173" s="140"/>
      <c r="Q173" s="139" t="s">
        <v>371</v>
      </c>
      <c r="R173" s="123"/>
      <c r="S173" s="397"/>
      <c r="T173" s="123">
        <v>1</v>
      </c>
      <c r="U173" s="123">
        <v>2</v>
      </c>
      <c r="V173" s="141"/>
      <c r="W173" s="142"/>
      <c r="X173" s="182"/>
      <c r="Y173" s="397"/>
      <c r="Z173" s="143">
        <v>1</v>
      </c>
      <c r="AA173" s="143"/>
      <c r="AB173" s="144"/>
      <c r="AC173" s="397"/>
      <c r="AD173" s="399" t="s">
        <v>373</v>
      </c>
    </row>
    <row r="174" spans="2:33" ht="12.75" customHeight="1" x14ac:dyDescent="0.2">
      <c r="B174" s="121">
        <f>B172+1</f>
        <v>304</v>
      </c>
      <c r="C174" s="159" t="s">
        <v>587</v>
      </c>
      <c r="D174" s="160" t="s">
        <v>583</v>
      </c>
      <c r="E174" s="123"/>
      <c r="F174" s="123"/>
      <c r="G174" s="123"/>
      <c r="H174" s="97" t="s">
        <v>559</v>
      </c>
      <c r="I174" s="163" t="s">
        <v>567</v>
      </c>
      <c r="J174" s="123"/>
      <c r="K174" s="186"/>
      <c r="L174" s="123"/>
      <c r="M174" s="123"/>
      <c r="N174" s="125">
        <f>N172+O173</f>
        <v>16068.589999999998</v>
      </c>
      <c r="O174" s="167"/>
      <c r="P174" s="181"/>
      <c r="Q174" s="128"/>
      <c r="R174" s="108"/>
      <c r="S174" s="398"/>
      <c r="T174" s="108"/>
      <c r="U174" s="108"/>
      <c r="V174" s="154"/>
      <c r="W174" s="155"/>
      <c r="X174" s="182"/>
      <c r="Y174" s="398"/>
      <c r="Z174" s="133"/>
      <c r="AA174" s="133"/>
      <c r="AB174" s="134"/>
      <c r="AC174" s="398"/>
      <c r="AD174" s="429"/>
    </row>
    <row r="175" spans="2:33" ht="12.75" customHeight="1" x14ac:dyDescent="0.2">
      <c r="B175" s="187"/>
      <c r="C175" s="104"/>
      <c r="D175" s="171"/>
      <c r="E175" s="182"/>
      <c r="F175" s="182"/>
      <c r="G175" s="182"/>
      <c r="H175" s="173"/>
      <c r="I175" s="165"/>
      <c r="J175" s="182"/>
      <c r="K175" s="233">
        <v>216</v>
      </c>
      <c r="L175" s="182"/>
      <c r="M175" s="108"/>
      <c r="N175" s="111" t="e">
        <f>N177+O175</f>
        <v>#VALUE!</v>
      </c>
      <c r="O175" s="137">
        <v>345.35</v>
      </c>
      <c r="P175" s="238"/>
      <c r="Q175" s="139" t="s">
        <v>374</v>
      </c>
      <c r="R175" s="123"/>
      <c r="S175" s="396" t="s">
        <v>578</v>
      </c>
      <c r="T175" s="123">
        <v>1</v>
      </c>
      <c r="U175" s="123">
        <v>2</v>
      </c>
      <c r="V175" s="141"/>
      <c r="W175" s="142"/>
      <c r="X175" s="182"/>
      <c r="Y175" s="396" t="s">
        <v>579</v>
      </c>
      <c r="Z175" s="143">
        <v>1</v>
      </c>
      <c r="AA175" s="143"/>
      <c r="AB175" s="206">
        <v>5</v>
      </c>
      <c r="AC175" s="396" t="s">
        <v>376</v>
      </c>
      <c r="AD175" s="145" t="s">
        <v>377</v>
      </c>
    </row>
    <row r="176" spans="2:33" ht="12.75" customHeight="1" x14ac:dyDescent="0.2">
      <c r="B176" s="121">
        <f>B174+1</f>
        <v>305</v>
      </c>
      <c r="C176" s="185" t="s">
        <v>580</v>
      </c>
      <c r="D176" s="160" t="s">
        <v>581</v>
      </c>
      <c r="E176" s="123"/>
      <c r="F176" s="123"/>
      <c r="G176" s="123"/>
      <c r="H176" s="97" t="s">
        <v>559</v>
      </c>
      <c r="I176" s="163" t="s">
        <v>567</v>
      </c>
      <c r="J176" s="123"/>
      <c r="K176" s="124"/>
      <c r="L176" s="123"/>
      <c r="M176" s="123"/>
      <c r="N176" s="125">
        <f>N174+O175</f>
        <v>16413.939999999999</v>
      </c>
      <c r="O176" s="126"/>
      <c r="P176" s="191"/>
      <c r="Q176" s="128"/>
      <c r="R176" s="108"/>
      <c r="S176" s="397"/>
      <c r="T176" s="108"/>
      <c r="U176" s="108"/>
      <c r="V176" s="154"/>
      <c r="W176" s="155"/>
      <c r="X176" s="182"/>
      <c r="Y176" s="397"/>
      <c r="Z176" s="133"/>
      <c r="AA176" s="133"/>
      <c r="AB176" s="207"/>
      <c r="AC176" s="397"/>
      <c r="AD176" s="156"/>
    </row>
    <row r="177" spans="2:30" ht="12.75" customHeight="1" x14ac:dyDescent="0.2">
      <c r="B177" s="209"/>
      <c r="C177" s="229"/>
      <c r="D177" s="162"/>
      <c r="E177" s="108"/>
      <c r="F177" s="108"/>
      <c r="G177" s="108"/>
      <c r="H177" s="173"/>
      <c r="I177" s="165"/>
      <c r="J177" s="108"/>
      <c r="K177" s="110">
        <v>162</v>
      </c>
      <c r="L177" s="108"/>
      <c r="M177" s="108"/>
      <c r="N177" s="111" t="e">
        <f>N179+O177</f>
        <v>#VALUE!</v>
      </c>
      <c r="O177" s="137">
        <v>82.05</v>
      </c>
      <c r="P177" s="140"/>
      <c r="Q177" s="139" t="s">
        <v>663</v>
      </c>
      <c r="R177" s="123"/>
      <c r="S177" s="397"/>
      <c r="T177" s="123">
        <v>1</v>
      </c>
      <c r="U177" s="123">
        <v>2</v>
      </c>
      <c r="V177" s="141"/>
      <c r="W177" s="142"/>
      <c r="X177" s="182"/>
      <c r="Y177" s="397"/>
      <c r="Z177" s="143">
        <v>1</v>
      </c>
      <c r="AA177" s="143"/>
      <c r="AB177" s="144"/>
      <c r="AC177" s="397"/>
      <c r="AD177" s="151"/>
    </row>
    <row r="178" spans="2:30" ht="12.75" customHeight="1" x14ac:dyDescent="0.2">
      <c r="B178" s="121">
        <f>B176+1</f>
        <v>306</v>
      </c>
      <c r="C178" s="159" t="s">
        <v>587</v>
      </c>
      <c r="D178" s="160" t="s">
        <v>588</v>
      </c>
      <c r="E178" s="123"/>
      <c r="F178" s="123"/>
      <c r="G178" s="123"/>
      <c r="H178" s="97" t="s">
        <v>559</v>
      </c>
      <c r="I178" s="163" t="s">
        <v>567</v>
      </c>
      <c r="J178" s="123"/>
      <c r="K178" s="124"/>
      <c r="L178" s="123"/>
      <c r="M178" s="123"/>
      <c r="N178" s="125">
        <f>N176+O177</f>
        <v>16495.989999999998</v>
      </c>
      <c r="O178" s="126"/>
      <c r="P178" s="129" t="s">
        <v>664</v>
      </c>
      <c r="Q178" s="128"/>
      <c r="R178" s="108"/>
      <c r="S178" s="397"/>
      <c r="T178" s="108"/>
      <c r="U178" s="108"/>
      <c r="V178" s="154"/>
      <c r="W178" s="155"/>
      <c r="X178" s="182"/>
      <c r="Y178" s="397"/>
      <c r="Z178" s="133"/>
      <c r="AA178" s="133"/>
      <c r="AB178" s="134"/>
      <c r="AC178" s="397"/>
      <c r="AD178" s="156"/>
    </row>
    <row r="179" spans="2:30" ht="12.75" customHeight="1" x14ac:dyDescent="0.2">
      <c r="B179" s="187"/>
      <c r="C179" s="177"/>
      <c r="D179" s="162"/>
      <c r="E179" s="108"/>
      <c r="F179" s="108"/>
      <c r="G179" s="108"/>
      <c r="H179" s="173"/>
      <c r="I179" s="165"/>
      <c r="J179" s="108"/>
      <c r="K179" s="110">
        <v>108</v>
      </c>
      <c r="L179" s="108"/>
      <c r="M179" s="108"/>
      <c r="N179" s="111" t="e">
        <f>N181+O179</f>
        <v>#VALUE!</v>
      </c>
      <c r="O179" s="137">
        <v>221.68</v>
      </c>
      <c r="P179" s="140"/>
      <c r="Q179" s="139" t="s">
        <v>665</v>
      </c>
      <c r="R179" s="123"/>
      <c r="S179" s="397"/>
      <c r="T179" s="123">
        <v>1</v>
      </c>
      <c r="U179" s="123">
        <v>2</v>
      </c>
      <c r="V179" s="141"/>
      <c r="W179" s="199"/>
      <c r="X179" s="182"/>
      <c r="Y179" s="397"/>
      <c r="Z179" s="143">
        <v>1</v>
      </c>
      <c r="AA179" s="143"/>
      <c r="AB179" s="144"/>
      <c r="AC179" s="397"/>
      <c r="AD179" s="151"/>
    </row>
    <row r="180" spans="2:30" ht="12.75" customHeight="1" x14ac:dyDescent="0.2">
      <c r="B180" s="121">
        <f>B178+1</f>
        <v>307</v>
      </c>
      <c r="C180" s="159" t="s">
        <v>580</v>
      </c>
      <c r="D180" s="160" t="s">
        <v>588</v>
      </c>
      <c r="E180" s="123"/>
      <c r="F180" s="123"/>
      <c r="G180" s="123"/>
      <c r="H180" s="97" t="s">
        <v>559</v>
      </c>
      <c r="I180" s="163" t="s">
        <v>567</v>
      </c>
      <c r="J180" s="123"/>
      <c r="K180" s="124"/>
      <c r="L180" s="123"/>
      <c r="M180" s="123"/>
      <c r="N180" s="125">
        <f>N178+O179</f>
        <v>16717.669999999998</v>
      </c>
      <c r="O180" s="126"/>
      <c r="P180" s="129"/>
      <c r="Q180" s="128"/>
      <c r="R180" s="108"/>
      <c r="S180" s="397"/>
      <c r="T180" s="108"/>
      <c r="U180" s="108"/>
      <c r="V180" s="154"/>
      <c r="W180" s="201"/>
      <c r="X180" s="182"/>
      <c r="Y180" s="397"/>
      <c r="Z180" s="133"/>
      <c r="AA180" s="133"/>
      <c r="AB180" s="134"/>
      <c r="AC180" s="397"/>
      <c r="AD180" s="156"/>
    </row>
    <row r="181" spans="2:30" ht="12.75" customHeight="1" x14ac:dyDescent="0.2">
      <c r="B181" s="187"/>
      <c r="C181" s="161"/>
      <c r="D181" s="162"/>
      <c r="E181" s="108"/>
      <c r="F181" s="108"/>
      <c r="G181" s="108"/>
      <c r="H181" s="173"/>
      <c r="I181" s="165"/>
      <c r="J181" s="108"/>
      <c r="K181" s="110">
        <v>108</v>
      </c>
      <c r="L181" s="108"/>
      <c r="M181" s="108"/>
      <c r="N181" s="111" t="e">
        <f>N183+O181</f>
        <v>#VALUE!</v>
      </c>
      <c r="O181" s="137">
        <v>66.03</v>
      </c>
      <c r="P181" s="140"/>
      <c r="Q181" s="139" t="s">
        <v>666</v>
      </c>
      <c r="R181" s="123"/>
      <c r="S181" s="397"/>
      <c r="T181" s="123">
        <v>1</v>
      </c>
      <c r="U181" s="123">
        <v>2</v>
      </c>
      <c r="V181" s="141"/>
      <c r="W181" s="142"/>
      <c r="X181" s="182"/>
      <c r="Y181" s="397"/>
      <c r="Z181" s="143">
        <v>1</v>
      </c>
      <c r="AA181" s="143"/>
      <c r="AB181" s="144"/>
      <c r="AC181" s="397"/>
      <c r="AD181" s="151"/>
    </row>
    <row r="182" spans="2:30" ht="12.75" customHeight="1" x14ac:dyDescent="0.2">
      <c r="B182" s="121">
        <f>B180+1</f>
        <v>308</v>
      </c>
      <c r="C182" s="159" t="s">
        <v>587</v>
      </c>
      <c r="D182" s="160" t="s">
        <v>588</v>
      </c>
      <c r="E182" s="123"/>
      <c r="F182" s="123"/>
      <c r="G182" s="123"/>
      <c r="H182" s="97" t="s">
        <v>559</v>
      </c>
      <c r="I182" s="163" t="s">
        <v>567</v>
      </c>
      <c r="J182" s="234"/>
      <c r="K182" s="124"/>
      <c r="L182" s="123"/>
      <c r="M182" s="123"/>
      <c r="N182" s="125">
        <f>N180+O181</f>
        <v>16783.699999999997</v>
      </c>
      <c r="O182" s="126"/>
      <c r="P182" s="129" t="s">
        <v>667</v>
      </c>
      <c r="Q182" s="128"/>
      <c r="R182" s="108"/>
      <c r="S182" s="397"/>
      <c r="T182" s="108"/>
      <c r="U182" s="108"/>
      <c r="V182" s="154"/>
      <c r="W182" s="155"/>
      <c r="X182" s="182"/>
      <c r="Y182" s="397"/>
      <c r="Z182" s="133"/>
      <c r="AA182" s="133"/>
      <c r="AB182" s="134"/>
      <c r="AC182" s="397"/>
      <c r="AD182" s="156"/>
    </row>
    <row r="183" spans="2:30" ht="12.75" customHeight="1" x14ac:dyDescent="0.2">
      <c r="B183" s="209"/>
      <c r="C183" s="107"/>
      <c r="D183" s="162"/>
      <c r="E183" s="108"/>
      <c r="F183" s="108"/>
      <c r="G183" s="108"/>
      <c r="H183" s="173"/>
      <c r="I183" s="165"/>
      <c r="J183" s="235"/>
      <c r="K183" s="110">
        <v>108</v>
      </c>
      <c r="L183" s="108"/>
      <c r="M183" s="108"/>
      <c r="N183" s="111" t="e">
        <f>N185+O183</f>
        <v>#VALUE!</v>
      </c>
      <c r="O183" s="137">
        <v>169.32</v>
      </c>
      <c r="P183" s="140"/>
      <c r="Q183" s="139" t="s">
        <v>378</v>
      </c>
      <c r="R183" s="123"/>
      <c r="S183" s="397"/>
      <c r="T183" s="123">
        <v>1</v>
      </c>
      <c r="U183" s="123">
        <v>2</v>
      </c>
      <c r="V183" s="141"/>
      <c r="W183" s="142"/>
      <c r="X183" s="182"/>
      <c r="Y183" s="397"/>
      <c r="Z183" s="143">
        <v>1</v>
      </c>
      <c r="AA183" s="143"/>
      <c r="AB183" s="144"/>
      <c r="AC183" s="397"/>
      <c r="AD183" s="401" t="s">
        <v>380</v>
      </c>
    </row>
    <row r="184" spans="2:30" ht="12.75" customHeight="1" x14ac:dyDescent="0.2">
      <c r="B184" s="121">
        <f>B182+1</f>
        <v>309</v>
      </c>
      <c r="C184" s="159" t="s">
        <v>580</v>
      </c>
      <c r="D184" s="160" t="s">
        <v>582</v>
      </c>
      <c r="E184" s="123"/>
      <c r="F184" s="123"/>
      <c r="G184" s="123"/>
      <c r="H184" s="97" t="s">
        <v>559</v>
      </c>
      <c r="I184" s="163" t="s">
        <v>567</v>
      </c>
      <c r="J184" s="234"/>
      <c r="K184" s="124"/>
      <c r="L184" s="123"/>
      <c r="M184" s="123"/>
      <c r="N184" s="125">
        <f>N182+O183</f>
        <v>16953.019999999997</v>
      </c>
      <c r="O184" s="126"/>
      <c r="P184" s="129"/>
      <c r="Q184" s="128"/>
      <c r="R184" s="108"/>
      <c r="S184" s="397"/>
      <c r="T184" s="108"/>
      <c r="U184" s="108"/>
      <c r="V184" s="154"/>
      <c r="W184" s="155"/>
      <c r="X184" s="182"/>
      <c r="Y184" s="397"/>
      <c r="Z184" s="133"/>
      <c r="AA184" s="133"/>
      <c r="AB184" s="134"/>
      <c r="AC184" s="397"/>
      <c r="AD184" s="402"/>
    </row>
    <row r="185" spans="2:30" ht="12.75" customHeight="1" x14ac:dyDescent="0.2">
      <c r="B185" s="187"/>
      <c r="C185" s="107"/>
      <c r="D185" s="188"/>
      <c r="E185" s="108"/>
      <c r="F185" s="108"/>
      <c r="G185" s="108"/>
      <c r="H185" s="173"/>
      <c r="I185" s="165"/>
      <c r="J185" s="235"/>
      <c r="K185" s="110">
        <v>162</v>
      </c>
      <c r="L185" s="108"/>
      <c r="M185" s="108"/>
      <c r="N185" s="111" t="e">
        <f>N187+O185</f>
        <v>#VALUE!</v>
      </c>
      <c r="O185" s="137">
        <v>158.51</v>
      </c>
      <c r="P185" s="140"/>
      <c r="Q185" s="139" t="s">
        <v>381</v>
      </c>
      <c r="R185" s="123"/>
      <c r="S185" s="397"/>
      <c r="T185" s="123">
        <v>1</v>
      </c>
      <c r="U185" s="123">
        <v>2</v>
      </c>
      <c r="V185" s="141"/>
      <c r="W185" s="142"/>
      <c r="X185" s="182"/>
      <c r="Y185" s="397"/>
      <c r="Z185" s="143">
        <v>1</v>
      </c>
      <c r="AA185" s="143"/>
      <c r="AB185" s="144"/>
      <c r="AC185" s="397"/>
      <c r="AD185" s="411" t="s">
        <v>383</v>
      </c>
    </row>
    <row r="186" spans="2:30" ht="12.75" customHeight="1" x14ac:dyDescent="0.2">
      <c r="B186" s="121">
        <f>B184+1</f>
        <v>310</v>
      </c>
      <c r="C186" s="159" t="s">
        <v>580</v>
      </c>
      <c r="D186" s="160" t="s">
        <v>583</v>
      </c>
      <c r="E186" s="123"/>
      <c r="F186" s="123"/>
      <c r="G186" s="123"/>
      <c r="H186" s="97" t="s">
        <v>559</v>
      </c>
      <c r="I186" s="163" t="s">
        <v>567</v>
      </c>
      <c r="J186" s="123"/>
      <c r="K186" s="124"/>
      <c r="L186" s="123"/>
      <c r="M186" s="123"/>
      <c r="N186" s="125">
        <f>N184+O185</f>
        <v>17111.529999999995</v>
      </c>
      <c r="O186" s="126"/>
      <c r="P186" s="129"/>
      <c r="Q186" s="128"/>
      <c r="R186" s="108"/>
      <c r="S186" s="397"/>
      <c r="T186" s="108"/>
      <c r="U186" s="108"/>
      <c r="V186" s="154"/>
      <c r="W186" s="155"/>
      <c r="X186" s="182"/>
      <c r="Y186" s="397"/>
      <c r="Z186" s="133"/>
      <c r="AA186" s="133"/>
      <c r="AB186" s="134"/>
      <c r="AC186" s="397"/>
      <c r="AD186" s="412"/>
    </row>
    <row r="187" spans="2:30" ht="12.75" customHeight="1" x14ac:dyDescent="0.2">
      <c r="B187" s="209"/>
      <c r="C187" s="161"/>
      <c r="D187" s="188"/>
      <c r="E187" s="108"/>
      <c r="F187" s="108"/>
      <c r="G187" s="108"/>
      <c r="H187" s="173"/>
      <c r="I187" s="165"/>
      <c r="J187" s="108"/>
      <c r="K187" s="110">
        <v>216</v>
      </c>
      <c r="L187" s="108"/>
      <c r="M187" s="108"/>
      <c r="N187" s="111" t="e">
        <f>N189+O187</f>
        <v>#VALUE!</v>
      </c>
      <c r="O187" s="137">
        <v>230.34</v>
      </c>
      <c r="P187" s="140"/>
      <c r="Q187" s="139" t="s">
        <v>384</v>
      </c>
      <c r="R187" s="123"/>
      <c r="S187" s="397"/>
      <c r="T187" s="123">
        <v>1</v>
      </c>
      <c r="U187" s="123">
        <v>2</v>
      </c>
      <c r="V187" s="141"/>
      <c r="W187" s="142"/>
      <c r="X187" s="182"/>
      <c r="Y187" s="397"/>
      <c r="Z187" s="143">
        <v>1</v>
      </c>
      <c r="AA187" s="143"/>
      <c r="AB187" s="144"/>
      <c r="AC187" s="397"/>
      <c r="AD187" s="401" t="s">
        <v>386</v>
      </c>
    </row>
    <row r="188" spans="2:30" ht="15.75" x14ac:dyDescent="0.2">
      <c r="B188" s="121">
        <f>B186+1</f>
        <v>311</v>
      </c>
      <c r="C188" s="159" t="s">
        <v>580</v>
      </c>
      <c r="D188" s="160" t="s">
        <v>571</v>
      </c>
      <c r="E188" s="413" t="s">
        <v>668</v>
      </c>
      <c r="F188" s="123"/>
      <c r="G188" s="123"/>
      <c r="H188" s="97" t="s">
        <v>559</v>
      </c>
      <c r="I188" s="163" t="s">
        <v>567</v>
      </c>
      <c r="J188" s="123"/>
      <c r="K188" s="124">
        <v>126</v>
      </c>
      <c r="L188" s="123" t="s">
        <v>590</v>
      </c>
      <c r="M188" s="123"/>
      <c r="N188" s="125">
        <f>N186+O187</f>
        <v>17341.869999999995</v>
      </c>
      <c r="O188" s="126"/>
      <c r="P188" s="129"/>
      <c r="Q188" s="128"/>
      <c r="R188" s="108"/>
      <c r="S188" s="397"/>
      <c r="T188" s="108"/>
      <c r="U188" s="108"/>
      <c r="V188" s="154"/>
      <c r="W188" s="155"/>
      <c r="X188" s="182"/>
      <c r="Y188" s="397"/>
      <c r="Z188" s="133"/>
      <c r="AA188" s="133"/>
      <c r="AB188" s="134"/>
      <c r="AC188" s="397"/>
      <c r="AD188" s="402"/>
    </row>
    <row r="189" spans="2:30" ht="22.5" x14ac:dyDescent="0.2">
      <c r="B189" s="187"/>
      <c r="C189" s="177"/>
      <c r="D189" s="178" t="s">
        <v>602</v>
      </c>
      <c r="E189" s="414"/>
      <c r="F189" s="108"/>
      <c r="G189" s="108"/>
      <c r="H189" s="173"/>
      <c r="I189" s="165"/>
      <c r="J189" s="108"/>
      <c r="K189" s="110">
        <v>9</v>
      </c>
      <c r="L189" s="108"/>
      <c r="M189" s="108"/>
      <c r="N189" s="111" t="e">
        <f>N191+O189</f>
        <v>#VALUE!</v>
      </c>
      <c r="O189" s="137">
        <v>303.56</v>
      </c>
      <c r="P189" s="140"/>
      <c r="Q189" s="139" t="s">
        <v>669</v>
      </c>
      <c r="R189" s="123"/>
      <c r="S189" s="397"/>
      <c r="T189" s="123">
        <v>1</v>
      </c>
      <c r="U189" s="123">
        <v>2</v>
      </c>
      <c r="V189" s="141"/>
      <c r="W189" s="142"/>
      <c r="X189" s="182"/>
      <c r="Y189" s="397"/>
      <c r="Z189" s="143">
        <v>1</v>
      </c>
      <c r="AA189" s="143"/>
      <c r="AB189" s="144"/>
      <c r="AC189" s="397"/>
      <c r="AD189" s="151"/>
    </row>
    <row r="190" spans="2:30" ht="12.75" customHeight="1" x14ac:dyDescent="0.2">
      <c r="B190" s="121">
        <f>B188+1</f>
        <v>312</v>
      </c>
      <c r="C190" s="159" t="s">
        <v>580</v>
      </c>
      <c r="D190" s="160" t="s">
        <v>571</v>
      </c>
      <c r="E190" s="123"/>
      <c r="F190" s="123"/>
      <c r="G190" s="123"/>
      <c r="H190" s="97" t="s">
        <v>559</v>
      </c>
      <c r="I190" s="163" t="s">
        <v>567</v>
      </c>
      <c r="J190" s="123"/>
      <c r="K190" s="124"/>
      <c r="L190" s="123" t="s">
        <v>590</v>
      </c>
      <c r="M190" s="123"/>
      <c r="N190" s="125">
        <f>N188+O189</f>
        <v>17645.429999999997</v>
      </c>
      <c r="O190" s="126"/>
      <c r="P190" s="129"/>
      <c r="Q190" s="128"/>
      <c r="R190" s="108"/>
      <c r="S190" s="397"/>
      <c r="T190" s="108"/>
      <c r="U190" s="108"/>
      <c r="V190" s="154"/>
      <c r="W190" s="155"/>
      <c r="X190" s="182"/>
      <c r="Y190" s="397"/>
      <c r="Z190" s="133"/>
      <c r="AA190" s="133"/>
      <c r="AB190" s="134"/>
      <c r="AC190" s="397"/>
      <c r="AD190" s="156"/>
    </row>
    <row r="191" spans="2:30" ht="12.75" customHeight="1" x14ac:dyDescent="0.2">
      <c r="B191" s="209"/>
      <c r="C191" s="161"/>
      <c r="D191" s="162"/>
      <c r="E191" s="108"/>
      <c r="F191" s="108"/>
      <c r="G191" s="108"/>
      <c r="H191" s="173"/>
      <c r="I191" s="165"/>
      <c r="J191" s="108"/>
      <c r="K191" s="110">
        <v>108</v>
      </c>
      <c r="L191" s="108"/>
      <c r="M191" s="108"/>
      <c r="N191" s="111" t="e">
        <f>N193+O191</f>
        <v>#VALUE!</v>
      </c>
      <c r="O191" s="137">
        <v>76.67</v>
      </c>
      <c r="P191" s="239"/>
      <c r="Q191" s="139" t="s">
        <v>670</v>
      </c>
      <c r="R191" s="123"/>
      <c r="S191" s="397"/>
      <c r="T191" s="123">
        <v>1</v>
      </c>
      <c r="U191" s="123">
        <v>2</v>
      </c>
      <c r="V191" s="141"/>
      <c r="W191" s="142"/>
      <c r="X191" s="182"/>
      <c r="Y191" s="397"/>
      <c r="Z191" s="143">
        <v>1</v>
      </c>
      <c r="AA191" s="143"/>
      <c r="AB191" s="144"/>
      <c r="AC191" s="397"/>
      <c r="AD191" s="151"/>
    </row>
    <row r="192" spans="2:30" ht="12.75" customHeight="1" x14ac:dyDescent="0.2">
      <c r="B192" s="121">
        <f>B190+1</f>
        <v>313</v>
      </c>
      <c r="C192" s="159" t="s">
        <v>587</v>
      </c>
      <c r="D192" s="232" t="s">
        <v>588</v>
      </c>
      <c r="E192" s="123"/>
      <c r="F192" s="123"/>
      <c r="G192" s="123"/>
      <c r="H192" s="97" t="s">
        <v>559</v>
      </c>
      <c r="I192" s="163" t="s">
        <v>567</v>
      </c>
      <c r="J192" s="123"/>
      <c r="K192" s="186"/>
      <c r="L192" s="123"/>
      <c r="M192" s="123"/>
      <c r="N192" s="125">
        <f>N190+O191</f>
        <v>17722.099999999995</v>
      </c>
      <c r="O192" s="126"/>
      <c r="P192" s="191" t="s">
        <v>671</v>
      </c>
      <c r="Q192" s="128"/>
      <c r="R192" s="108"/>
      <c r="S192" s="397"/>
      <c r="T192" s="108"/>
      <c r="U192" s="108"/>
      <c r="V192" s="154"/>
      <c r="W192" s="155"/>
      <c r="X192" s="182"/>
      <c r="Y192" s="397"/>
      <c r="Z192" s="133"/>
      <c r="AA192" s="133"/>
      <c r="AB192" s="134"/>
      <c r="AC192" s="397"/>
      <c r="AD192" s="193"/>
    </row>
    <row r="193" spans="2:30" ht="12.75" customHeight="1" x14ac:dyDescent="0.2">
      <c r="B193" s="187"/>
      <c r="C193" s="161"/>
      <c r="D193" s="162"/>
      <c r="E193" s="108"/>
      <c r="F193" s="108"/>
      <c r="G193" s="108"/>
      <c r="H193" s="173"/>
      <c r="I193" s="165"/>
      <c r="J193" s="108"/>
      <c r="K193" s="190">
        <v>108</v>
      </c>
      <c r="L193" s="108"/>
      <c r="M193" s="108"/>
      <c r="N193" s="111" t="e">
        <f>N195+O193</f>
        <v>#VALUE!</v>
      </c>
      <c r="O193" s="194">
        <v>47.66</v>
      </c>
      <c r="P193" s="181"/>
      <c r="Q193" s="139" t="s">
        <v>672</v>
      </c>
      <c r="R193" s="123"/>
      <c r="S193" s="397"/>
      <c r="T193" s="123">
        <v>1</v>
      </c>
      <c r="U193" s="123">
        <v>2</v>
      </c>
      <c r="V193" s="141"/>
      <c r="W193" s="199"/>
      <c r="X193" s="182"/>
      <c r="Y193" s="397"/>
      <c r="Z193" s="143">
        <v>1</v>
      </c>
      <c r="AA193" s="143"/>
      <c r="AB193" s="144"/>
      <c r="AC193" s="397"/>
      <c r="AD193" s="132"/>
    </row>
    <row r="194" spans="2:30" ht="12.75" customHeight="1" x14ac:dyDescent="0.2">
      <c r="B194" s="121">
        <f>B192+1</f>
        <v>314</v>
      </c>
      <c r="C194" s="164" t="s">
        <v>580</v>
      </c>
      <c r="D194" s="226" t="s">
        <v>592</v>
      </c>
      <c r="E194" s="123"/>
      <c r="F194" s="123"/>
      <c r="G194" s="123"/>
      <c r="H194" s="97" t="s">
        <v>559</v>
      </c>
      <c r="I194" s="163" t="s">
        <v>567</v>
      </c>
      <c r="J194" s="123"/>
      <c r="K194" s="227"/>
      <c r="L194" s="123" t="s">
        <v>590</v>
      </c>
      <c r="M194" s="123"/>
      <c r="N194" s="125">
        <f>N192+O193</f>
        <v>17769.759999999995</v>
      </c>
      <c r="O194" s="212"/>
      <c r="P194" s="129"/>
      <c r="Q194" s="128"/>
      <c r="R194" s="108"/>
      <c r="S194" s="397"/>
      <c r="T194" s="108"/>
      <c r="U194" s="108"/>
      <c r="V194" s="154"/>
      <c r="W194" s="201"/>
      <c r="X194" s="182"/>
      <c r="Y194" s="397"/>
      <c r="Z194" s="133"/>
      <c r="AA194" s="133"/>
      <c r="AB194" s="134"/>
      <c r="AC194" s="397"/>
      <c r="AD194" s="193"/>
    </row>
    <row r="195" spans="2:30" ht="12.75" customHeight="1" x14ac:dyDescent="0.2">
      <c r="B195" s="209"/>
      <c r="C195" s="161"/>
      <c r="D195" s="162"/>
      <c r="E195" s="108"/>
      <c r="F195" s="108"/>
      <c r="G195" s="108"/>
      <c r="H195" s="173"/>
      <c r="I195" s="165"/>
      <c r="J195" s="108"/>
      <c r="K195" s="110">
        <v>54</v>
      </c>
      <c r="L195" s="108"/>
      <c r="M195" s="108"/>
      <c r="N195" s="111" t="e">
        <f>N197+O195</f>
        <v>#VALUE!</v>
      </c>
      <c r="O195" s="167">
        <v>253.92</v>
      </c>
      <c r="P195" s="140"/>
      <c r="Q195" s="139" t="s">
        <v>673</v>
      </c>
      <c r="R195" s="123"/>
      <c r="S195" s="397"/>
      <c r="T195" s="123">
        <v>1</v>
      </c>
      <c r="U195" s="123">
        <v>2</v>
      </c>
      <c r="V195" s="141"/>
      <c r="W195" s="142"/>
      <c r="X195" s="182"/>
      <c r="Y195" s="397"/>
      <c r="Z195" s="143">
        <v>1</v>
      </c>
      <c r="AA195" s="143"/>
      <c r="AB195" s="144"/>
      <c r="AC195" s="397"/>
      <c r="AD195" s="132"/>
    </row>
    <row r="196" spans="2:30" ht="12.75" customHeight="1" x14ac:dyDescent="0.2">
      <c r="B196" s="121">
        <f>B194+1</f>
        <v>315</v>
      </c>
      <c r="C196" s="159" t="s">
        <v>580</v>
      </c>
      <c r="D196" s="160" t="s">
        <v>592</v>
      </c>
      <c r="E196" s="123"/>
      <c r="F196" s="123"/>
      <c r="G196" s="123"/>
      <c r="H196" s="97" t="s">
        <v>559</v>
      </c>
      <c r="I196" s="163" t="s">
        <v>567</v>
      </c>
      <c r="J196" s="123"/>
      <c r="K196" s="124"/>
      <c r="L196" s="123"/>
      <c r="M196" s="123"/>
      <c r="N196" s="125">
        <f>N194+O195</f>
        <v>18023.679999999993</v>
      </c>
      <c r="O196" s="126"/>
      <c r="P196" s="129"/>
      <c r="Q196" s="128"/>
      <c r="R196" s="108"/>
      <c r="S196" s="397"/>
      <c r="T196" s="108"/>
      <c r="U196" s="108"/>
      <c r="V196" s="154"/>
      <c r="W196" s="155"/>
      <c r="X196" s="182"/>
      <c r="Y196" s="397"/>
      <c r="Z196" s="133"/>
      <c r="AA196" s="133"/>
      <c r="AB196" s="134"/>
      <c r="AC196" s="397"/>
      <c r="AD196" s="193"/>
    </row>
    <row r="197" spans="2:30" ht="12.75" customHeight="1" x14ac:dyDescent="0.2">
      <c r="B197" s="187"/>
      <c r="C197" s="164"/>
      <c r="D197" s="171"/>
      <c r="E197" s="108"/>
      <c r="F197" s="108"/>
      <c r="G197" s="108"/>
      <c r="H197" s="173"/>
      <c r="I197" s="165"/>
      <c r="J197" s="108"/>
      <c r="K197" s="153">
        <v>54</v>
      </c>
      <c r="L197" s="108"/>
      <c r="M197" s="108"/>
      <c r="N197" s="111" t="e">
        <f>N199+O197</f>
        <v>#VALUE!</v>
      </c>
      <c r="O197" s="137">
        <v>130.32</v>
      </c>
      <c r="P197" s="140"/>
      <c r="Q197" s="139" t="s">
        <v>674</v>
      </c>
      <c r="R197" s="123"/>
      <c r="S197" s="397"/>
      <c r="T197" s="123">
        <v>1</v>
      </c>
      <c r="U197" s="123">
        <v>2</v>
      </c>
      <c r="V197" s="141"/>
      <c r="W197" s="142"/>
      <c r="X197" s="182"/>
      <c r="Y197" s="397"/>
      <c r="Z197" s="143">
        <v>1</v>
      </c>
      <c r="AA197" s="143"/>
      <c r="AB197" s="144"/>
      <c r="AC197" s="397"/>
      <c r="AD197" s="145"/>
    </row>
    <row r="198" spans="2:30" ht="12.75" customHeight="1" x14ac:dyDescent="0.2">
      <c r="B198" s="121">
        <f>B196+1</f>
        <v>316</v>
      </c>
      <c r="C198" s="159" t="s">
        <v>587</v>
      </c>
      <c r="D198" s="160" t="s">
        <v>582</v>
      </c>
      <c r="E198" s="123"/>
      <c r="F198" s="123"/>
      <c r="G198" s="123"/>
      <c r="H198" s="97" t="s">
        <v>559</v>
      </c>
      <c r="I198" s="163" t="s">
        <v>567</v>
      </c>
      <c r="J198" s="123"/>
      <c r="K198" s="124"/>
      <c r="L198" s="123"/>
      <c r="M198" s="123"/>
      <c r="N198" s="125">
        <f>N196+O197</f>
        <v>18153.999999999993</v>
      </c>
      <c r="O198" s="126"/>
      <c r="P198" s="129"/>
      <c r="Q198" s="128"/>
      <c r="R198" s="108"/>
      <c r="S198" s="397"/>
      <c r="T198" s="108"/>
      <c r="U198" s="108"/>
      <c r="V198" s="154"/>
      <c r="W198" s="155"/>
      <c r="X198" s="182"/>
      <c r="Y198" s="397"/>
      <c r="Z198" s="133"/>
      <c r="AA198" s="133"/>
      <c r="AB198" s="134"/>
      <c r="AC198" s="397"/>
      <c r="AD198" s="193"/>
    </row>
    <row r="199" spans="2:30" ht="12.75" customHeight="1" x14ac:dyDescent="0.2">
      <c r="B199" s="209"/>
      <c r="C199" s="164"/>
      <c r="D199" s="171"/>
      <c r="E199" s="108"/>
      <c r="F199" s="108"/>
      <c r="G199" s="108"/>
      <c r="H199" s="173"/>
      <c r="I199" s="165"/>
      <c r="J199" s="108"/>
      <c r="K199" s="153">
        <v>162</v>
      </c>
      <c r="L199" s="108"/>
      <c r="M199" s="108"/>
      <c r="N199" s="111" t="e">
        <f>N201+O199</f>
        <v>#VALUE!</v>
      </c>
      <c r="O199" s="137">
        <v>292.70999999999998</v>
      </c>
      <c r="P199" s="140"/>
      <c r="Q199" s="139" t="s">
        <v>675</v>
      </c>
      <c r="R199" s="123"/>
      <c r="S199" s="397"/>
      <c r="T199" s="123">
        <v>1</v>
      </c>
      <c r="U199" s="123">
        <v>2</v>
      </c>
      <c r="V199" s="141"/>
      <c r="W199" s="142"/>
      <c r="X199" s="182"/>
      <c r="Y199" s="397"/>
      <c r="Z199" s="143">
        <v>1</v>
      </c>
      <c r="AA199" s="143"/>
      <c r="AB199" s="206">
        <v>5</v>
      </c>
      <c r="AC199" s="397"/>
      <c r="AD199" s="145"/>
    </row>
    <row r="200" spans="2:30" ht="12.75" customHeight="1" x14ac:dyDescent="0.2">
      <c r="B200" s="121">
        <f>B198+1</f>
        <v>317</v>
      </c>
      <c r="C200" s="159" t="s">
        <v>587</v>
      </c>
      <c r="D200" s="160" t="s">
        <v>583</v>
      </c>
      <c r="E200" s="123"/>
      <c r="F200" s="123"/>
      <c r="G200" s="123"/>
      <c r="H200" s="97" t="s">
        <v>559</v>
      </c>
      <c r="I200" s="163" t="s">
        <v>567</v>
      </c>
      <c r="J200" s="123"/>
      <c r="K200" s="124"/>
      <c r="L200" s="123"/>
      <c r="M200" s="123"/>
      <c r="N200" s="125">
        <f>N198+O199</f>
        <v>18446.709999999992</v>
      </c>
      <c r="O200" s="126"/>
      <c r="P200" s="174"/>
      <c r="Q200" s="128"/>
      <c r="R200" s="108"/>
      <c r="S200" s="397"/>
      <c r="T200" s="108"/>
      <c r="U200" s="108"/>
      <c r="V200" s="154"/>
      <c r="W200" s="155"/>
      <c r="X200" s="182"/>
      <c r="Y200" s="397"/>
      <c r="Z200" s="133"/>
      <c r="AA200" s="133"/>
      <c r="AB200" s="207"/>
      <c r="AC200" s="397"/>
      <c r="AD200" s="193"/>
    </row>
    <row r="201" spans="2:30" ht="12.75" customHeight="1" x14ac:dyDescent="0.2">
      <c r="B201" s="187"/>
      <c r="C201" s="161"/>
      <c r="D201" s="162"/>
      <c r="E201" s="108"/>
      <c r="F201" s="108"/>
      <c r="G201" s="108"/>
      <c r="H201" s="173"/>
      <c r="I201" s="165"/>
      <c r="J201" s="108"/>
      <c r="K201" s="110">
        <v>216</v>
      </c>
      <c r="L201" s="108"/>
      <c r="M201" s="108"/>
      <c r="N201" s="111" t="e">
        <f>N203+O201</f>
        <v>#VALUE!</v>
      </c>
      <c r="O201" s="137">
        <v>149.84</v>
      </c>
      <c r="P201" s="140"/>
      <c r="Q201" s="139" t="s">
        <v>387</v>
      </c>
      <c r="R201" s="123"/>
      <c r="S201" s="397"/>
      <c r="T201" s="123">
        <v>1</v>
      </c>
      <c r="U201" s="123">
        <v>2</v>
      </c>
      <c r="V201" s="141"/>
      <c r="W201" s="142"/>
      <c r="X201" s="182"/>
      <c r="Y201" s="397"/>
      <c r="Z201" s="143">
        <v>1</v>
      </c>
      <c r="AA201" s="143"/>
      <c r="AB201" s="144"/>
      <c r="AC201" s="397"/>
      <c r="AD201" s="415" t="s">
        <v>389</v>
      </c>
    </row>
    <row r="202" spans="2:30" ht="12.75" customHeight="1" x14ac:dyDescent="0.2">
      <c r="B202" s="121">
        <f>B200+1</f>
        <v>318</v>
      </c>
      <c r="C202" s="159" t="s">
        <v>587</v>
      </c>
      <c r="D202" s="160" t="s">
        <v>581</v>
      </c>
      <c r="E202" s="123"/>
      <c r="F202" s="123"/>
      <c r="G202" s="123"/>
      <c r="H202" s="97" t="s">
        <v>559</v>
      </c>
      <c r="I202" s="163" t="s">
        <v>567</v>
      </c>
      <c r="J202" s="123"/>
      <c r="K202" s="124"/>
      <c r="L202" s="123"/>
      <c r="M202" s="123"/>
      <c r="N202" s="125">
        <f>N200+O201</f>
        <v>18596.549999999992</v>
      </c>
      <c r="O202" s="126"/>
      <c r="P202" s="129"/>
      <c r="Q202" s="128"/>
      <c r="R202" s="108"/>
      <c r="S202" s="397"/>
      <c r="T202" s="108"/>
      <c r="U202" s="108"/>
      <c r="V202" s="154"/>
      <c r="W202" s="155"/>
      <c r="X202" s="182"/>
      <c r="Y202" s="397"/>
      <c r="Z202" s="133"/>
      <c r="AA202" s="133"/>
      <c r="AB202" s="134"/>
      <c r="AC202" s="397"/>
      <c r="AD202" s="416"/>
    </row>
    <row r="203" spans="2:30" ht="12.75" customHeight="1" x14ac:dyDescent="0.2">
      <c r="B203" s="209"/>
      <c r="C203" s="161"/>
      <c r="D203" s="162"/>
      <c r="E203" s="108"/>
      <c r="F203" s="108"/>
      <c r="G203" s="108"/>
      <c r="H203" s="173"/>
      <c r="I203" s="165"/>
      <c r="J203" s="108"/>
      <c r="K203" s="110">
        <v>162</v>
      </c>
      <c r="L203" s="108"/>
      <c r="M203" s="108"/>
      <c r="N203" s="111" t="e">
        <f>N205+O203</f>
        <v>#VALUE!</v>
      </c>
      <c r="O203" s="137">
        <v>162.51</v>
      </c>
      <c r="P203" s="140"/>
      <c r="Q203" s="139" t="s">
        <v>676</v>
      </c>
      <c r="R203" s="123"/>
      <c r="S203" s="397"/>
      <c r="T203" s="123">
        <v>1</v>
      </c>
      <c r="U203" s="123">
        <v>2</v>
      </c>
      <c r="V203" s="141"/>
      <c r="W203" s="199"/>
      <c r="X203" s="182"/>
      <c r="Y203" s="397"/>
      <c r="Z203" s="143">
        <v>1</v>
      </c>
      <c r="AA203" s="143"/>
      <c r="AB203" s="144"/>
      <c r="AC203" s="397"/>
      <c r="AD203" s="145"/>
    </row>
    <row r="204" spans="2:30" ht="12.75" customHeight="1" x14ac:dyDescent="0.2">
      <c r="B204" s="121">
        <f>B202+1</f>
        <v>319</v>
      </c>
      <c r="C204" s="159" t="s">
        <v>580</v>
      </c>
      <c r="D204" s="160" t="s">
        <v>571</v>
      </c>
      <c r="E204" s="123"/>
      <c r="F204" s="123"/>
      <c r="G204" s="123"/>
      <c r="H204" s="97" t="s">
        <v>559</v>
      </c>
      <c r="I204" s="163" t="s">
        <v>567</v>
      </c>
      <c r="J204" s="123"/>
      <c r="K204" s="124"/>
      <c r="L204" s="123" t="s">
        <v>590</v>
      </c>
      <c r="M204" s="123"/>
      <c r="N204" s="125">
        <f>N202+O203</f>
        <v>18759.05999999999</v>
      </c>
      <c r="O204" s="126"/>
      <c r="P204" s="129"/>
      <c r="Q204" s="128"/>
      <c r="R204" s="108"/>
      <c r="S204" s="397"/>
      <c r="T204" s="108"/>
      <c r="U204" s="108"/>
      <c r="V204" s="154"/>
      <c r="W204" s="201"/>
      <c r="X204" s="182"/>
      <c r="Y204" s="397"/>
      <c r="Z204" s="133"/>
      <c r="AA204" s="133"/>
      <c r="AB204" s="134"/>
      <c r="AC204" s="397"/>
      <c r="AD204" s="193"/>
    </row>
    <row r="205" spans="2:30" ht="12.75" customHeight="1" x14ac:dyDescent="0.2">
      <c r="B205" s="187"/>
      <c r="C205" s="107"/>
      <c r="D205" s="162"/>
      <c r="E205" s="108"/>
      <c r="F205" s="108"/>
      <c r="G205" s="108"/>
      <c r="H205" s="173"/>
      <c r="I205" s="165"/>
      <c r="J205" s="108"/>
      <c r="K205" s="110">
        <v>108</v>
      </c>
      <c r="L205" s="108"/>
      <c r="M205" s="108"/>
      <c r="N205" s="111" t="e">
        <f>N207+O205</f>
        <v>#VALUE!</v>
      </c>
      <c r="O205" s="137">
        <v>210.25</v>
      </c>
      <c r="P205" s="140"/>
      <c r="Q205" s="139" t="s">
        <v>390</v>
      </c>
      <c r="R205" s="123"/>
      <c r="S205" s="397"/>
      <c r="T205" s="123">
        <v>1</v>
      </c>
      <c r="U205" s="123">
        <v>2</v>
      </c>
      <c r="V205" s="141"/>
      <c r="W205" s="199"/>
      <c r="X205" s="182"/>
      <c r="Y205" s="397"/>
      <c r="Z205" s="143">
        <v>1</v>
      </c>
      <c r="AA205" s="143"/>
      <c r="AB205" s="144"/>
      <c r="AC205" s="397"/>
      <c r="AD205" s="407" t="s">
        <v>392</v>
      </c>
    </row>
    <row r="206" spans="2:30" ht="15.75" x14ac:dyDescent="0.2">
      <c r="B206" s="121">
        <f>B204+1</f>
        <v>320</v>
      </c>
      <c r="C206" s="159" t="s">
        <v>580</v>
      </c>
      <c r="D206" s="160" t="s">
        <v>571</v>
      </c>
      <c r="E206" s="413" t="s">
        <v>668</v>
      </c>
      <c r="F206" s="123"/>
      <c r="G206" s="123"/>
      <c r="H206" s="97" t="s">
        <v>559</v>
      </c>
      <c r="I206" s="163" t="s">
        <v>567</v>
      </c>
      <c r="J206" s="123"/>
      <c r="K206" s="124">
        <v>126</v>
      </c>
      <c r="L206" s="123"/>
      <c r="M206" s="123"/>
      <c r="N206" s="125">
        <f>N204+O205</f>
        <v>18969.30999999999</v>
      </c>
      <c r="O206" s="126"/>
      <c r="P206" s="129"/>
      <c r="Q206" s="128"/>
      <c r="R206" s="108"/>
      <c r="S206" s="397"/>
      <c r="T206" s="108"/>
      <c r="U206" s="108"/>
      <c r="V206" s="154"/>
      <c r="W206" s="201"/>
      <c r="X206" s="182"/>
      <c r="Y206" s="397"/>
      <c r="Z206" s="133"/>
      <c r="AA206" s="133"/>
      <c r="AB206" s="134"/>
      <c r="AC206" s="397"/>
      <c r="AD206" s="408"/>
    </row>
    <row r="207" spans="2:30" ht="22.5" x14ac:dyDescent="0.2">
      <c r="B207" s="209"/>
      <c r="C207" s="161"/>
      <c r="D207" s="178" t="s">
        <v>602</v>
      </c>
      <c r="E207" s="414"/>
      <c r="F207" s="108"/>
      <c r="G207" s="108"/>
      <c r="H207" s="173"/>
      <c r="I207" s="165"/>
      <c r="J207" s="108"/>
      <c r="K207" s="110">
        <v>9</v>
      </c>
      <c r="L207" s="108"/>
      <c r="M207" s="108"/>
      <c r="N207" s="111" t="e">
        <f>N209+O207</f>
        <v>#VALUE!</v>
      </c>
      <c r="O207" s="137">
        <v>166.04</v>
      </c>
      <c r="P207" s="140"/>
      <c r="Q207" s="139" t="s">
        <v>393</v>
      </c>
      <c r="R207" s="123"/>
      <c r="S207" s="397"/>
      <c r="T207" s="123">
        <v>1</v>
      </c>
      <c r="U207" s="123">
        <v>2</v>
      </c>
      <c r="V207" s="141"/>
      <c r="W207" s="142"/>
      <c r="X207" s="192"/>
      <c r="Y207" s="397"/>
      <c r="Z207" s="143">
        <v>1</v>
      </c>
      <c r="AA207" s="143"/>
      <c r="AB207" s="144"/>
      <c r="AC207" s="397"/>
      <c r="AD207" s="145" t="s">
        <v>395</v>
      </c>
    </row>
    <row r="208" spans="2:30" ht="12.75" customHeight="1" x14ac:dyDescent="0.2">
      <c r="B208" s="121">
        <f>B206+1</f>
        <v>321</v>
      </c>
      <c r="C208" s="159" t="s">
        <v>587</v>
      </c>
      <c r="D208" s="160" t="s">
        <v>588</v>
      </c>
      <c r="E208" s="123"/>
      <c r="F208" s="123"/>
      <c r="G208" s="123"/>
      <c r="H208" s="97" t="s">
        <v>559</v>
      </c>
      <c r="I208" s="163" t="s">
        <v>567</v>
      </c>
      <c r="J208" s="123"/>
      <c r="K208" s="186"/>
      <c r="L208" s="123"/>
      <c r="M208" s="123"/>
      <c r="N208" s="125">
        <f>N206+O207</f>
        <v>19135.349999999991</v>
      </c>
      <c r="O208" s="126"/>
      <c r="P208" s="129" t="s">
        <v>677</v>
      </c>
      <c r="Q208" s="128"/>
      <c r="R208" s="108"/>
      <c r="S208" s="397"/>
      <c r="T208" s="108"/>
      <c r="U208" s="108"/>
      <c r="V208" s="154"/>
      <c r="W208" s="155"/>
      <c r="X208" s="192"/>
      <c r="Y208" s="397"/>
      <c r="Z208" s="133"/>
      <c r="AA208" s="133"/>
      <c r="AB208" s="134"/>
      <c r="AC208" s="398"/>
      <c r="AD208" s="132"/>
    </row>
    <row r="209" spans="2:30" ht="12.75" customHeight="1" x14ac:dyDescent="0.2">
      <c r="B209" s="187"/>
      <c r="C209" s="177"/>
      <c r="D209" s="162"/>
      <c r="E209" s="108"/>
      <c r="F209" s="108"/>
      <c r="G209" s="108"/>
      <c r="H209" s="173"/>
      <c r="I209" s="165"/>
      <c r="J209" s="108"/>
      <c r="K209" s="190">
        <v>108</v>
      </c>
      <c r="L209" s="108"/>
      <c r="M209" s="108"/>
      <c r="N209" s="111" t="e">
        <f>N211+O209</f>
        <v>#VALUE!</v>
      </c>
      <c r="O209" s="167">
        <v>72.260000000000005</v>
      </c>
      <c r="P209" s="181"/>
      <c r="Q209" s="180" t="s">
        <v>678</v>
      </c>
      <c r="R209" s="182"/>
      <c r="S209" s="240"/>
      <c r="T209" s="123">
        <v>1</v>
      </c>
      <c r="U209" s="123">
        <v>2</v>
      </c>
      <c r="V209" s="141"/>
      <c r="W209" s="142"/>
      <c r="X209" s="192"/>
      <c r="Y209" s="241"/>
      <c r="Z209" s="143">
        <v>1</v>
      </c>
      <c r="AA209" s="143"/>
      <c r="AB209" s="144"/>
      <c r="AC209" s="396" t="s">
        <v>376</v>
      </c>
      <c r="AD209" s="145"/>
    </row>
    <row r="210" spans="2:30" ht="12.75" customHeight="1" x14ac:dyDescent="0.2">
      <c r="B210" s="166">
        <f>B208+1</f>
        <v>322</v>
      </c>
      <c r="C210" s="164" t="s">
        <v>679</v>
      </c>
      <c r="D210" s="171" t="s">
        <v>582</v>
      </c>
      <c r="E210" s="182"/>
      <c r="F210" s="182"/>
      <c r="G210" s="182"/>
      <c r="H210" s="97" t="s">
        <v>559</v>
      </c>
      <c r="I210" s="163" t="s">
        <v>567</v>
      </c>
      <c r="J210" s="182"/>
      <c r="K210" s="153"/>
      <c r="L210" s="182"/>
      <c r="M210" s="182"/>
      <c r="N210" s="125">
        <f>N208+O209</f>
        <v>19207.60999999999</v>
      </c>
      <c r="O210" s="126"/>
      <c r="P210" s="129" t="s">
        <v>680</v>
      </c>
      <c r="Q210" s="128"/>
      <c r="R210" s="108"/>
      <c r="S210" s="396" t="s">
        <v>562</v>
      </c>
      <c r="T210" s="108"/>
      <c r="U210" s="108"/>
      <c r="V210" s="154"/>
      <c r="W210" s="155"/>
      <c r="X210" s="192"/>
      <c r="Y210" s="396" t="s">
        <v>681</v>
      </c>
      <c r="Z210" s="133"/>
      <c r="AA210" s="133"/>
      <c r="AB210" s="134"/>
      <c r="AC210" s="397"/>
      <c r="AD210" s="193"/>
    </row>
    <row r="211" spans="2:30" ht="12.75" customHeight="1" x14ac:dyDescent="0.2">
      <c r="B211" s="157" t="s">
        <v>577</v>
      </c>
      <c r="C211" s="158"/>
      <c r="D211" s="162" t="s">
        <v>588</v>
      </c>
      <c r="E211" s="108"/>
      <c r="F211" s="108"/>
      <c r="G211" s="108"/>
      <c r="H211" s="173"/>
      <c r="I211" s="165"/>
      <c r="J211" s="108"/>
      <c r="K211" s="110">
        <v>135</v>
      </c>
      <c r="L211" s="108"/>
      <c r="M211" s="108"/>
      <c r="N211" s="111" t="e">
        <f>N213+O211</f>
        <v>#VALUE!</v>
      </c>
      <c r="O211" s="137">
        <v>259.56</v>
      </c>
      <c r="P211" s="140"/>
      <c r="Q211" s="139" t="s">
        <v>682</v>
      </c>
      <c r="R211" s="123"/>
      <c r="S211" s="397"/>
      <c r="T211" s="123">
        <v>1</v>
      </c>
      <c r="U211" s="123">
        <v>1</v>
      </c>
      <c r="V211" s="141"/>
      <c r="W211" s="142"/>
      <c r="X211" s="192"/>
      <c r="Y211" s="397"/>
      <c r="Z211" s="143">
        <v>1</v>
      </c>
      <c r="AA211" s="143"/>
      <c r="AB211" s="144"/>
      <c r="AC211" s="397"/>
      <c r="AD211" s="145"/>
    </row>
    <row r="212" spans="2:30" ht="12.75" customHeight="1" x14ac:dyDescent="0.2">
      <c r="B212" s="121">
        <f>B210+1</f>
        <v>323</v>
      </c>
      <c r="C212" s="159" t="s">
        <v>683</v>
      </c>
      <c r="D212" s="160" t="s">
        <v>592</v>
      </c>
      <c r="E212" s="123"/>
      <c r="F212" s="123"/>
      <c r="G212" s="123"/>
      <c r="H212" s="169" t="s">
        <v>684</v>
      </c>
      <c r="I212" s="399" t="s">
        <v>685</v>
      </c>
      <c r="J212" s="123"/>
      <c r="K212" s="124"/>
      <c r="L212" s="123"/>
      <c r="M212" s="123"/>
      <c r="N212" s="125">
        <f>N210+O211</f>
        <v>19467.169999999991</v>
      </c>
      <c r="O212" s="126"/>
      <c r="P212" s="129" t="s">
        <v>686</v>
      </c>
      <c r="Q212" s="128"/>
      <c r="R212" s="108"/>
      <c r="S212" s="397"/>
      <c r="T212" s="108"/>
      <c r="U212" s="108"/>
      <c r="V212" s="154"/>
      <c r="W212" s="155"/>
      <c r="X212" s="192"/>
      <c r="Y212" s="397"/>
      <c r="Z212" s="133"/>
      <c r="AA212" s="133"/>
      <c r="AB212" s="134"/>
      <c r="AC212" s="397"/>
      <c r="AD212" s="242"/>
    </row>
    <row r="213" spans="2:30" ht="12.75" customHeight="1" x14ac:dyDescent="0.2">
      <c r="B213" s="187"/>
      <c r="C213" s="107"/>
      <c r="D213" s="162"/>
      <c r="E213" s="108"/>
      <c r="F213" s="108"/>
      <c r="G213" s="108"/>
      <c r="H213" s="109"/>
      <c r="I213" s="400"/>
      <c r="J213" s="108"/>
      <c r="K213" s="110">
        <v>27</v>
      </c>
      <c r="L213" s="108"/>
      <c r="M213" s="108"/>
      <c r="N213" s="111" t="e">
        <f>N215+O213</f>
        <v>#VALUE!</v>
      </c>
      <c r="O213" s="137">
        <v>85.8</v>
      </c>
      <c r="P213" s="140"/>
      <c r="Q213" s="139" t="s">
        <v>396</v>
      </c>
      <c r="R213" s="123"/>
      <c r="S213" s="397"/>
      <c r="T213" s="123">
        <v>1</v>
      </c>
      <c r="U213" s="123">
        <v>1</v>
      </c>
      <c r="V213" s="141"/>
      <c r="W213" s="142"/>
      <c r="X213" s="192"/>
      <c r="Y213" s="397"/>
      <c r="Z213" s="143">
        <v>1</v>
      </c>
      <c r="AA213" s="143"/>
      <c r="AB213" s="144"/>
      <c r="AC213" s="397"/>
      <c r="AD213" s="145" t="s">
        <v>687</v>
      </c>
    </row>
    <row r="214" spans="2:30" ht="12.75" customHeight="1" x14ac:dyDescent="0.2">
      <c r="B214" s="121">
        <f>B212+1</f>
        <v>324</v>
      </c>
      <c r="C214" s="159" t="s">
        <v>688</v>
      </c>
      <c r="D214" s="160" t="s">
        <v>592</v>
      </c>
      <c r="E214" s="123"/>
      <c r="F214" s="123"/>
      <c r="G214" s="123"/>
      <c r="H214" s="169" t="s">
        <v>684</v>
      </c>
      <c r="I214" s="399" t="s">
        <v>685</v>
      </c>
      <c r="J214" s="123"/>
      <c r="K214" s="124"/>
      <c r="L214" s="123"/>
      <c r="M214" s="123"/>
      <c r="N214" s="125">
        <f>N212+O213</f>
        <v>19552.96999999999</v>
      </c>
      <c r="O214" s="126"/>
      <c r="P214" s="129"/>
      <c r="Q214" s="128"/>
      <c r="R214" s="108"/>
      <c r="S214" s="397"/>
      <c r="T214" s="108"/>
      <c r="U214" s="108"/>
      <c r="V214" s="154"/>
      <c r="W214" s="155"/>
      <c r="X214" s="192"/>
      <c r="Y214" s="397"/>
      <c r="Z214" s="133"/>
      <c r="AA214" s="133"/>
      <c r="AB214" s="134"/>
      <c r="AC214" s="397"/>
      <c r="AD214" s="193"/>
    </row>
    <row r="215" spans="2:30" ht="12.75" customHeight="1" x14ac:dyDescent="0.2">
      <c r="B215" s="209"/>
      <c r="C215" s="107"/>
      <c r="D215" s="188"/>
      <c r="E215" s="108"/>
      <c r="F215" s="108"/>
      <c r="G215" s="108"/>
      <c r="H215" s="172"/>
      <c r="I215" s="400"/>
      <c r="J215" s="108"/>
      <c r="K215" s="110">
        <v>27</v>
      </c>
      <c r="L215" s="108"/>
      <c r="M215" s="108"/>
      <c r="N215" s="111" t="e">
        <f>N217+O215</f>
        <v>#VALUE!</v>
      </c>
      <c r="O215" s="137">
        <v>417.49</v>
      </c>
      <c r="P215" s="140"/>
      <c r="Q215" s="139" t="s">
        <v>399</v>
      </c>
      <c r="R215" s="123"/>
      <c r="S215" s="397"/>
      <c r="T215" s="123">
        <v>1</v>
      </c>
      <c r="U215" s="123">
        <v>1</v>
      </c>
      <c r="V215" s="141"/>
      <c r="W215" s="199"/>
      <c r="X215" s="182"/>
      <c r="Y215" s="397"/>
      <c r="Z215" s="143">
        <v>1</v>
      </c>
      <c r="AA215" s="143"/>
      <c r="AB215" s="144"/>
      <c r="AC215" s="397"/>
      <c r="AD215" s="401" t="s">
        <v>401</v>
      </c>
    </row>
    <row r="216" spans="2:30" ht="12.75" customHeight="1" x14ac:dyDescent="0.2">
      <c r="B216" s="121">
        <f>B214+1</f>
        <v>325</v>
      </c>
      <c r="C216" s="159" t="s">
        <v>689</v>
      </c>
      <c r="D216" s="160" t="s">
        <v>592</v>
      </c>
      <c r="E216" s="123"/>
      <c r="F216" s="123"/>
      <c r="G216" s="123"/>
      <c r="H216" s="169" t="s">
        <v>684</v>
      </c>
      <c r="I216" s="399" t="s">
        <v>685</v>
      </c>
      <c r="J216" s="123"/>
      <c r="K216" s="124"/>
      <c r="L216" s="123"/>
      <c r="M216" s="123"/>
      <c r="N216" s="125">
        <f>N214+O215</f>
        <v>19970.459999999992</v>
      </c>
      <c r="O216" s="126"/>
      <c r="P216" s="129" t="s">
        <v>690</v>
      </c>
      <c r="Q216" s="128"/>
      <c r="R216" s="108"/>
      <c r="S216" s="397"/>
      <c r="T216" s="108"/>
      <c r="U216" s="108"/>
      <c r="V216" s="154"/>
      <c r="W216" s="201"/>
      <c r="X216" s="182"/>
      <c r="Y216" s="397"/>
      <c r="Z216" s="133"/>
      <c r="AA216" s="133"/>
      <c r="AB216" s="134"/>
      <c r="AC216" s="397"/>
      <c r="AD216" s="402"/>
    </row>
    <row r="217" spans="2:30" ht="12.75" customHeight="1" x14ac:dyDescent="0.2">
      <c r="B217" s="187"/>
      <c r="C217" s="161"/>
      <c r="D217" s="188"/>
      <c r="E217" s="108"/>
      <c r="F217" s="108"/>
      <c r="G217" s="108"/>
      <c r="H217" s="172"/>
      <c r="I217" s="400"/>
      <c r="J217" s="108"/>
      <c r="K217" s="110">
        <v>27</v>
      </c>
      <c r="L217" s="108"/>
      <c r="M217" s="108"/>
      <c r="N217" s="111" t="e">
        <f>N219+O217</f>
        <v>#VALUE!</v>
      </c>
      <c r="O217" s="137">
        <v>146.82</v>
      </c>
      <c r="P217" s="140"/>
      <c r="Q217" s="139" t="s">
        <v>402</v>
      </c>
      <c r="R217" s="123"/>
      <c r="S217" s="397"/>
      <c r="T217" s="123">
        <v>1</v>
      </c>
      <c r="U217" s="123">
        <v>1</v>
      </c>
      <c r="V217" s="141"/>
      <c r="W217" s="142"/>
      <c r="X217" s="182"/>
      <c r="Y217" s="397"/>
      <c r="Z217" s="143">
        <v>1</v>
      </c>
      <c r="AA217" s="143"/>
      <c r="AB217" s="144"/>
      <c r="AC217" s="397"/>
      <c r="AD217" s="407" t="s">
        <v>404</v>
      </c>
    </row>
    <row r="218" spans="2:30" ht="12.75" customHeight="1" x14ac:dyDescent="0.2">
      <c r="B218" s="121">
        <f>B216+1</f>
        <v>326</v>
      </c>
      <c r="C218" s="159" t="s">
        <v>691</v>
      </c>
      <c r="D218" s="160" t="s">
        <v>583</v>
      </c>
      <c r="E218" s="123"/>
      <c r="F218" s="123"/>
      <c r="G218" s="123"/>
      <c r="H218" s="97" t="s">
        <v>559</v>
      </c>
      <c r="I218" s="399" t="s">
        <v>685</v>
      </c>
      <c r="J218" s="123"/>
      <c r="K218" s="124"/>
      <c r="L218" s="123"/>
      <c r="M218" s="123"/>
      <c r="N218" s="125">
        <f>N216+O217</f>
        <v>20117.279999999992</v>
      </c>
      <c r="O218" s="126"/>
      <c r="P218" s="129" t="s">
        <v>692</v>
      </c>
      <c r="Q218" s="128"/>
      <c r="R218" s="108"/>
      <c r="S218" s="397"/>
      <c r="T218" s="108"/>
      <c r="U218" s="108"/>
      <c r="V218" s="154"/>
      <c r="W218" s="155"/>
      <c r="X218" s="182"/>
      <c r="Y218" s="397"/>
      <c r="Z218" s="133"/>
      <c r="AA218" s="133"/>
      <c r="AB218" s="134"/>
      <c r="AC218" s="397"/>
      <c r="AD218" s="408"/>
    </row>
    <row r="219" spans="2:30" ht="12.75" customHeight="1" x14ac:dyDescent="0.2">
      <c r="B219" s="209"/>
      <c r="C219" s="161" t="s">
        <v>693</v>
      </c>
      <c r="D219" s="188"/>
      <c r="E219" s="108"/>
      <c r="F219" s="108"/>
      <c r="G219" s="108"/>
      <c r="H219" s="173"/>
      <c r="I219" s="400"/>
      <c r="J219" s="108"/>
      <c r="K219" s="110">
        <v>108</v>
      </c>
      <c r="L219" s="108"/>
      <c r="M219" s="108"/>
      <c r="N219" s="111" t="e">
        <f>N221+O219</f>
        <v>#VALUE!</v>
      </c>
      <c r="O219" s="137">
        <v>253.41</v>
      </c>
      <c r="P219" s="140"/>
      <c r="Q219" s="139" t="s">
        <v>405</v>
      </c>
      <c r="R219" s="123"/>
      <c r="S219" s="397"/>
      <c r="T219" s="123">
        <v>1</v>
      </c>
      <c r="U219" s="123">
        <v>1</v>
      </c>
      <c r="V219" s="141"/>
      <c r="W219" s="142"/>
      <c r="X219" s="182"/>
      <c r="Y219" s="397"/>
      <c r="Z219" s="143">
        <v>1</v>
      </c>
      <c r="AA219" s="143"/>
      <c r="AB219" s="144"/>
      <c r="AC219" s="397"/>
      <c r="AD219" s="409" t="s">
        <v>407</v>
      </c>
    </row>
    <row r="220" spans="2:30" ht="12.75" customHeight="1" x14ac:dyDescent="0.2">
      <c r="B220" s="121">
        <f>B218+1</f>
        <v>327</v>
      </c>
      <c r="C220" s="159" t="s">
        <v>679</v>
      </c>
      <c r="D220" s="160" t="s">
        <v>583</v>
      </c>
      <c r="E220" s="123"/>
      <c r="F220" s="123"/>
      <c r="G220" s="123"/>
      <c r="H220" s="97" t="s">
        <v>559</v>
      </c>
      <c r="I220" s="399" t="s">
        <v>685</v>
      </c>
      <c r="J220" s="123"/>
      <c r="K220" s="186"/>
      <c r="L220" s="123"/>
      <c r="M220" s="123"/>
      <c r="N220" s="125">
        <f>N218+O219</f>
        <v>20370.689999999991</v>
      </c>
      <c r="O220" s="126"/>
      <c r="P220" s="191" t="s">
        <v>694</v>
      </c>
      <c r="Q220" s="128"/>
      <c r="R220" s="108"/>
      <c r="S220" s="397"/>
      <c r="T220" s="108"/>
      <c r="U220" s="108"/>
      <c r="V220" s="154"/>
      <c r="W220" s="155"/>
      <c r="X220" s="182"/>
      <c r="Y220" s="397"/>
      <c r="Z220" s="133"/>
      <c r="AA220" s="133"/>
      <c r="AB220" s="134"/>
      <c r="AC220" s="397"/>
      <c r="AD220" s="410"/>
    </row>
    <row r="221" spans="2:30" ht="12.75" customHeight="1" x14ac:dyDescent="0.2">
      <c r="B221" s="187"/>
      <c r="C221" s="161" t="s">
        <v>693</v>
      </c>
      <c r="D221" s="188"/>
      <c r="E221" s="108"/>
      <c r="F221" s="108"/>
      <c r="G221" s="108"/>
      <c r="H221" s="173"/>
      <c r="I221" s="400"/>
      <c r="J221" s="108"/>
      <c r="K221" s="190">
        <v>108</v>
      </c>
      <c r="L221" s="108"/>
      <c r="M221" s="108"/>
      <c r="N221" s="111" t="e">
        <f>N223+O221</f>
        <v>#VALUE!</v>
      </c>
      <c r="O221" s="244">
        <v>273.60000000000002</v>
      </c>
      <c r="P221" s="181"/>
      <c r="Q221" s="139" t="s">
        <v>408</v>
      </c>
      <c r="R221" s="123"/>
      <c r="S221" s="397"/>
      <c r="T221" s="123">
        <v>1</v>
      </c>
      <c r="U221" s="123">
        <v>1</v>
      </c>
      <c r="V221" s="141"/>
      <c r="W221" s="142"/>
      <c r="X221" s="182"/>
      <c r="Y221" s="397"/>
      <c r="Z221" s="143">
        <v>1</v>
      </c>
      <c r="AA221" s="143"/>
      <c r="AB221" s="144"/>
      <c r="AC221" s="397"/>
      <c r="AD221" s="411" t="s">
        <v>410</v>
      </c>
    </row>
    <row r="222" spans="2:30" ht="12.75" customHeight="1" x14ac:dyDescent="0.2">
      <c r="B222" s="121">
        <f>B220+1</f>
        <v>328</v>
      </c>
      <c r="C222" s="164" t="s">
        <v>695</v>
      </c>
      <c r="D222" s="171" t="s">
        <v>583</v>
      </c>
      <c r="E222" s="123"/>
      <c r="F222" s="123"/>
      <c r="G222" s="123"/>
      <c r="H222" s="97" t="s">
        <v>559</v>
      </c>
      <c r="I222" s="399" t="s">
        <v>685</v>
      </c>
      <c r="J222" s="123"/>
      <c r="K222" s="153"/>
      <c r="L222" s="123"/>
      <c r="M222" s="123"/>
      <c r="N222" s="125">
        <f>N220+O221</f>
        <v>20644.28999999999</v>
      </c>
      <c r="O222" s="245"/>
      <c r="P222" s="129" t="s">
        <v>696</v>
      </c>
      <c r="Q222" s="128"/>
      <c r="R222" s="108"/>
      <c r="S222" s="397"/>
      <c r="T222" s="108"/>
      <c r="U222" s="108"/>
      <c r="V222" s="154"/>
      <c r="W222" s="155"/>
      <c r="X222" s="182"/>
      <c r="Y222" s="397"/>
      <c r="Z222" s="133"/>
      <c r="AA222" s="133"/>
      <c r="AB222" s="134"/>
      <c r="AC222" s="397"/>
      <c r="AD222" s="412"/>
    </row>
    <row r="223" spans="2:30" ht="12.75" customHeight="1" x14ac:dyDescent="0.2">
      <c r="B223" s="209"/>
      <c r="C223" s="161"/>
      <c r="D223" s="188"/>
      <c r="E223" s="108"/>
      <c r="F223" s="108"/>
      <c r="G223" s="108"/>
      <c r="H223" s="173"/>
      <c r="I223" s="400"/>
      <c r="J223" s="108"/>
      <c r="K223" s="110">
        <v>108</v>
      </c>
      <c r="L223" s="108"/>
      <c r="M223" s="108"/>
      <c r="N223" s="111" t="e">
        <f>N225+O223</f>
        <v>#VALUE!</v>
      </c>
      <c r="O223" s="167">
        <v>421.95</v>
      </c>
      <c r="P223" s="181"/>
      <c r="Q223" s="139" t="s">
        <v>697</v>
      </c>
      <c r="R223" s="123"/>
      <c r="S223" s="397"/>
      <c r="T223" s="123">
        <v>1</v>
      </c>
      <c r="U223" s="123">
        <v>1</v>
      </c>
      <c r="V223" s="141"/>
      <c r="W223" s="142"/>
      <c r="X223" s="182"/>
      <c r="Y223" s="397"/>
      <c r="Z223" s="143">
        <v>1</v>
      </c>
      <c r="AA223" s="143"/>
      <c r="AB223" s="144"/>
      <c r="AC223" s="397"/>
      <c r="AD223" s="151"/>
    </row>
    <row r="224" spans="2:30" ht="12.75" customHeight="1" x14ac:dyDescent="0.2">
      <c r="B224" s="121">
        <f>B222+1</f>
        <v>329</v>
      </c>
      <c r="C224" s="159" t="s">
        <v>691</v>
      </c>
      <c r="D224" s="160" t="s">
        <v>583</v>
      </c>
      <c r="E224" s="123"/>
      <c r="F224" s="123"/>
      <c r="G224" s="123"/>
      <c r="H224" s="97" t="s">
        <v>559</v>
      </c>
      <c r="I224" s="399" t="s">
        <v>685</v>
      </c>
      <c r="J224" s="123"/>
      <c r="K224" s="124"/>
      <c r="L224" s="123"/>
      <c r="M224" s="123"/>
      <c r="N224" s="125">
        <f>N222+O223</f>
        <v>21066.239999999991</v>
      </c>
      <c r="O224" s="126"/>
      <c r="P224" s="129"/>
      <c r="Q224" s="128"/>
      <c r="R224" s="108"/>
      <c r="S224" s="397"/>
      <c r="T224" s="108"/>
      <c r="U224" s="108"/>
      <c r="V224" s="154"/>
      <c r="W224" s="155"/>
      <c r="X224" s="182"/>
      <c r="Y224" s="397"/>
      <c r="Z224" s="133"/>
      <c r="AA224" s="133"/>
      <c r="AB224" s="134"/>
      <c r="AC224" s="397"/>
      <c r="AD224" s="156"/>
    </row>
    <row r="225" spans="2:30" ht="12.75" customHeight="1" x14ac:dyDescent="0.2">
      <c r="B225" s="187"/>
      <c r="C225" s="161"/>
      <c r="D225" s="188"/>
      <c r="E225" s="108"/>
      <c r="F225" s="108"/>
      <c r="G225" s="108"/>
      <c r="H225" s="173"/>
      <c r="I225" s="400"/>
      <c r="J225" s="108"/>
      <c r="K225" s="110">
        <v>108</v>
      </c>
      <c r="L225" s="108"/>
      <c r="M225" s="108"/>
      <c r="N225" s="111" t="e">
        <f>N227+O225</f>
        <v>#VALUE!</v>
      </c>
      <c r="O225" s="137">
        <v>231.07</v>
      </c>
      <c r="P225" s="140"/>
      <c r="Q225" s="139" t="s">
        <v>411</v>
      </c>
      <c r="R225" s="123"/>
      <c r="S225" s="397"/>
      <c r="T225" s="123">
        <v>1</v>
      </c>
      <c r="U225" s="123">
        <v>1</v>
      </c>
      <c r="V225" s="141"/>
      <c r="W225" s="199"/>
      <c r="X225" s="182"/>
      <c r="Y225" s="397"/>
      <c r="Z225" s="143">
        <v>1</v>
      </c>
      <c r="AA225" s="143"/>
      <c r="AB225" s="144"/>
      <c r="AC225" s="397"/>
      <c r="AD225" s="151" t="s">
        <v>328</v>
      </c>
    </row>
    <row r="226" spans="2:30" ht="12.75" customHeight="1" x14ac:dyDescent="0.2">
      <c r="B226" s="121">
        <f>B224+1</f>
        <v>330</v>
      </c>
      <c r="C226" s="159" t="s">
        <v>698</v>
      </c>
      <c r="D226" s="160" t="s">
        <v>592</v>
      </c>
      <c r="E226" s="123"/>
      <c r="F226" s="123"/>
      <c r="G226" s="123"/>
      <c r="H226" s="169" t="s">
        <v>684</v>
      </c>
      <c r="I226" s="399" t="s">
        <v>685</v>
      </c>
      <c r="J226" s="123"/>
      <c r="K226" s="124"/>
      <c r="L226" s="123"/>
      <c r="M226" s="123"/>
      <c r="N226" s="125">
        <f>N224+O225</f>
        <v>21297.30999999999</v>
      </c>
      <c r="O226" s="126"/>
      <c r="P226" s="129"/>
      <c r="Q226" s="128"/>
      <c r="R226" s="108"/>
      <c r="S226" s="397"/>
      <c r="T226" s="108"/>
      <c r="U226" s="108"/>
      <c r="V226" s="154"/>
      <c r="W226" s="201"/>
      <c r="X226" s="182"/>
      <c r="Y226" s="397"/>
      <c r="Z226" s="133"/>
      <c r="AA226" s="133"/>
      <c r="AB226" s="134"/>
      <c r="AC226" s="397"/>
      <c r="AD226" s="156"/>
    </row>
    <row r="227" spans="2:30" ht="12.75" customHeight="1" x14ac:dyDescent="0.2">
      <c r="B227" s="209"/>
      <c r="C227" s="161"/>
      <c r="D227" s="188"/>
      <c r="E227" s="108"/>
      <c r="F227" s="108"/>
      <c r="G227" s="108"/>
      <c r="H227" s="172"/>
      <c r="I227" s="400"/>
      <c r="J227" s="108"/>
      <c r="K227" s="110">
        <v>27</v>
      </c>
      <c r="L227" s="108"/>
      <c r="M227" s="108"/>
      <c r="N227" s="111" t="e">
        <f>N229+O227</f>
        <v>#VALUE!</v>
      </c>
      <c r="O227" s="137">
        <v>227.85</v>
      </c>
      <c r="P227" s="140"/>
      <c r="Q227" s="139" t="s">
        <v>699</v>
      </c>
      <c r="R227" s="123"/>
      <c r="S227" s="397"/>
      <c r="T227" s="123">
        <v>1</v>
      </c>
      <c r="U227" s="123">
        <v>1</v>
      </c>
      <c r="V227" s="141"/>
      <c r="W227" s="199"/>
      <c r="X227" s="192"/>
      <c r="Y227" s="397"/>
      <c r="Z227" s="143">
        <v>1</v>
      </c>
      <c r="AA227" s="143"/>
      <c r="AB227" s="144"/>
      <c r="AC227" s="397"/>
      <c r="AD227" s="151"/>
    </row>
    <row r="228" spans="2:30" ht="12.75" customHeight="1" x14ac:dyDescent="0.2">
      <c r="B228" s="121">
        <f>B226+1</f>
        <v>331</v>
      </c>
      <c r="C228" s="159" t="s">
        <v>700</v>
      </c>
      <c r="D228" s="160" t="s">
        <v>583</v>
      </c>
      <c r="E228" s="123"/>
      <c r="F228" s="123"/>
      <c r="G228" s="123"/>
      <c r="H228" s="97" t="s">
        <v>559</v>
      </c>
      <c r="I228" s="237" t="s">
        <v>685</v>
      </c>
      <c r="J228" s="123"/>
      <c r="K228" s="124"/>
      <c r="L228" s="123"/>
      <c r="M228" s="123"/>
      <c r="N228" s="246">
        <f>N226+O227</f>
        <v>21525.159999999989</v>
      </c>
      <c r="O228" s="167"/>
      <c r="P228" s="181" t="s">
        <v>701</v>
      </c>
      <c r="Q228" s="180"/>
      <c r="R228" s="182"/>
      <c r="S228" s="397"/>
      <c r="T228" s="182"/>
      <c r="U228" s="182"/>
      <c r="V228" s="154"/>
      <c r="W228" s="247"/>
      <c r="X228" s="192"/>
      <c r="Y228" s="398"/>
      <c r="Z228" s="202"/>
      <c r="AA228" s="202"/>
      <c r="AB228" s="203"/>
      <c r="AC228" s="397"/>
      <c r="AD228" s="214"/>
    </row>
    <row r="229" spans="2:30" ht="12.75" customHeight="1" x14ac:dyDescent="0.2">
      <c r="B229" s="248"/>
      <c r="C229" s="249"/>
      <c r="D229" s="250"/>
      <c r="E229" s="251"/>
      <c r="F229" s="252"/>
      <c r="G229" s="252"/>
      <c r="H229" s="253"/>
      <c r="I229" s="243"/>
      <c r="J229" s="252"/>
      <c r="K229" s="254"/>
      <c r="L229" s="182"/>
      <c r="M229" s="182"/>
      <c r="N229" s="255" t="e">
        <f>N231+O229</f>
        <v>#VALUE!</v>
      </c>
      <c r="O229" s="256" t="s">
        <v>702</v>
      </c>
      <c r="P229" s="257"/>
      <c r="Q229" s="114" t="s">
        <v>703</v>
      </c>
      <c r="R229" s="96"/>
      <c r="S229" s="403" t="s">
        <v>704</v>
      </c>
      <c r="T229" s="96">
        <v>1</v>
      </c>
      <c r="U229" s="96">
        <v>1</v>
      </c>
      <c r="V229" s="258"/>
      <c r="W229" s="259"/>
      <c r="X229" s="260"/>
      <c r="Y229" s="403" t="s">
        <v>563</v>
      </c>
      <c r="Z229" s="261">
        <v>1</v>
      </c>
      <c r="AA229" s="119"/>
      <c r="AB229" s="120"/>
      <c r="AC229" s="262" t="s">
        <v>705</v>
      </c>
      <c r="AD229" s="263"/>
    </row>
    <row r="230" spans="2:30" ht="12.75" customHeight="1" x14ac:dyDescent="0.2">
      <c r="B230" s="264" t="s">
        <v>706</v>
      </c>
      <c r="C230" s="159" t="s">
        <v>707</v>
      </c>
      <c r="D230" s="265" t="s">
        <v>583</v>
      </c>
      <c r="E230" s="262"/>
      <c r="F230" s="265"/>
      <c r="G230" s="266"/>
      <c r="H230" s="97" t="s">
        <v>559</v>
      </c>
      <c r="I230" s="405" t="s">
        <v>708</v>
      </c>
      <c r="J230" s="267"/>
      <c r="K230" s="95">
        <v>54</v>
      </c>
      <c r="L230" s="96"/>
      <c r="M230" s="96"/>
      <c r="N230" s="246" t="e">
        <f>N228+O229</f>
        <v>#VALUE!</v>
      </c>
      <c r="O230" s="268"/>
      <c r="P230" s="269"/>
      <c r="Q230" s="270"/>
      <c r="R230" s="249"/>
      <c r="S230" s="404"/>
      <c r="T230" s="249"/>
      <c r="U230" s="249"/>
      <c r="V230" s="271"/>
      <c r="W230" s="272"/>
      <c r="X230" s="268"/>
      <c r="Y230" s="404"/>
      <c r="Z230" s="273"/>
      <c r="AA230" s="274"/>
      <c r="AB230" s="275"/>
      <c r="AC230" s="250" t="s">
        <v>709</v>
      </c>
      <c r="AD230" s="276"/>
    </row>
    <row r="231" spans="2:30" ht="19.5" customHeight="1" x14ac:dyDescent="0.2">
      <c r="B231" s="277" t="s">
        <v>705</v>
      </c>
      <c r="C231" s="278"/>
      <c r="D231" s="279"/>
      <c r="E231" s="280"/>
      <c r="F231" s="279"/>
      <c r="G231" s="281"/>
      <c r="H231" s="282"/>
      <c r="I231" s="406"/>
      <c r="J231" s="283"/>
      <c r="K231" s="250"/>
      <c r="L231" s="249"/>
      <c r="M231" s="182"/>
      <c r="N231" s="255">
        <v>0</v>
      </c>
      <c r="O231" s="105"/>
      <c r="P231" s="284"/>
      <c r="Q231" s="102"/>
      <c r="R231" s="105"/>
      <c r="S231" s="105"/>
      <c r="T231" s="105"/>
      <c r="U231" s="105"/>
      <c r="V231" s="105"/>
      <c r="W231" s="105"/>
      <c r="X231" s="105"/>
      <c r="Y231" s="105"/>
      <c r="Z231" s="105"/>
      <c r="AA231" s="105"/>
      <c r="AB231" s="105"/>
      <c r="AC231" s="105"/>
      <c r="AD231" s="285"/>
    </row>
    <row r="232" spans="2:30" ht="12.75" customHeight="1" x14ac:dyDescent="0.2">
      <c r="M232" s="92"/>
      <c r="P232" s="105"/>
      <c r="Q232" s="286"/>
    </row>
    <row r="233" spans="2:30" ht="12.75" customHeight="1" x14ac:dyDescent="0.2"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  <c r="AA233" s="105"/>
      <c r="AB233" s="105"/>
      <c r="AC233" s="105"/>
      <c r="AD233" s="105"/>
    </row>
    <row r="234" spans="2:30" ht="12.75" customHeight="1" x14ac:dyDescent="0.2"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  <c r="AA234" s="105"/>
      <c r="AB234" s="105"/>
      <c r="AC234" s="105"/>
      <c r="AD234" s="105"/>
    </row>
    <row r="235" spans="2:30" ht="12.75" customHeight="1" x14ac:dyDescent="0.2"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  <c r="AA235" s="105"/>
      <c r="AB235" s="105"/>
      <c r="AC235" s="105"/>
      <c r="AD235" s="105"/>
    </row>
    <row r="236" spans="2:30" ht="12.75" customHeight="1" x14ac:dyDescent="0.2"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  <c r="AA236" s="105"/>
      <c r="AB236" s="105"/>
      <c r="AC236" s="105"/>
      <c r="AD236" s="105"/>
    </row>
    <row r="237" spans="2:30" ht="12.75" customHeight="1" x14ac:dyDescent="0.2"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  <c r="AA237" s="105"/>
      <c r="AB237" s="105"/>
      <c r="AC237" s="105"/>
      <c r="AD237" s="105"/>
    </row>
    <row r="238" spans="2:30" ht="12.75" customHeight="1" x14ac:dyDescent="0.2"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  <c r="AA238" s="105"/>
      <c r="AB238" s="105"/>
      <c r="AC238" s="105"/>
      <c r="AD238" s="105"/>
    </row>
    <row r="239" spans="2:30" ht="12.75" customHeight="1" x14ac:dyDescent="0.25">
      <c r="B239" s="200"/>
      <c r="D239" s="60"/>
      <c r="E239" s="287"/>
      <c r="F239" s="60"/>
      <c r="G239" s="60"/>
      <c r="H239" s="60"/>
      <c r="I239" s="288"/>
      <c r="J239" s="288"/>
      <c r="K239" s="60"/>
      <c r="L239" s="60"/>
      <c r="M239" s="60"/>
      <c r="N239" s="105"/>
      <c r="O239" s="105"/>
      <c r="P239" s="289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  <c r="AA239" s="219"/>
      <c r="AB239" s="219"/>
      <c r="AC239" s="290"/>
      <c r="AD239" s="291"/>
    </row>
    <row r="240" spans="2:30" ht="12.75" customHeight="1" x14ac:dyDescent="0.2"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  <c r="AA240" s="105"/>
      <c r="AB240" s="105"/>
      <c r="AC240" s="105"/>
      <c r="AD240" s="105"/>
    </row>
    <row r="241" spans="1:32" ht="12.75" customHeight="1" x14ac:dyDescent="0.2"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  <c r="AA241" s="105"/>
      <c r="AB241" s="105"/>
      <c r="AC241" s="105"/>
      <c r="AD241" s="105"/>
    </row>
    <row r="242" spans="1:32" ht="12.75" customHeight="1" x14ac:dyDescent="0.2"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  <c r="AA242" s="105"/>
      <c r="AB242" s="105"/>
      <c r="AC242" s="105"/>
      <c r="AD242" s="105"/>
    </row>
    <row r="243" spans="1:32" ht="12.75" customHeight="1" x14ac:dyDescent="0.2"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  <c r="AA243" s="105"/>
      <c r="AB243" s="105"/>
      <c r="AC243" s="105"/>
      <c r="AD243" s="105"/>
    </row>
    <row r="244" spans="1:32" ht="12.75" customHeight="1" x14ac:dyDescent="0.2"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  <c r="AA244" s="105"/>
      <c r="AB244" s="105"/>
      <c r="AC244" s="105"/>
      <c r="AD244" s="105"/>
    </row>
    <row r="245" spans="1:32" ht="12.75" customHeight="1" x14ac:dyDescent="0.2"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  <c r="AA245" s="105"/>
      <c r="AB245" s="105"/>
      <c r="AC245" s="105"/>
      <c r="AD245" s="105"/>
    </row>
    <row r="246" spans="1:32" ht="12.75" customHeight="1" x14ac:dyDescent="0.2"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  <c r="AA246" s="105"/>
      <c r="AB246" s="105"/>
      <c r="AC246" s="105"/>
      <c r="AD246" s="105"/>
    </row>
    <row r="247" spans="1:32" ht="12.75" customHeight="1" x14ac:dyDescent="0.2"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  <c r="AA247" s="105"/>
      <c r="AB247" s="105"/>
      <c r="AC247" s="105"/>
      <c r="AD247" s="105"/>
    </row>
    <row r="248" spans="1:32" ht="12.75" customHeight="1" x14ac:dyDescent="0.2"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2"/>
      <c r="R248" s="105"/>
      <c r="S248" s="105"/>
      <c r="T248" s="105"/>
      <c r="U248" s="105"/>
      <c r="V248" s="105"/>
      <c r="W248" s="105"/>
      <c r="X248" s="105"/>
      <c r="Y248" s="105"/>
      <c r="Z248" s="105"/>
      <c r="AA248" s="105"/>
      <c r="AB248" s="105"/>
      <c r="AC248" s="105"/>
      <c r="AD248" s="105"/>
    </row>
    <row r="249" spans="1:32" ht="12.75" customHeight="1" x14ac:dyDescent="0.2"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2"/>
      <c r="R249" s="105"/>
      <c r="S249" s="105"/>
      <c r="T249" s="105"/>
      <c r="U249" s="105"/>
      <c r="V249" s="105"/>
      <c r="W249" s="105"/>
      <c r="X249" s="105"/>
      <c r="Y249" s="105"/>
      <c r="Z249" s="105"/>
      <c r="AA249" s="105"/>
      <c r="AB249" s="105"/>
      <c r="AC249" s="105"/>
      <c r="AD249" s="105"/>
    </row>
    <row r="250" spans="1:32" ht="12.75" customHeight="1" x14ac:dyDescent="0.2"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2"/>
      <c r="R250" s="105"/>
      <c r="S250" s="105"/>
      <c r="T250" s="105"/>
      <c r="U250" s="105"/>
      <c r="V250" s="105"/>
      <c r="W250" s="105"/>
      <c r="X250" s="105"/>
      <c r="Y250" s="105"/>
      <c r="Z250" s="105"/>
      <c r="AA250" s="105"/>
      <c r="AB250" s="105"/>
      <c r="AC250" s="105"/>
      <c r="AD250" s="105"/>
    </row>
    <row r="251" spans="1:32" ht="12.75" customHeight="1" x14ac:dyDescent="0.2">
      <c r="A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  <c r="AA251" s="105"/>
      <c r="AB251" s="105"/>
      <c r="AC251" s="105"/>
      <c r="AD251" s="105"/>
      <c r="AE251" s="105"/>
      <c r="AF251" s="105"/>
    </row>
    <row r="252" spans="1:32" ht="12.75" customHeight="1" x14ac:dyDescent="0.2"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  <c r="AA252" s="105"/>
      <c r="AB252" s="105"/>
      <c r="AC252" s="105"/>
      <c r="AD252" s="105"/>
    </row>
    <row r="253" spans="1:32" ht="12.75" customHeight="1" x14ac:dyDescent="0.2"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  <c r="AA253" s="105"/>
      <c r="AB253" s="105"/>
      <c r="AC253" s="105"/>
      <c r="AD253" s="105"/>
    </row>
    <row r="254" spans="1:32" ht="12.75" customHeight="1" x14ac:dyDescent="0.2"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  <c r="AA254" s="105"/>
      <c r="AB254" s="105"/>
      <c r="AC254" s="105"/>
      <c r="AD254" s="105"/>
    </row>
    <row r="255" spans="1:32" ht="12.75" customHeight="1" x14ac:dyDescent="0.2"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  <c r="AA255" s="105"/>
      <c r="AB255" s="105"/>
      <c r="AC255" s="105"/>
      <c r="AD255" s="105"/>
    </row>
    <row r="256" spans="1:32" ht="12.75" customHeight="1" x14ac:dyDescent="0.2"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  <c r="AA256" s="105"/>
      <c r="AB256" s="105"/>
      <c r="AC256" s="105"/>
      <c r="AD256" s="105"/>
    </row>
    <row r="257" spans="3:30" ht="12.75" customHeight="1" x14ac:dyDescent="0.2"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  <c r="AA257" s="105"/>
      <c r="AB257" s="105"/>
      <c r="AC257" s="105"/>
      <c r="AD257" s="105"/>
    </row>
    <row r="258" spans="3:30" ht="12.75" customHeight="1" x14ac:dyDescent="0.2"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  <c r="AA258" s="105"/>
      <c r="AB258" s="105"/>
      <c r="AC258" s="105"/>
      <c r="AD258" s="105"/>
    </row>
    <row r="259" spans="3:30" ht="12.75" customHeight="1" x14ac:dyDescent="0.2"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  <c r="AA259" s="105"/>
      <c r="AB259" s="105"/>
      <c r="AC259" s="105"/>
      <c r="AD259" s="105"/>
    </row>
    <row r="260" spans="3:30" ht="12.75" customHeight="1" x14ac:dyDescent="0.2"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  <c r="AA260" s="105"/>
      <c r="AB260" s="105"/>
      <c r="AC260" s="105"/>
      <c r="AD260" s="105"/>
    </row>
    <row r="261" spans="3:30" ht="12.75" customHeight="1" x14ac:dyDescent="0.2"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  <c r="AA261" s="105"/>
      <c r="AB261" s="105"/>
      <c r="AC261" s="105"/>
      <c r="AD261" s="105"/>
    </row>
    <row r="262" spans="3:30" ht="12.75" customHeight="1" x14ac:dyDescent="0.2"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  <c r="AA262" s="105"/>
      <c r="AB262" s="105"/>
      <c r="AC262" s="105"/>
      <c r="AD262" s="105"/>
    </row>
    <row r="263" spans="3:30" ht="12.75" customHeight="1" x14ac:dyDescent="0.2"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  <c r="AA263" s="105"/>
      <c r="AB263" s="105"/>
      <c r="AC263" s="105"/>
      <c r="AD263" s="105"/>
    </row>
    <row r="264" spans="3:30" ht="12.75" customHeight="1" x14ac:dyDescent="0.2"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  <c r="AA264" s="105"/>
      <c r="AB264" s="105"/>
      <c r="AC264" s="105"/>
      <c r="AD264" s="105"/>
    </row>
    <row r="265" spans="3:30" ht="12.75" customHeight="1" x14ac:dyDescent="0.2"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  <c r="AA265" s="105"/>
      <c r="AB265" s="105"/>
      <c r="AC265" s="105"/>
      <c r="AD265" s="105"/>
    </row>
    <row r="266" spans="3:30" ht="12.75" customHeight="1" x14ac:dyDescent="0.2"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  <c r="AA266" s="105"/>
      <c r="AB266" s="105"/>
      <c r="AC266" s="105"/>
      <c r="AD266" s="105"/>
    </row>
    <row r="267" spans="3:30" ht="12.75" customHeight="1" x14ac:dyDescent="0.2"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  <c r="AA267" s="105"/>
      <c r="AB267" s="105"/>
      <c r="AC267" s="105"/>
      <c r="AD267" s="105"/>
    </row>
    <row r="268" spans="3:30" ht="12.75" customHeight="1" x14ac:dyDescent="0.2"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  <c r="AA268" s="105"/>
      <c r="AB268" s="105"/>
      <c r="AC268" s="105"/>
      <c r="AD268" s="105"/>
    </row>
    <row r="269" spans="3:30" ht="12.75" customHeight="1" x14ac:dyDescent="0.2"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  <c r="AA269" s="105"/>
      <c r="AB269" s="105"/>
      <c r="AC269" s="105"/>
      <c r="AD269" s="105"/>
    </row>
    <row r="270" spans="3:30" ht="12.75" customHeight="1" x14ac:dyDescent="0.2"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  <c r="AA270" s="105"/>
      <c r="AB270" s="105"/>
      <c r="AC270" s="105"/>
      <c r="AD270" s="105"/>
    </row>
    <row r="271" spans="3:30" ht="12.75" customHeight="1" x14ac:dyDescent="0.2"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  <c r="AA271" s="105"/>
      <c r="AB271" s="105"/>
      <c r="AC271" s="105"/>
      <c r="AD271" s="105"/>
    </row>
    <row r="272" spans="3:30" ht="12.75" customHeight="1" x14ac:dyDescent="0.2"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  <c r="AA272" s="105"/>
      <c r="AB272" s="105"/>
      <c r="AC272" s="105"/>
      <c r="AD272" s="105"/>
    </row>
    <row r="273" spans="3:30" ht="12.75" customHeight="1" x14ac:dyDescent="0.2"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  <c r="AA273" s="105"/>
      <c r="AB273" s="105"/>
      <c r="AC273" s="105"/>
      <c r="AD273" s="105"/>
    </row>
    <row r="274" spans="3:30" ht="12.75" customHeight="1" x14ac:dyDescent="0.2"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  <c r="AA274" s="105"/>
      <c r="AB274" s="105"/>
      <c r="AC274" s="105"/>
      <c r="AD274" s="105"/>
    </row>
    <row r="275" spans="3:30" ht="12.75" customHeight="1" x14ac:dyDescent="0.2"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  <c r="AA275" s="105"/>
      <c r="AB275" s="105"/>
      <c r="AC275" s="105"/>
      <c r="AD275" s="105"/>
    </row>
    <row r="276" spans="3:30" ht="12.75" customHeight="1" x14ac:dyDescent="0.2"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  <c r="AA276" s="105"/>
      <c r="AB276" s="105"/>
      <c r="AC276" s="105"/>
      <c r="AD276" s="105"/>
    </row>
    <row r="277" spans="3:30" ht="12.75" customHeight="1" x14ac:dyDescent="0.2"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  <c r="AA277" s="105"/>
      <c r="AB277" s="105"/>
      <c r="AC277" s="105"/>
      <c r="AD277" s="105"/>
    </row>
    <row r="278" spans="3:30" ht="12.75" customHeight="1" x14ac:dyDescent="0.2"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  <c r="AA278" s="105"/>
      <c r="AB278" s="105"/>
      <c r="AC278" s="105"/>
      <c r="AD278" s="105"/>
    </row>
    <row r="279" spans="3:30" ht="12.75" customHeight="1" x14ac:dyDescent="0.2"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  <c r="AA279" s="105"/>
      <c r="AB279" s="105"/>
      <c r="AC279" s="105"/>
      <c r="AD279" s="105"/>
    </row>
    <row r="280" spans="3:30" ht="12.75" customHeight="1" x14ac:dyDescent="0.2"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  <c r="AA280" s="105"/>
      <c r="AB280" s="105"/>
      <c r="AC280" s="105"/>
      <c r="AD280" s="105"/>
    </row>
    <row r="281" spans="3:30" ht="12.75" customHeight="1" x14ac:dyDescent="0.2"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  <c r="AA281" s="105"/>
      <c r="AB281" s="105"/>
      <c r="AC281" s="105"/>
      <c r="AD281" s="105"/>
    </row>
    <row r="282" spans="3:30" ht="12.75" customHeight="1" x14ac:dyDescent="0.2"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  <c r="AA282" s="105"/>
      <c r="AB282" s="105"/>
      <c r="AC282" s="105"/>
      <c r="AD282" s="105"/>
    </row>
    <row r="283" spans="3:30" ht="12.75" customHeight="1" x14ac:dyDescent="0.2"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  <c r="AA283" s="105"/>
      <c r="AB283" s="105"/>
      <c r="AC283" s="105"/>
      <c r="AD283" s="105"/>
    </row>
    <row r="284" spans="3:30" ht="12.75" customHeight="1" x14ac:dyDescent="0.2"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  <c r="AA284" s="105"/>
      <c r="AB284" s="105"/>
      <c r="AC284" s="105"/>
      <c r="AD284" s="105"/>
    </row>
    <row r="285" spans="3:30" ht="12.75" customHeight="1" x14ac:dyDescent="0.2"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  <c r="AA285" s="105"/>
      <c r="AB285" s="105"/>
      <c r="AC285" s="105"/>
      <c r="AD285" s="105"/>
    </row>
    <row r="286" spans="3:30" ht="12.75" customHeight="1" x14ac:dyDescent="0.2"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  <c r="AA286" s="105"/>
      <c r="AB286" s="105"/>
      <c r="AC286" s="105"/>
      <c r="AD286" s="105"/>
    </row>
    <row r="287" spans="3:30" ht="12.75" customHeight="1" x14ac:dyDescent="0.2"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  <c r="AA287" s="105"/>
      <c r="AB287" s="105"/>
      <c r="AC287" s="105"/>
      <c r="AD287" s="105"/>
    </row>
    <row r="288" spans="3:30" ht="12.75" customHeight="1" x14ac:dyDescent="0.2"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  <c r="AA288" s="105"/>
      <c r="AB288" s="105"/>
      <c r="AC288" s="105"/>
      <c r="AD288" s="105"/>
    </row>
    <row r="289" spans="3:30" ht="12.75" customHeight="1" x14ac:dyDescent="0.2"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  <c r="AA289" s="105"/>
      <c r="AB289" s="105"/>
      <c r="AC289" s="105"/>
      <c r="AD289" s="105"/>
    </row>
    <row r="290" spans="3:30" ht="12.75" customHeight="1" x14ac:dyDescent="0.2"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  <c r="AA290" s="105"/>
      <c r="AB290" s="105"/>
      <c r="AC290" s="105"/>
      <c r="AD290" s="105"/>
    </row>
    <row r="291" spans="3:30" ht="12.75" customHeight="1" x14ac:dyDescent="0.2"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  <c r="AA291" s="105"/>
      <c r="AB291" s="105"/>
      <c r="AC291" s="105"/>
      <c r="AD291" s="105"/>
    </row>
    <row r="292" spans="3:30" ht="12.75" customHeight="1" x14ac:dyDescent="0.2"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  <c r="AA292" s="105"/>
      <c r="AB292" s="105"/>
      <c r="AC292" s="105"/>
      <c r="AD292" s="105"/>
    </row>
    <row r="293" spans="3:30" ht="12.75" customHeight="1" x14ac:dyDescent="0.2"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  <c r="AA293" s="105"/>
      <c r="AB293" s="105"/>
      <c r="AC293" s="105"/>
      <c r="AD293" s="105"/>
    </row>
    <row r="294" spans="3:30" ht="12.75" customHeight="1" x14ac:dyDescent="0.2"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  <c r="AA294" s="105"/>
      <c r="AB294" s="105"/>
      <c r="AC294" s="105"/>
      <c r="AD294" s="105"/>
    </row>
    <row r="295" spans="3:30" ht="12.75" customHeight="1" x14ac:dyDescent="0.2"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  <c r="AA295" s="105"/>
      <c r="AB295" s="105"/>
      <c r="AC295" s="105"/>
      <c r="AD295" s="105"/>
    </row>
    <row r="296" spans="3:30" ht="12.75" customHeight="1" x14ac:dyDescent="0.2"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  <c r="AA296" s="105"/>
      <c r="AB296" s="105"/>
      <c r="AC296" s="105"/>
      <c r="AD296" s="105"/>
    </row>
    <row r="297" spans="3:30" ht="12.75" customHeight="1" x14ac:dyDescent="0.2"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  <c r="AA297" s="105"/>
      <c r="AB297" s="105"/>
      <c r="AC297" s="105"/>
      <c r="AD297" s="105"/>
    </row>
    <row r="298" spans="3:30" ht="12.75" customHeight="1" x14ac:dyDescent="0.2"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  <c r="AA298" s="105"/>
      <c r="AB298" s="105"/>
      <c r="AC298" s="105"/>
      <c r="AD298" s="105"/>
    </row>
    <row r="299" spans="3:30" ht="12.75" customHeight="1" x14ac:dyDescent="0.2"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  <c r="AA299" s="105"/>
      <c r="AB299" s="105"/>
      <c r="AC299" s="105"/>
      <c r="AD299" s="105"/>
    </row>
    <row r="300" spans="3:30" ht="12.75" customHeight="1" x14ac:dyDescent="0.2"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  <c r="AA300" s="105"/>
      <c r="AB300" s="105"/>
      <c r="AC300" s="105"/>
      <c r="AD300" s="105"/>
    </row>
    <row r="301" spans="3:30" ht="12.75" customHeight="1" x14ac:dyDescent="0.2"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  <c r="AA301" s="105"/>
      <c r="AB301" s="105"/>
      <c r="AC301" s="105"/>
      <c r="AD301" s="105"/>
    </row>
    <row r="302" spans="3:30" ht="12.75" customHeight="1" x14ac:dyDescent="0.2"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  <c r="AA302" s="105"/>
      <c r="AB302" s="105"/>
      <c r="AC302" s="105"/>
      <c r="AD302" s="105"/>
    </row>
    <row r="303" spans="3:30" ht="12.75" customHeight="1" x14ac:dyDescent="0.2"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  <c r="AA303" s="105"/>
      <c r="AB303" s="105"/>
      <c r="AC303" s="105"/>
      <c r="AD303" s="105"/>
    </row>
    <row r="304" spans="3:30" ht="12.75" customHeight="1" x14ac:dyDescent="0.2"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  <c r="AA304" s="105"/>
      <c r="AB304" s="105"/>
      <c r="AC304" s="105"/>
      <c r="AD304" s="105"/>
    </row>
    <row r="305" spans="3:30" ht="12.75" customHeight="1" x14ac:dyDescent="0.2"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  <c r="AA305" s="105"/>
      <c r="AB305" s="105"/>
      <c r="AC305" s="105"/>
      <c r="AD305" s="105"/>
    </row>
    <row r="306" spans="3:30" ht="12.75" customHeight="1" x14ac:dyDescent="0.2"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  <c r="AA306" s="105"/>
      <c r="AB306" s="105"/>
      <c r="AC306" s="105"/>
      <c r="AD306" s="105"/>
    </row>
    <row r="307" spans="3:30" ht="12.75" customHeight="1" x14ac:dyDescent="0.2"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  <c r="AA307" s="105"/>
      <c r="AB307" s="105"/>
      <c r="AC307" s="105"/>
      <c r="AD307" s="105"/>
    </row>
    <row r="308" spans="3:30" ht="12.75" customHeight="1" x14ac:dyDescent="0.2"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  <c r="AA308" s="105"/>
      <c r="AB308" s="105"/>
      <c r="AC308" s="105"/>
      <c r="AD308" s="105"/>
    </row>
    <row r="309" spans="3:30" ht="12.75" customHeight="1" x14ac:dyDescent="0.2"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  <c r="AA309" s="105"/>
      <c r="AB309" s="105"/>
      <c r="AC309" s="105"/>
      <c r="AD309" s="105"/>
    </row>
    <row r="310" spans="3:30" ht="12.75" customHeight="1" x14ac:dyDescent="0.2"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  <c r="AA310" s="105"/>
      <c r="AB310" s="105"/>
      <c r="AC310" s="105"/>
      <c r="AD310" s="105"/>
    </row>
    <row r="311" spans="3:30" ht="12.75" customHeight="1" x14ac:dyDescent="0.2"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  <c r="AA311" s="105"/>
      <c r="AB311" s="105"/>
      <c r="AC311" s="105"/>
      <c r="AD311" s="105"/>
    </row>
    <row r="312" spans="3:30" ht="12.75" customHeight="1" x14ac:dyDescent="0.2"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  <c r="AA312" s="105"/>
      <c r="AB312" s="105"/>
      <c r="AC312" s="105"/>
      <c r="AD312" s="105"/>
    </row>
    <row r="313" spans="3:30" ht="12.75" customHeight="1" x14ac:dyDescent="0.2"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  <c r="AA313" s="105"/>
      <c r="AB313" s="105"/>
      <c r="AC313" s="105"/>
      <c r="AD313" s="105"/>
    </row>
    <row r="314" spans="3:30" ht="12.75" customHeight="1" x14ac:dyDescent="0.2"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  <c r="AA314" s="105"/>
      <c r="AB314" s="105"/>
      <c r="AC314" s="105"/>
      <c r="AD314" s="105"/>
    </row>
    <row r="315" spans="3:30" ht="12.75" customHeight="1" x14ac:dyDescent="0.2"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  <c r="AA315" s="105"/>
      <c r="AB315" s="105"/>
      <c r="AC315" s="105"/>
      <c r="AD315" s="105"/>
    </row>
    <row r="316" spans="3:30" ht="12.75" customHeight="1" x14ac:dyDescent="0.2"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  <c r="AA316" s="105"/>
      <c r="AB316" s="105"/>
      <c r="AC316" s="105"/>
      <c r="AD316" s="105"/>
    </row>
    <row r="317" spans="3:30" ht="12.75" customHeight="1" x14ac:dyDescent="0.2"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  <c r="AA317" s="105"/>
      <c r="AB317" s="105"/>
      <c r="AC317" s="105"/>
      <c r="AD317" s="105"/>
    </row>
    <row r="318" spans="3:30" ht="12.75" customHeight="1" x14ac:dyDescent="0.2"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  <c r="AA318" s="105"/>
      <c r="AB318" s="105"/>
      <c r="AC318" s="105"/>
      <c r="AD318" s="105"/>
    </row>
    <row r="319" spans="3:30" ht="12.75" customHeight="1" x14ac:dyDescent="0.2"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  <c r="AA319" s="105"/>
      <c r="AB319" s="105"/>
      <c r="AC319" s="105"/>
      <c r="AD319" s="105"/>
    </row>
    <row r="320" spans="3:30" ht="12.75" customHeight="1" x14ac:dyDescent="0.2"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  <c r="AA320" s="105"/>
      <c r="AB320" s="105"/>
      <c r="AC320" s="105"/>
      <c r="AD320" s="105"/>
    </row>
    <row r="321" spans="3:30" ht="12.75" customHeight="1" x14ac:dyDescent="0.2"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  <c r="AA321" s="105"/>
      <c r="AB321" s="105"/>
      <c r="AC321" s="105"/>
      <c r="AD321" s="105"/>
    </row>
    <row r="322" spans="3:30" ht="12.75" customHeight="1" x14ac:dyDescent="0.2"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  <c r="AA322" s="105"/>
      <c r="AB322" s="105"/>
      <c r="AC322" s="105"/>
      <c r="AD322" s="105"/>
    </row>
    <row r="323" spans="3:30" ht="12.75" customHeight="1" x14ac:dyDescent="0.2"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  <c r="AA323" s="105"/>
      <c r="AB323" s="105"/>
      <c r="AC323" s="105"/>
      <c r="AD323" s="105"/>
    </row>
    <row r="324" spans="3:30" ht="12.75" customHeight="1" x14ac:dyDescent="0.2"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  <c r="AA324" s="105"/>
      <c r="AB324" s="105"/>
      <c r="AC324" s="105"/>
      <c r="AD324" s="105"/>
    </row>
    <row r="325" spans="3:30" ht="12.75" customHeight="1" x14ac:dyDescent="0.2"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  <c r="AA325" s="105"/>
      <c r="AB325" s="105"/>
      <c r="AC325" s="105"/>
      <c r="AD325" s="105"/>
    </row>
    <row r="326" spans="3:30" ht="12.75" customHeight="1" x14ac:dyDescent="0.2"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  <c r="AA326" s="105"/>
      <c r="AB326" s="105"/>
      <c r="AC326" s="105"/>
      <c r="AD326" s="105"/>
    </row>
    <row r="327" spans="3:30" ht="12.75" customHeight="1" x14ac:dyDescent="0.2"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  <c r="AA327" s="105"/>
      <c r="AB327" s="105"/>
      <c r="AC327" s="105"/>
      <c r="AD327" s="105"/>
    </row>
    <row r="328" spans="3:30" ht="12.75" customHeight="1" x14ac:dyDescent="0.2"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  <c r="AA328" s="105"/>
      <c r="AB328" s="105"/>
      <c r="AC328" s="105"/>
      <c r="AD328" s="105"/>
    </row>
    <row r="329" spans="3:30" ht="12.75" customHeight="1" x14ac:dyDescent="0.2"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  <c r="AA329" s="105"/>
      <c r="AB329" s="105"/>
      <c r="AC329" s="105"/>
      <c r="AD329" s="105"/>
    </row>
    <row r="330" spans="3:30" ht="12.75" customHeight="1" x14ac:dyDescent="0.2"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  <c r="AA330" s="105"/>
      <c r="AB330" s="105"/>
      <c r="AC330" s="105"/>
      <c r="AD330" s="105"/>
    </row>
    <row r="331" spans="3:30" ht="12.75" customHeight="1" x14ac:dyDescent="0.2"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  <c r="AA331" s="105"/>
      <c r="AB331" s="105"/>
      <c r="AC331" s="105"/>
      <c r="AD331" s="105"/>
    </row>
    <row r="332" spans="3:30" ht="12.75" customHeight="1" x14ac:dyDescent="0.2"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  <c r="AA332" s="105"/>
      <c r="AB332" s="105"/>
      <c r="AC332" s="105"/>
      <c r="AD332" s="105"/>
    </row>
    <row r="333" spans="3:30" ht="12.75" customHeight="1" x14ac:dyDescent="0.2"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  <c r="AA333" s="105"/>
      <c r="AB333" s="105"/>
      <c r="AC333" s="105"/>
      <c r="AD333" s="105"/>
    </row>
    <row r="334" spans="3:30" ht="12.75" customHeight="1" x14ac:dyDescent="0.2"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  <c r="AA334" s="105"/>
      <c r="AB334" s="105"/>
      <c r="AC334" s="105"/>
      <c r="AD334" s="105"/>
    </row>
    <row r="335" spans="3:30" ht="12.75" customHeight="1" x14ac:dyDescent="0.2"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  <c r="AA335" s="105"/>
      <c r="AB335" s="105"/>
      <c r="AC335" s="105"/>
      <c r="AD335" s="105"/>
    </row>
    <row r="336" spans="3:30" ht="12.75" customHeight="1" x14ac:dyDescent="0.2"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  <c r="AA336" s="105"/>
      <c r="AB336" s="105"/>
      <c r="AC336" s="105"/>
      <c r="AD336" s="105"/>
    </row>
    <row r="337" spans="3:30" x14ac:dyDescent="0.2"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  <c r="AA337" s="105"/>
      <c r="AB337" s="105"/>
      <c r="AC337" s="105"/>
      <c r="AD337" s="105"/>
    </row>
    <row r="338" spans="3:30" x14ac:dyDescent="0.2"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  <c r="AA338" s="105"/>
      <c r="AB338" s="105"/>
      <c r="AC338" s="105"/>
      <c r="AD338" s="105"/>
    </row>
    <row r="339" spans="3:30" x14ac:dyDescent="0.2"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  <c r="AA339" s="105"/>
      <c r="AB339" s="105"/>
      <c r="AC339" s="105"/>
      <c r="AD339" s="105"/>
    </row>
    <row r="340" spans="3:30" x14ac:dyDescent="0.2"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  <c r="AA340" s="105"/>
      <c r="AB340" s="105"/>
      <c r="AC340" s="105"/>
      <c r="AD340" s="105"/>
    </row>
    <row r="341" spans="3:30" x14ac:dyDescent="0.2"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  <c r="AA341" s="105"/>
      <c r="AB341" s="105"/>
      <c r="AC341" s="105"/>
      <c r="AD341" s="105"/>
    </row>
    <row r="342" spans="3:30" x14ac:dyDescent="0.2"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  <c r="AA342" s="105"/>
      <c r="AB342" s="105"/>
      <c r="AC342" s="105"/>
      <c r="AD342" s="105"/>
    </row>
    <row r="343" spans="3:30" x14ac:dyDescent="0.2"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  <c r="AA343" s="105"/>
      <c r="AB343" s="105"/>
      <c r="AC343" s="105"/>
      <c r="AD343" s="105"/>
    </row>
    <row r="344" spans="3:30" x14ac:dyDescent="0.2"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  <c r="AA344" s="105"/>
      <c r="AB344" s="105"/>
      <c r="AC344" s="105"/>
      <c r="AD344" s="105"/>
    </row>
    <row r="345" spans="3:30" x14ac:dyDescent="0.2"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  <c r="AA345" s="105"/>
      <c r="AB345" s="105"/>
      <c r="AC345" s="105"/>
      <c r="AD345" s="105"/>
    </row>
    <row r="346" spans="3:30" x14ac:dyDescent="0.2"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  <c r="AA346" s="105"/>
      <c r="AB346" s="105"/>
      <c r="AC346" s="105"/>
      <c r="AD346" s="105"/>
    </row>
    <row r="347" spans="3:30" x14ac:dyDescent="0.2"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  <c r="AA347" s="105"/>
      <c r="AB347" s="105"/>
      <c r="AC347" s="105"/>
      <c r="AD347" s="105"/>
    </row>
    <row r="348" spans="3:30" x14ac:dyDescent="0.2"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  <c r="AA348" s="105"/>
      <c r="AB348" s="105"/>
      <c r="AC348" s="105"/>
      <c r="AD348" s="105"/>
    </row>
    <row r="349" spans="3:30" x14ac:dyDescent="0.2"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  <c r="AA349" s="105"/>
      <c r="AB349" s="105"/>
      <c r="AC349" s="105"/>
      <c r="AD349" s="105"/>
    </row>
    <row r="350" spans="3:30" x14ac:dyDescent="0.2"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  <c r="AA350" s="105"/>
      <c r="AB350" s="105"/>
      <c r="AC350" s="105"/>
      <c r="AD350" s="105"/>
    </row>
    <row r="351" spans="3:30" x14ac:dyDescent="0.2"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  <c r="AA351" s="105"/>
      <c r="AB351" s="105"/>
      <c r="AC351" s="105"/>
      <c r="AD351" s="105"/>
    </row>
    <row r="352" spans="3:30" x14ac:dyDescent="0.2"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  <c r="AA352" s="105"/>
      <c r="AB352" s="105"/>
      <c r="AC352" s="105"/>
      <c r="AD352" s="105"/>
    </row>
    <row r="353" spans="3:30" x14ac:dyDescent="0.2"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  <c r="AA353" s="105"/>
      <c r="AB353" s="105"/>
      <c r="AC353" s="105"/>
      <c r="AD353" s="105"/>
    </row>
    <row r="354" spans="3:30" x14ac:dyDescent="0.2"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  <c r="AA354" s="105"/>
      <c r="AB354" s="105"/>
      <c r="AC354" s="105"/>
      <c r="AD354" s="105"/>
    </row>
    <row r="355" spans="3:30" x14ac:dyDescent="0.2"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  <c r="AA355" s="105"/>
      <c r="AB355" s="105"/>
      <c r="AC355" s="105"/>
      <c r="AD355" s="105"/>
    </row>
    <row r="356" spans="3:30" x14ac:dyDescent="0.2"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  <c r="AA356" s="105"/>
      <c r="AB356" s="105"/>
      <c r="AC356" s="105"/>
      <c r="AD356" s="105"/>
    </row>
    <row r="357" spans="3:30" x14ac:dyDescent="0.2"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  <c r="AA357" s="105"/>
      <c r="AB357" s="105"/>
      <c r="AC357" s="105"/>
      <c r="AD357" s="105"/>
    </row>
    <row r="358" spans="3:30" x14ac:dyDescent="0.2"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  <c r="AA358" s="105"/>
      <c r="AB358" s="105"/>
      <c r="AC358" s="105"/>
      <c r="AD358" s="105"/>
    </row>
    <row r="359" spans="3:30" x14ac:dyDescent="0.2"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  <c r="AA359" s="105"/>
      <c r="AB359" s="105"/>
      <c r="AC359" s="105"/>
      <c r="AD359" s="105"/>
    </row>
    <row r="360" spans="3:30" x14ac:dyDescent="0.2"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  <c r="AA360" s="105"/>
      <c r="AB360" s="105"/>
      <c r="AC360" s="105"/>
      <c r="AD360" s="105"/>
    </row>
    <row r="361" spans="3:30" x14ac:dyDescent="0.2"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  <c r="AA361" s="105"/>
      <c r="AB361" s="105"/>
      <c r="AC361" s="105"/>
      <c r="AD361" s="105"/>
    </row>
    <row r="362" spans="3:30" x14ac:dyDescent="0.2"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  <c r="AA362" s="105"/>
      <c r="AB362" s="105"/>
      <c r="AC362" s="105"/>
      <c r="AD362" s="105"/>
    </row>
    <row r="363" spans="3:30" x14ac:dyDescent="0.2"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  <c r="AA363" s="105"/>
      <c r="AB363" s="105"/>
      <c r="AC363" s="105"/>
      <c r="AD363" s="105"/>
    </row>
    <row r="364" spans="3:30" x14ac:dyDescent="0.2"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  <c r="AA364" s="105"/>
      <c r="AB364" s="105"/>
      <c r="AC364" s="105"/>
      <c r="AD364" s="105"/>
    </row>
    <row r="365" spans="3:30" x14ac:dyDescent="0.2"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  <c r="AA365" s="105"/>
      <c r="AB365" s="105"/>
      <c r="AC365" s="105"/>
      <c r="AD365" s="105"/>
    </row>
    <row r="366" spans="3:30" x14ac:dyDescent="0.2"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  <c r="AA366" s="105"/>
      <c r="AB366" s="105"/>
      <c r="AC366" s="105"/>
      <c r="AD366" s="105"/>
    </row>
    <row r="367" spans="3:30" x14ac:dyDescent="0.2"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  <c r="AA367" s="105"/>
      <c r="AB367" s="105"/>
      <c r="AC367" s="105"/>
      <c r="AD367" s="105"/>
    </row>
    <row r="368" spans="3:30" x14ac:dyDescent="0.2"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  <c r="AA368" s="105"/>
      <c r="AB368" s="105"/>
      <c r="AC368" s="105"/>
      <c r="AD368" s="105"/>
    </row>
    <row r="369" spans="3:30" x14ac:dyDescent="0.2"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  <c r="AA369" s="105"/>
      <c r="AB369" s="105"/>
      <c r="AC369" s="105"/>
      <c r="AD369" s="105"/>
    </row>
    <row r="370" spans="3:30" x14ac:dyDescent="0.2"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  <c r="AA370" s="105"/>
      <c r="AB370" s="105"/>
      <c r="AC370" s="105"/>
      <c r="AD370" s="105"/>
    </row>
    <row r="371" spans="3:30" x14ac:dyDescent="0.2"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  <c r="AA371" s="105"/>
      <c r="AB371" s="105"/>
      <c r="AC371" s="105"/>
      <c r="AD371" s="105"/>
    </row>
    <row r="372" spans="3:30" x14ac:dyDescent="0.2"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  <c r="AA372" s="105"/>
      <c r="AB372" s="105"/>
      <c r="AC372" s="105"/>
      <c r="AD372" s="105"/>
    </row>
    <row r="373" spans="3:30" x14ac:dyDescent="0.2"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  <c r="AA373" s="105"/>
      <c r="AB373" s="105"/>
      <c r="AC373" s="105"/>
      <c r="AD373" s="105"/>
    </row>
    <row r="374" spans="3:30" x14ac:dyDescent="0.2"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  <c r="AA374" s="105"/>
      <c r="AB374" s="105"/>
      <c r="AC374" s="105"/>
      <c r="AD374" s="105"/>
    </row>
    <row r="375" spans="3:30" x14ac:dyDescent="0.2"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  <c r="AA375" s="105"/>
      <c r="AB375" s="105"/>
      <c r="AC375" s="105"/>
      <c r="AD375" s="105"/>
    </row>
    <row r="376" spans="3:30" x14ac:dyDescent="0.2"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  <c r="AA376" s="105"/>
      <c r="AB376" s="105"/>
      <c r="AC376" s="105"/>
      <c r="AD376" s="105"/>
    </row>
    <row r="377" spans="3:30" x14ac:dyDescent="0.2"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  <c r="AA377" s="105"/>
      <c r="AB377" s="105"/>
      <c r="AC377" s="105"/>
      <c r="AD377" s="105"/>
    </row>
    <row r="378" spans="3:30" x14ac:dyDescent="0.2"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  <c r="AA378" s="105"/>
      <c r="AB378" s="105"/>
      <c r="AC378" s="105"/>
      <c r="AD378" s="105"/>
    </row>
    <row r="379" spans="3:30" x14ac:dyDescent="0.2"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  <c r="AA379" s="105"/>
      <c r="AB379" s="105"/>
      <c r="AC379" s="105"/>
      <c r="AD379" s="105"/>
    </row>
    <row r="380" spans="3:30" x14ac:dyDescent="0.2"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  <c r="AA380" s="105"/>
      <c r="AB380" s="105"/>
      <c r="AC380" s="105"/>
      <c r="AD380" s="105"/>
    </row>
    <row r="381" spans="3:30" x14ac:dyDescent="0.2"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  <c r="AA381" s="105"/>
      <c r="AB381" s="105"/>
      <c r="AC381" s="105"/>
      <c r="AD381" s="105"/>
    </row>
    <row r="382" spans="3:30" x14ac:dyDescent="0.2"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  <c r="AA382" s="105"/>
      <c r="AB382" s="105"/>
      <c r="AC382" s="105"/>
      <c r="AD382" s="105"/>
    </row>
    <row r="383" spans="3:30" x14ac:dyDescent="0.2"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  <c r="AA383" s="105"/>
      <c r="AB383" s="105"/>
      <c r="AC383" s="105"/>
      <c r="AD383" s="105"/>
    </row>
    <row r="384" spans="3:30" x14ac:dyDescent="0.2"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  <c r="AA384" s="105"/>
      <c r="AB384" s="105"/>
      <c r="AC384" s="105"/>
      <c r="AD384" s="105"/>
    </row>
    <row r="385" spans="3:30" x14ac:dyDescent="0.2"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  <c r="AA385" s="105"/>
      <c r="AB385" s="105"/>
      <c r="AC385" s="105"/>
      <c r="AD385" s="105"/>
    </row>
    <row r="386" spans="3:30" x14ac:dyDescent="0.2"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  <c r="AA386" s="105"/>
      <c r="AB386" s="105"/>
      <c r="AC386" s="105"/>
      <c r="AD386" s="105"/>
    </row>
    <row r="387" spans="3:30" x14ac:dyDescent="0.2"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  <c r="AA387" s="105"/>
      <c r="AB387" s="105"/>
      <c r="AC387" s="105"/>
      <c r="AD387" s="105"/>
    </row>
    <row r="388" spans="3:30" x14ac:dyDescent="0.2"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  <c r="AA388" s="105"/>
      <c r="AB388" s="105"/>
      <c r="AC388" s="105"/>
      <c r="AD388" s="105"/>
    </row>
    <row r="389" spans="3:30" x14ac:dyDescent="0.2"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  <c r="AA389" s="105"/>
      <c r="AB389" s="105"/>
      <c r="AC389" s="105"/>
      <c r="AD389" s="105"/>
    </row>
    <row r="390" spans="3:30" x14ac:dyDescent="0.2"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  <c r="AA390" s="105"/>
      <c r="AB390" s="105"/>
      <c r="AC390" s="105"/>
      <c r="AD390" s="105"/>
    </row>
    <row r="391" spans="3:30" x14ac:dyDescent="0.2"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  <c r="AA391" s="105"/>
      <c r="AB391" s="105"/>
      <c r="AC391" s="105"/>
      <c r="AD391" s="105"/>
    </row>
    <row r="392" spans="3:30" x14ac:dyDescent="0.2"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  <c r="AA392" s="105"/>
      <c r="AB392" s="105"/>
      <c r="AC392" s="105"/>
      <c r="AD392" s="105"/>
    </row>
    <row r="393" spans="3:30" x14ac:dyDescent="0.2"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  <c r="AA393" s="105"/>
      <c r="AB393" s="105"/>
      <c r="AC393" s="105"/>
      <c r="AD393" s="105"/>
    </row>
    <row r="394" spans="3:30" x14ac:dyDescent="0.2"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  <c r="AA394" s="105"/>
      <c r="AB394" s="105"/>
      <c r="AC394" s="105"/>
      <c r="AD394" s="105"/>
    </row>
    <row r="395" spans="3:30" x14ac:dyDescent="0.2"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  <c r="AA395" s="105"/>
      <c r="AB395" s="105"/>
      <c r="AC395" s="105"/>
      <c r="AD395" s="105"/>
    </row>
    <row r="396" spans="3:30" x14ac:dyDescent="0.2"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  <c r="AA396" s="105"/>
      <c r="AB396" s="105"/>
      <c r="AC396" s="105"/>
      <c r="AD396" s="105"/>
    </row>
    <row r="397" spans="3:30" x14ac:dyDescent="0.2"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  <c r="AA397" s="105"/>
      <c r="AB397" s="105"/>
      <c r="AC397" s="105"/>
      <c r="AD397" s="105"/>
    </row>
    <row r="398" spans="3:30" x14ac:dyDescent="0.2"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  <c r="AA398" s="105"/>
      <c r="AB398" s="105"/>
      <c r="AC398" s="105"/>
      <c r="AD398" s="105"/>
    </row>
    <row r="399" spans="3:30" x14ac:dyDescent="0.2"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  <c r="AA399" s="105"/>
      <c r="AB399" s="105"/>
      <c r="AC399" s="105"/>
      <c r="AD399" s="105"/>
    </row>
    <row r="400" spans="3:30" x14ac:dyDescent="0.2"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  <c r="AA400" s="105"/>
      <c r="AB400" s="105"/>
      <c r="AC400" s="105"/>
      <c r="AD400" s="105"/>
    </row>
    <row r="401" spans="3:30" x14ac:dyDescent="0.2"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  <c r="AA401" s="105"/>
      <c r="AB401" s="105"/>
      <c r="AC401" s="105"/>
      <c r="AD401" s="105"/>
    </row>
    <row r="402" spans="3:30" x14ac:dyDescent="0.2"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  <c r="AA402" s="105"/>
      <c r="AB402" s="105"/>
      <c r="AC402" s="105"/>
      <c r="AD402" s="105"/>
    </row>
    <row r="403" spans="3:30" x14ac:dyDescent="0.2"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  <c r="AA403" s="105"/>
      <c r="AB403" s="105"/>
      <c r="AC403" s="105"/>
      <c r="AD403" s="105"/>
    </row>
    <row r="404" spans="3:30" x14ac:dyDescent="0.2"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  <c r="AA404" s="105"/>
      <c r="AB404" s="105"/>
      <c r="AC404" s="105"/>
      <c r="AD404" s="105"/>
    </row>
    <row r="405" spans="3:30" x14ac:dyDescent="0.2"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  <c r="AA405" s="105"/>
      <c r="AB405" s="105"/>
      <c r="AC405" s="105"/>
      <c r="AD405" s="105"/>
    </row>
    <row r="406" spans="3:30" x14ac:dyDescent="0.2"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  <c r="AA406" s="105"/>
      <c r="AB406" s="105"/>
      <c r="AC406" s="105"/>
      <c r="AD406" s="105"/>
    </row>
    <row r="407" spans="3:30" x14ac:dyDescent="0.2"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  <c r="AA407" s="105"/>
      <c r="AB407" s="105"/>
      <c r="AC407" s="105"/>
      <c r="AD407" s="105"/>
    </row>
    <row r="408" spans="3:30" x14ac:dyDescent="0.2"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  <c r="AA408" s="105"/>
      <c r="AB408" s="105"/>
      <c r="AC408" s="105"/>
      <c r="AD408" s="105"/>
    </row>
    <row r="409" spans="3:30" x14ac:dyDescent="0.2"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  <c r="AA409" s="105"/>
      <c r="AB409" s="105"/>
      <c r="AC409" s="105"/>
      <c r="AD409" s="105"/>
    </row>
    <row r="410" spans="3:30" x14ac:dyDescent="0.2"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  <c r="AA410" s="105"/>
      <c r="AB410" s="105"/>
      <c r="AC410" s="105"/>
      <c r="AD410" s="105"/>
    </row>
  </sheetData>
  <mergeCells count="118">
    <mergeCell ref="B5:B6"/>
    <mergeCell ref="C5:C6"/>
    <mergeCell ref="D5:D6"/>
    <mergeCell ref="E5:E6"/>
    <mergeCell ref="F5:F6"/>
    <mergeCell ref="G5:G6"/>
    <mergeCell ref="Z2:AD2"/>
    <mergeCell ref="B4:F4"/>
    <mergeCell ref="G4:H4"/>
    <mergeCell ref="I4:K4"/>
    <mergeCell ref="Q4:R4"/>
    <mergeCell ref="S4:X4"/>
    <mergeCell ref="Y4:AB4"/>
    <mergeCell ref="AC4:AD4"/>
    <mergeCell ref="S5:S6"/>
    <mergeCell ref="T5:T6"/>
    <mergeCell ref="U5:U6"/>
    <mergeCell ref="V5:V6"/>
    <mergeCell ref="Y5:Y6"/>
    <mergeCell ref="C8:C9"/>
    <mergeCell ref="E8:E9"/>
    <mergeCell ref="I8:I9"/>
    <mergeCell ref="S9:S14"/>
    <mergeCell ref="Y9:Y10"/>
    <mergeCell ref="H5:H6"/>
    <mergeCell ref="I5:I6"/>
    <mergeCell ref="J5:J6"/>
    <mergeCell ref="K5:K6"/>
    <mergeCell ref="N5:O5"/>
    <mergeCell ref="Q5:Q6"/>
    <mergeCell ref="C10:C11"/>
    <mergeCell ref="E10:E11"/>
    <mergeCell ref="I10:I11"/>
    <mergeCell ref="E12:E13"/>
    <mergeCell ref="I12:I13"/>
    <mergeCell ref="Y13:Y14"/>
    <mergeCell ref="E14:E15"/>
    <mergeCell ref="I14:I15"/>
    <mergeCell ref="S15:S72"/>
    <mergeCell ref="E36:E37"/>
    <mergeCell ref="AD37:AD38"/>
    <mergeCell ref="Y39:Y72"/>
    <mergeCell ref="AC39:AC56"/>
    <mergeCell ref="E46:E47"/>
    <mergeCell ref="AD49:AD50"/>
    <mergeCell ref="AD53:AD54"/>
    <mergeCell ref="AC57:AC70"/>
    <mergeCell ref="AD57:AD58"/>
    <mergeCell ref="AD59:AD60"/>
    <mergeCell ref="Y15:Y38"/>
    <mergeCell ref="AD15:AD16"/>
    <mergeCell ref="I16:I17"/>
    <mergeCell ref="AD19:AD20"/>
    <mergeCell ref="AD21:AD22"/>
    <mergeCell ref="AD23:AD24"/>
    <mergeCell ref="AD31:AD32"/>
    <mergeCell ref="AD33:AD34"/>
    <mergeCell ref="AC9:AC38"/>
    <mergeCell ref="AD69:AD70"/>
    <mergeCell ref="AC71:AC72"/>
    <mergeCell ref="AD71:AD72"/>
    <mergeCell ref="S73:S106"/>
    <mergeCell ref="Y73:Y106"/>
    <mergeCell ref="AC73:AC78"/>
    <mergeCell ref="AC79:AC104"/>
    <mergeCell ref="AD81:AD82"/>
    <mergeCell ref="AD85:AD86"/>
    <mergeCell ref="E94:E95"/>
    <mergeCell ref="AD99:AD100"/>
    <mergeCell ref="AD101:AD102"/>
    <mergeCell ref="AC105:AC106"/>
    <mergeCell ref="S107:S140"/>
    <mergeCell ref="Y107:Y140"/>
    <mergeCell ref="AC107:AC136"/>
    <mergeCell ref="AD117:AD118"/>
    <mergeCell ref="AD119:AD120"/>
    <mergeCell ref="E124:E125"/>
    <mergeCell ref="AC137:AC140"/>
    <mergeCell ref="S141:S174"/>
    <mergeCell ref="Y141:Y174"/>
    <mergeCell ref="AC141:AC174"/>
    <mergeCell ref="AD151:AD152"/>
    <mergeCell ref="AD153:AD154"/>
    <mergeCell ref="AD155:AD156"/>
    <mergeCell ref="AD157:AD158"/>
    <mergeCell ref="AD167:AD168"/>
    <mergeCell ref="E168:E169"/>
    <mergeCell ref="AD169:AD170"/>
    <mergeCell ref="AD171:AD172"/>
    <mergeCell ref="AD173:AD174"/>
    <mergeCell ref="S175:S208"/>
    <mergeCell ref="Y175:Y208"/>
    <mergeCell ref="AC175:AC208"/>
    <mergeCell ref="AD183:AD184"/>
    <mergeCell ref="AD185:AD186"/>
    <mergeCell ref="AD187:AD188"/>
    <mergeCell ref="E188:E189"/>
    <mergeCell ref="AD201:AD202"/>
    <mergeCell ref="AD205:AD206"/>
    <mergeCell ref="E206:E207"/>
    <mergeCell ref="AC209:AC228"/>
    <mergeCell ref="S210:S228"/>
    <mergeCell ref="Y210:Y228"/>
    <mergeCell ref="I212:I213"/>
    <mergeCell ref="I214:I215"/>
    <mergeCell ref="AD215:AD216"/>
    <mergeCell ref="I224:I225"/>
    <mergeCell ref="I226:I227"/>
    <mergeCell ref="S229:S230"/>
    <mergeCell ref="Y229:Y230"/>
    <mergeCell ref="I230:I231"/>
    <mergeCell ref="I216:I217"/>
    <mergeCell ref="AD217:AD218"/>
    <mergeCell ref="I218:I219"/>
    <mergeCell ref="AD219:AD220"/>
    <mergeCell ref="I220:I221"/>
    <mergeCell ref="AD221:AD222"/>
    <mergeCell ref="I222:I223"/>
  </mergeCells>
  <pageMargins left="0.23622047244094491" right="0.19685039370078741" top="0.42" bottom="0.46" header="0.19685039370078741" footer="0.19685039370078741"/>
  <pageSetup paperSize="9" scale="55" fitToHeight="0" orientation="landscape" r:id="rId1"/>
  <headerFooter alignWithMargins="0">
    <oddFooter>&amp;L&amp;F&amp;R&amp;Pdi&amp;N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36839-6850-48C9-A03C-C9989EB113D2}">
  <dimension ref="A1:H64"/>
  <sheetViews>
    <sheetView showGridLines="0" topLeftCell="A15" workbookViewId="0">
      <selection activeCell="F2" sqref="F2:F64"/>
    </sheetView>
  </sheetViews>
  <sheetFormatPr baseColWidth="10" defaultRowHeight="15" x14ac:dyDescent="0.25"/>
  <cols>
    <col min="1" max="1" width="13.28515625" bestFit="1" customWidth="1"/>
    <col min="2" max="2" width="19.42578125" bestFit="1" customWidth="1"/>
    <col min="3" max="3" width="18.140625" bestFit="1" customWidth="1"/>
    <col min="4" max="4" width="20.85546875" style="18" bestFit="1" customWidth="1"/>
    <col min="5" max="5" width="20.140625" style="18" bestFit="1" customWidth="1"/>
    <col min="6" max="6" width="18.85546875" style="18" bestFit="1" customWidth="1"/>
    <col min="7" max="7" width="21.85546875" style="18" bestFit="1" customWidth="1"/>
    <col min="8" max="8" width="21.5703125" bestFit="1" customWidth="1"/>
  </cols>
  <sheetData>
    <row r="1" spans="1:8" ht="15.75" thickBot="1" x14ac:dyDescent="0.3">
      <c r="A1" s="15" t="s">
        <v>421</v>
      </c>
      <c r="B1" s="15" t="s">
        <v>422</v>
      </c>
      <c r="C1" s="15" t="s">
        <v>423</v>
      </c>
      <c r="D1" s="16" t="s">
        <v>424</v>
      </c>
      <c r="E1" s="16" t="s">
        <v>425</v>
      </c>
      <c r="F1" s="16" t="s">
        <v>426</v>
      </c>
      <c r="G1" s="16" t="s">
        <v>427</v>
      </c>
      <c r="H1" s="15" t="s">
        <v>428</v>
      </c>
    </row>
    <row r="2" spans="1:8" x14ac:dyDescent="0.25">
      <c r="A2">
        <v>1</v>
      </c>
      <c r="B2" t="s">
        <v>429</v>
      </c>
      <c r="C2">
        <v>102</v>
      </c>
      <c r="D2" s="17">
        <v>10</v>
      </c>
      <c r="E2" s="17">
        <v>359</v>
      </c>
      <c r="F2" s="17">
        <v>364</v>
      </c>
      <c r="G2" s="17">
        <v>359</v>
      </c>
      <c r="H2" t="s">
        <v>430</v>
      </c>
    </row>
    <row r="3" spans="1:8" x14ac:dyDescent="0.25">
      <c r="A3">
        <v>2</v>
      </c>
      <c r="B3">
        <v>102</v>
      </c>
      <c r="C3">
        <v>101</v>
      </c>
      <c r="D3" s="17">
        <v>10</v>
      </c>
      <c r="E3" s="17">
        <v>374</v>
      </c>
      <c r="F3" s="17">
        <v>389</v>
      </c>
      <c r="G3" s="17">
        <v>374</v>
      </c>
      <c r="H3" t="s">
        <v>431</v>
      </c>
    </row>
    <row r="4" spans="1:8" x14ac:dyDescent="0.25">
      <c r="A4">
        <v>3</v>
      </c>
      <c r="B4">
        <v>101</v>
      </c>
      <c r="C4">
        <v>224</v>
      </c>
      <c r="D4" s="17">
        <v>10</v>
      </c>
      <c r="E4" s="17">
        <v>797</v>
      </c>
      <c r="F4" s="17">
        <v>803</v>
      </c>
      <c r="G4" s="17">
        <v>797</v>
      </c>
      <c r="H4" t="s">
        <v>432</v>
      </c>
    </row>
    <row r="5" spans="1:8" x14ac:dyDescent="0.25">
      <c r="A5">
        <v>4</v>
      </c>
      <c r="B5">
        <v>224</v>
      </c>
      <c r="C5">
        <v>225</v>
      </c>
      <c r="D5" s="17">
        <v>10</v>
      </c>
      <c r="E5" s="17">
        <v>358</v>
      </c>
      <c r="F5" s="17">
        <v>334</v>
      </c>
      <c r="G5" s="17">
        <v>334</v>
      </c>
      <c r="H5" t="s">
        <v>433</v>
      </c>
    </row>
    <row r="6" spans="1:8" x14ac:dyDescent="0.25">
      <c r="A6">
        <v>5</v>
      </c>
      <c r="B6">
        <v>225</v>
      </c>
      <c r="C6">
        <v>226</v>
      </c>
      <c r="D6" s="17">
        <v>10</v>
      </c>
      <c r="E6" s="17">
        <v>344</v>
      </c>
      <c r="F6" s="17">
        <v>348</v>
      </c>
      <c r="G6" s="17">
        <v>344</v>
      </c>
      <c r="H6" t="s">
        <v>434</v>
      </c>
    </row>
    <row r="7" spans="1:8" x14ac:dyDescent="0.25">
      <c r="A7">
        <v>6</v>
      </c>
      <c r="B7">
        <v>226</v>
      </c>
      <c r="C7">
        <v>227</v>
      </c>
      <c r="D7" s="17">
        <v>10</v>
      </c>
      <c r="E7" s="17">
        <v>388</v>
      </c>
      <c r="F7" s="17">
        <v>402</v>
      </c>
      <c r="G7" s="17">
        <v>388</v>
      </c>
      <c r="H7" t="s">
        <v>435</v>
      </c>
    </row>
    <row r="8" spans="1:8" x14ac:dyDescent="0.25">
      <c r="A8">
        <v>7</v>
      </c>
      <c r="B8">
        <v>227</v>
      </c>
      <c r="C8">
        <v>228</v>
      </c>
      <c r="D8" s="17">
        <v>10</v>
      </c>
      <c r="E8" s="17">
        <v>1532</v>
      </c>
      <c r="F8" s="17">
        <v>1540</v>
      </c>
      <c r="G8" s="17">
        <v>1532</v>
      </c>
      <c r="H8" t="s">
        <v>436</v>
      </c>
    </row>
    <row r="9" spans="1:8" x14ac:dyDescent="0.25">
      <c r="A9">
        <v>8</v>
      </c>
      <c r="B9">
        <v>228</v>
      </c>
      <c r="C9">
        <v>229</v>
      </c>
      <c r="D9" s="17">
        <v>10</v>
      </c>
      <c r="E9" s="17">
        <v>436</v>
      </c>
      <c r="F9" s="17">
        <v>427</v>
      </c>
      <c r="G9" s="17">
        <v>427</v>
      </c>
      <c r="H9" t="s">
        <v>437</v>
      </c>
    </row>
    <row r="10" spans="1:8" x14ac:dyDescent="0.25">
      <c r="A10">
        <v>9</v>
      </c>
      <c r="B10">
        <v>229</v>
      </c>
      <c r="C10">
        <v>230</v>
      </c>
      <c r="D10" s="17">
        <v>10</v>
      </c>
      <c r="E10" s="17">
        <v>332</v>
      </c>
      <c r="F10" s="17">
        <v>347</v>
      </c>
      <c r="G10" s="17">
        <v>332</v>
      </c>
      <c r="H10" t="s">
        <v>438</v>
      </c>
    </row>
    <row r="11" spans="1:8" x14ac:dyDescent="0.25">
      <c r="A11">
        <v>10</v>
      </c>
      <c r="B11">
        <v>230</v>
      </c>
      <c r="C11">
        <v>231</v>
      </c>
      <c r="D11" s="17">
        <v>10</v>
      </c>
      <c r="E11" s="17">
        <v>373</v>
      </c>
      <c r="F11" s="17">
        <v>376</v>
      </c>
      <c r="G11" s="17">
        <v>373</v>
      </c>
      <c r="H11" t="s">
        <v>439</v>
      </c>
    </row>
    <row r="12" spans="1:8" x14ac:dyDescent="0.25">
      <c r="A12">
        <v>11</v>
      </c>
      <c r="B12">
        <v>231</v>
      </c>
      <c r="C12">
        <v>232</v>
      </c>
      <c r="D12" s="17">
        <v>10</v>
      </c>
      <c r="E12" s="17">
        <v>657</v>
      </c>
      <c r="F12" s="17">
        <v>653</v>
      </c>
      <c r="G12" s="17">
        <v>653</v>
      </c>
      <c r="H12" t="s">
        <v>440</v>
      </c>
    </row>
    <row r="13" spans="1:8" x14ac:dyDescent="0.25">
      <c r="A13">
        <v>12</v>
      </c>
      <c r="B13">
        <v>232</v>
      </c>
      <c r="C13">
        <v>233</v>
      </c>
      <c r="D13" s="17">
        <v>10</v>
      </c>
      <c r="E13" s="17">
        <v>304</v>
      </c>
      <c r="F13" s="17">
        <v>297</v>
      </c>
      <c r="G13" s="17">
        <v>297</v>
      </c>
      <c r="H13" t="s">
        <v>441</v>
      </c>
    </row>
    <row r="14" spans="1:8" x14ac:dyDescent="0.25">
      <c r="A14">
        <v>13</v>
      </c>
      <c r="B14">
        <v>233</v>
      </c>
      <c r="C14">
        <v>234</v>
      </c>
      <c r="D14" s="17">
        <v>10</v>
      </c>
      <c r="E14" s="17">
        <v>351</v>
      </c>
      <c r="F14" s="17">
        <v>355</v>
      </c>
      <c r="G14" s="17">
        <v>351</v>
      </c>
      <c r="H14" t="s">
        <v>442</v>
      </c>
    </row>
    <row r="15" spans="1:8" x14ac:dyDescent="0.25">
      <c r="A15">
        <v>14</v>
      </c>
      <c r="B15">
        <v>234</v>
      </c>
      <c r="C15">
        <v>235</v>
      </c>
      <c r="D15" s="17">
        <v>10</v>
      </c>
      <c r="E15" s="17">
        <v>816</v>
      </c>
      <c r="F15" s="17">
        <v>821</v>
      </c>
      <c r="G15" s="17">
        <v>816</v>
      </c>
      <c r="H15" t="s">
        <v>443</v>
      </c>
    </row>
    <row r="16" spans="1:8" x14ac:dyDescent="0.25">
      <c r="A16">
        <v>15</v>
      </c>
      <c r="B16">
        <v>235</v>
      </c>
      <c r="C16">
        <v>236</v>
      </c>
      <c r="D16" s="17">
        <v>10</v>
      </c>
      <c r="E16" s="17">
        <v>350</v>
      </c>
      <c r="F16" s="17">
        <v>361</v>
      </c>
      <c r="G16" s="17">
        <v>350</v>
      </c>
      <c r="H16" t="s">
        <v>444</v>
      </c>
    </row>
    <row r="17" spans="1:8" x14ac:dyDescent="0.25">
      <c r="A17">
        <v>16</v>
      </c>
      <c r="B17">
        <v>236</v>
      </c>
      <c r="C17">
        <v>237</v>
      </c>
      <c r="D17" s="17">
        <v>10</v>
      </c>
      <c r="E17" s="17">
        <v>354</v>
      </c>
      <c r="F17" s="17">
        <v>346</v>
      </c>
      <c r="G17" s="17">
        <v>346</v>
      </c>
      <c r="H17" t="s">
        <v>445</v>
      </c>
    </row>
    <row r="18" spans="1:8" x14ac:dyDescent="0.25">
      <c r="A18">
        <v>17</v>
      </c>
      <c r="B18">
        <v>237</v>
      </c>
      <c r="C18">
        <v>238</v>
      </c>
      <c r="D18" s="17">
        <v>10</v>
      </c>
      <c r="E18" s="17">
        <v>509</v>
      </c>
      <c r="F18" s="17">
        <v>519</v>
      </c>
      <c r="G18" s="17">
        <v>509</v>
      </c>
      <c r="H18" t="s">
        <v>446</v>
      </c>
    </row>
    <row r="19" spans="1:8" x14ac:dyDescent="0.25">
      <c r="A19">
        <v>18</v>
      </c>
      <c r="B19">
        <v>238</v>
      </c>
      <c r="C19">
        <v>239</v>
      </c>
      <c r="D19" s="17">
        <v>10</v>
      </c>
      <c r="E19" s="17">
        <v>374</v>
      </c>
      <c r="F19" s="17">
        <v>369</v>
      </c>
      <c r="G19" s="17">
        <v>369</v>
      </c>
      <c r="H19" t="s">
        <v>447</v>
      </c>
    </row>
    <row r="20" spans="1:8" x14ac:dyDescent="0.25">
      <c r="A20">
        <v>19</v>
      </c>
      <c r="B20">
        <v>239</v>
      </c>
      <c r="C20">
        <v>240</v>
      </c>
      <c r="D20" s="17">
        <v>10</v>
      </c>
      <c r="E20" s="17">
        <v>392</v>
      </c>
      <c r="F20" s="17">
        <v>386</v>
      </c>
      <c r="G20" s="17">
        <v>386</v>
      </c>
      <c r="H20" t="s">
        <v>448</v>
      </c>
    </row>
    <row r="21" spans="1:8" x14ac:dyDescent="0.25">
      <c r="A21">
        <v>20</v>
      </c>
      <c r="B21">
        <v>240</v>
      </c>
      <c r="C21">
        <v>241</v>
      </c>
      <c r="D21" s="17">
        <v>10</v>
      </c>
      <c r="E21" s="17">
        <v>499</v>
      </c>
      <c r="F21" s="17">
        <v>494</v>
      </c>
      <c r="G21" s="17">
        <v>494</v>
      </c>
      <c r="H21" t="s">
        <v>449</v>
      </c>
    </row>
    <row r="22" spans="1:8" x14ac:dyDescent="0.25">
      <c r="A22">
        <v>21</v>
      </c>
      <c r="B22">
        <v>241</v>
      </c>
      <c r="C22">
        <v>242</v>
      </c>
      <c r="D22" s="17">
        <v>10</v>
      </c>
      <c r="E22" s="17">
        <v>366</v>
      </c>
      <c r="F22" s="17">
        <v>379</v>
      </c>
      <c r="G22" s="17">
        <v>366</v>
      </c>
      <c r="H22" t="s">
        <v>450</v>
      </c>
    </row>
    <row r="23" spans="1:8" x14ac:dyDescent="0.25">
      <c r="A23">
        <v>22</v>
      </c>
      <c r="B23">
        <v>242</v>
      </c>
      <c r="C23">
        <v>243</v>
      </c>
      <c r="D23" s="17">
        <v>10</v>
      </c>
      <c r="E23" s="17">
        <v>571</v>
      </c>
      <c r="F23" s="17">
        <v>556</v>
      </c>
      <c r="G23" s="17">
        <v>556</v>
      </c>
      <c r="H23" t="s">
        <v>451</v>
      </c>
    </row>
    <row r="24" spans="1:8" x14ac:dyDescent="0.25">
      <c r="A24">
        <v>23</v>
      </c>
      <c r="B24">
        <v>243</v>
      </c>
      <c r="C24">
        <v>244</v>
      </c>
      <c r="D24" s="17">
        <v>10</v>
      </c>
      <c r="E24" s="17">
        <v>346</v>
      </c>
      <c r="F24" s="17">
        <v>360</v>
      </c>
      <c r="G24" s="17">
        <v>346</v>
      </c>
      <c r="H24" t="s">
        <v>452</v>
      </c>
    </row>
    <row r="25" spans="1:8" x14ac:dyDescent="0.25">
      <c r="A25">
        <v>24</v>
      </c>
      <c r="B25">
        <v>244</v>
      </c>
      <c r="C25">
        <v>245</v>
      </c>
      <c r="D25" s="17">
        <v>10</v>
      </c>
      <c r="E25" s="17">
        <v>1349</v>
      </c>
      <c r="F25" s="17">
        <v>1346</v>
      </c>
      <c r="G25" s="17">
        <v>1346</v>
      </c>
      <c r="H25" t="s">
        <v>453</v>
      </c>
    </row>
    <row r="26" spans="1:8" x14ac:dyDescent="0.25">
      <c r="A26">
        <v>25</v>
      </c>
      <c r="B26">
        <v>245</v>
      </c>
      <c r="C26">
        <v>246</v>
      </c>
      <c r="D26" s="17">
        <v>10</v>
      </c>
      <c r="E26" s="17">
        <v>370</v>
      </c>
      <c r="F26" s="17">
        <v>351</v>
      </c>
      <c r="G26" s="17">
        <v>351</v>
      </c>
      <c r="H26" t="s">
        <v>454</v>
      </c>
    </row>
    <row r="27" spans="1:8" x14ac:dyDescent="0.25">
      <c r="A27">
        <v>26</v>
      </c>
      <c r="B27">
        <v>246</v>
      </c>
      <c r="C27">
        <v>247</v>
      </c>
      <c r="D27" s="17">
        <v>10</v>
      </c>
      <c r="E27" s="17">
        <v>381</v>
      </c>
      <c r="F27" s="17">
        <v>392</v>
      </c>
      <c r="G27" s="17">
        <v>381</v>
      </c>
      <c r="H27" t="s">
        <v>455</v>
      </c>
    </row>
    <row r="28" spans="1:8" x14ac:dyDescent="0.25">
      <c r="A28">
        <v>27</v>
      </c>
      <c r="B28">
        <v>247</v>
      </c>
      <c r="C28">
        <v>248</v>
      </c>
      <c r="D28" s="17">
        <v>10</v>
      </c>
      <c r="E28" s="17">
        <v>376</v>
      </c>
      <c r="F28" s="17">
        <v>375</v>
      </c>
      <c r="G28" s="17">
        <v>375</v>
      </c>
      <c r="H28" t="s">
        <v>456</v>
      </c>
    </row>
    <row r="29" spans="1:8" x14ac:dyDescent="0.25">
      <c r="A29">
        <v>28</v>
      </c>
      <c r="B29">
        <v>248</v>
      </c>
      <c r="C29">
        <v>249</v>
      </c>
      <c r="D29" s="17">
        <v>10</v>
      </c>
      <c r="E29" s="17">
        <v>329</v>
      </c>
      <c r="F29" s="17">
        <v>339</v>
      </c>
      <c r="G29" s="17">
        <v>329</v>
      </c>
      <c r="H29" t="s">
        <v>457</v>
      </c>
    </row>
    <row r="30" spans="1:8" x14ac:dyDescent="0.25">
      <c r="A30">
        <v>29</v>
      </c>
      <c r="B30">
        <v>249</v>
      </c>
      <c r="C30">
        <v>250</v>
      </c>
      <c r="D30" s="17">
        <v>10</v>
      </c>
      <c r="E30" s="17">
        <v>1477</v>
      </c>
      <c r="F30" s="17">
        <v>1482</v>
      </c>
      <c r="G30" s="17">
        <v>1477</v>
      </c>
      <c r="H30" t="s">
        <v>458</v>
      </c>
    </row>
    <row r="31" spans="1:8" x14ac:dyDescent="0.25">
      <c r="A31">
        <v>30</v>
      </c>
      <c r="B31">
        <v>250</v>
      </c>
      <c r="C31">
        <v>251</v>
      </c>
      <c r="D31" s="17">
        <v>10</v>
      </c>
      <c r="E31" s="17">
        <v>410</v>
      </c>
      <c r="F31" s="17">
        <v>406</v>
      </c>
      <c r="G31" s="17">
        <v>406</v>
      </c>
      <c r="H31" t="s">
        <v>459</v>
      </c>
    </row>
    <row r="32" spans="1:8" x14ac:dyDescent="0.25">
      <c r="A32">
        <v>31</v>
      </c>
      <c r="B32">
        <v>251</v>
      </c>
      <c r="C32">
        <v>252</v>
      </c>
      <c r="D32" s="17">
        <v>10</v>
      </c>
      <c r="E32" s="17">
        <v>409</v>
      </c>
      <c r="F32" s="17">
        <v>404</v>
      </c>
      <c r="G32" s="17">
        <v>404</v>
      </c>
      <c r="H32" t="s">
        <v>460</v>
      </c>
    </row>
    <row r="33" spans="1:8" x14ac:dyDescent="0.25">
      <c r="A33">
        <v>32</v>
      </c>
      <c r="B33">
        <v>252</v>
      </c>
      <c r="C33">
        <v>253</v>
      </c>
      <c r="D33" s="17">
        <v>10</v>
      </c>
      <c r="E33" s="17">
        <v>392</v>
      </c>
      <c r="F33" s="17">
        <v>382</v>
      </c>
      <c r="G33" s="17">
        <v>382</v>
      </c>
      <c r="H33" t="s">
        <v>461</v>
      </c>
    </row>
    <row r="34" spans="1:8" x14ac:dyDescent="0.25">
      <c r="A34">
        <v>33</v>
      </c>
      <c r="B34">
        <v>253</v>
      </c>
      <c r="C34">
        <v>254</v>
      </c>
      <c r="D34" s="17">
        <v>10</v>
      </c>
      <c r="E34" s="17">
        <v>638</v>
      </c>
      <c r="F34" s="17">
        <v>646</v>
      </c>
      <c r="G34" s="17">
        <v>638</v>
      </c>
      <c r="H34" t="s">
        <v>462</v>
      </c>
    </row>
    <row r="35" spans="1:8" x14ac:dyDescent="0.25">
      <c r="A35">
        <v>34</v>
      </c>
      <c r="B35">
        <v>254</v>
      </c>
      <c r="C35">
        <v>255</v>
      </c>
      <c r="D35" s="17">
        <v>10</v>
      </c>
      <c r="E35" s="17">
        <v>392</v>
      </c>
      <c r="F35" s="17">
        <v>395</v>
      </c>
      <c r="G35" s="17">
        <v>392</v>
      </c>
      <c r="H35" t="s">
        <v>463</v>
      </c>
    </row>
    <row r="36" spans="1:8" x14ac:dyDescent="0.25">
      <c r="A36">
        <v>35</v>
      </c>
      <c r="B36">
        <v>255</v>
      </c>
      <c r="C36">
        <v>256</v>
      </c>
      <c r="D36" s="17">
        <v>10</v>
      </c>
      <c r="E36" s="17">
        <v>407</v>
      </c>
      <c r="F36" s="17">
        <v>423</v>
      </c>
      <c r="G36" s="17">
        <v>407</v>
      </c>
      <c r="H36" t="s">
        <v>464</v>
      </c>
    </row>
    <row r="37" spans="1:8" x14ac:dyDescent="0.25">
      <c r="A37">
        <v>36</v>
      </c>
      <c r="B37">
        <v>256</v>
      </c>
      <c r="C37">
        <v>257</v>
      </c>
      <c r="D37" s="17">
        <v>10</v>
      </c>
      <c r="E37" s="17">
        <v>379</v>
      </c>
      <c r="F37" s="17">
        <v>378</v>
      </c>
      <c r="G37" s="17">
        <v>378</v>
      </c>
      <c r="H37" t="s">
        <v>465</v>
      </c>
    </row>
    <row r="38" spans="1:8" x14ac:dyDescent="0.25">
      <c r="A38">
        <v>37</v>
      </c>
      <c r="B38">
        <v>257</v>
      </c>
      <c r="C38">
        <v>258</v>
      </c>
      <c r="D38" s="17">
        <v>10</v>
      </c>
      <c r="E38" s="17">
        <v>439</v>
      </c>
      <c r="F38" s="17">
        <v>458</v>
      </c>
      <c r="G38" s="17">
        <v>439</v>
      </c>
      <c r="H38" t="s">
        <v>466</v>
      </c>
    </row>
    <row r="39" spans="1:8" x14ac:dyDescent="0.25">
      <c r="A39">
        <v>38</v>
      </c>
      <c r="B39">
        <v>258</v>
      </c>
      <c r="C39">
        <v>259</v>
      </c>
      <c r="D39" s="17">
        <v>10</v>
      </c>
      <c r="E39" s="17">
        <v>360</v>
      </c>
      <c r="F39" s="17">
        <v>359</v>
      </c>
      <c r="G39" s="17">
        <v>359</v>
      </c>
      <c r="H39" t="s">
        <v>467</v>
      </c>
    </row>
    <row r="40" spans="1:8" x14ac:dyDescent="0.25">
      <c r="A40">
        <v>39</v>
      </c>
      <c r="B40">
        <v>259</v>
      </c>
      <c r="C40">
        <v>260</v>
      </c>
      <c r="D40" s="17">
        <v>10</v>
      </c>
      <c r="E40" s="17">
        <v>524</v>
      </c>
      <c r="F40" s="17">
        <v>561</v>
      </c>
      <c r="G40" s="17">
        <v>524</v>
      </c>
      <c r="H40" t="s">
        <v>468</v>
      </c>
    </row>
    <row r="41" spans="1:8" x14ac:dyDescent="0.25">
      <c r="A41">
        <v>40</v>
      </c>
      <c r="B41">
        <v>260</v>
      </c>
      <c r="C41">
        <v>261</v>
      </c>
      <c r="D41" s="17">
        <v>10</v>
      </c>
      <c r="E41" s="17">
        <v>378</v>
      </c>
      <c r="F41" s="17">
        <v>385</v>
      </c>
      <c r="G41" s="17">
        <v>378</v>
      </c>
      <c r="H41" t="s">
        <v>469</v>
      </c>
    </row>
    <row r="42" spans="1:8" x14ac:dyDescent="0.25">
      <c r="A42">
        <v>41</v>
      </c>
      <c r="B42">
        <v>261</v>
      </c>
      <c r="C42">
        <v>262</v>
      </c>
      <c r="D42" s="17">
        <v>10</v>
      </c>
      <c r="E42" s="17">
        <v>604</v>
      </c>
      <c r="F42" s="17">
        <v>601</v>
      </c>
      <c r="G42" s="17">
        <v>601</v>
      </c>
      <c r="H42" t="s">
        <v>470</v>
      </c>
    </row>
    <row r="43" spans="1:8" x14ac:dyDescent="0.25">
      <c r="A43">
        <v>42</v>
      </c>
      <c r="B43">
        <v>262</v>
      </c>
      <c r="C43">
        <v>263</v>
      </c>
      <c r="D43" s="17">
        <v>10</v>
      </c>
      <c r="E43" s="17">
        <v>415</v>
      </c>
      <c r="F43" s="17">
        <v>395</v>
      </c>
      <c r="G43" s="17">
        <v>395</v>
      </c>
      <c r="H43" t="s">
        <v>471</v>
      </c>
    </row>
    <row r="44" spans="1:8" x14ac:dyDescent="0.25">
      <c r="A44">
        <v>43</v>
      </c>
      <c r="B44">
        <v>263</v>
      </c>
      <c r="C44">
        <v>264</v>
      </c>
      <c r="D44" s="17">
        <v>10</v>
      </c>
      <c r="E44" s="17">
        <v>418</v>
      </c>
      <c r="F44" s="17">
        <v>406</v>
      </c>
      <c r="G44" s="17">
        <v>406</v>
      </c>
      <c r="H44" t="s">
        <v>472</v>
      </c>
    </row>
    <row r="45" spans="1:8" x14ac:dyDescent="0.25">
      <c r="A45">
        <v>44</v>
      </c>
      <c r="B45">
        <v>264</v>
      </c>
      <c r="C45">
        <v>265</v>
      </c>
      <c r="D45" s="17">
        <v>10</v>
      </c>
      <c r="E45" s="17">
        <v>373</v>
      </c>
      <c r="F45" s="17">
        <v>358</v>
      </c>
      <c r="G45" s="17">
        <v>358</v>
      </c>
      <c r="H45" t="s">
        <v>473</v>
      </c>
    </row>
    <row r="46" spans="1:8" x14ac:dyDescent="0.25">
      <c r="A46">
        <v>45</v>
      </c>
      <c r="B46">
        <v>265</v>
      </c>
      <c r="C46">
        <v>266</v>
      </c>
      <c r="D46" s="17">
        <v>10</v>
      </c>
      <c r="E46" s="17">
        <v>472</v>
      </c>
      <c r="F46" s="17">
        <v>471</v>
      </c>
      <c r="G46" s="17">
        <v>471</v>
      </c>
      <c r="H46" t="s">
        <v>474</v>
      </c>
    </row>
    <row r="47" spans="1:8" x14ac:dyDescent="0.25">
      <c r="A47">
        <v>46</v>
      </c>
      <c r="B47">
        <v>266</v>
      </c>
      <c r="C47">
        <v>267</v>
      </c>
      <c r="D47" s="17">
        <v>10</v>
      </c>
      <c r="E47" s="17">
        <v>401</v>
      </c>
      <c r="F47" s="17">
        <v>414</v>
      </c>
      <c r="G47" s="17">
        <v>401</v>
      </c>
      <c r="H47" t="s">
        <v>475</v>
      </c>
    </row>
    <row r="48" spans="1:8" x14ac:dyDescent="0.25">
      <c r="A48">
        <v>47</v>
      </c>
      <c r="B48">
        <v>267</v>
      </c>
      <c r="C48">
        <v>268</v>
      </c>
      <c r="D48" s="17">
        <v>10</v>
      </c>
      <c r="E48" s="17">
        <v>381</v>
      </c>
      <c r="F48" s="17">
        <v>390</v>
      </c>
      <c r="G48" s="17">
        <v>381</v>
      </c>
      <c r="H48" t="s">
        <v>476</v>
      </c>
    </row>
    <row r="49" spans="1:8" x14ac:dyDescent="0.25">
      <c r="A49">
        <v>48</v>
      </c>
      <c r="B49">
        <v>268</v>
      </c>
      <c r="C49">
        <v>269</v>
      </c>
      <c r="D49" s="17">
        <v>10</v>
      </c>
      <c r="E49" s="17">
        <v>470</v>
      </c>
      <c r="F49" s="17">
        <v>462</v>
      </c>
      <c r="G49" s="17">
        <v>462</v>
      </c>
      <c r="H49" t="s">
        <v>477</v>
      </c>
    </row>
    <row r="50" spans="1:8" x14ac:dyDescent="0.25">
      <c r="A50">
        <v>49</v>
      </c>
      <c r="B50">
        <v>269</v>
      </c>
      <c r="C50">
        <v>270</v>
      </c>
      <c r="D50" s="17">
        <v>10</v>
      </c>
      <c r="E50" s="17">
        <v>332</v>
      </c>
      <c r="F50" s="17">
        <v>356</v>
      </c>
      <c r="G50" s="17">
        <v>332</v>
      </c>
      <c r="H50" t="s">
        <v>478</v>
      </c>
    </row>
    <row r="51" spans="1:8" x14ac:dyDescent="0.25">
      <c r="A51">
        <v>50</v>
      </c>
      <c r="B51">
        <v>270</v>
      </c>
      <c r="C51">
        <v>271</v>
      </c>
      <c r="D51" s="17">
        <v>10</v>
      </c>
      <c r="E51" s="17">
        <v>450</v>
      </c>
      <c r="F51" s="17">
        <v>477</v>
      </c>
      <c r="G51" s="17">
        <v>450</v>
      </c>
      <c r="H51" t="s">
        <v>479</v>
      </c>
    </row>
    <row r="52" spans="1:8" x14ac:dyDescent="0.25">
      <c r="A52">
        <v>51</v>
      </c>
      <c r="B52">
        <v>271</v>
      </c>
      <c r="C52">
        <v>272</v>
      </c>
      <c r="D52" s="17">
        <v>10</v>
      </c>
      <c r="E52" s="17">
        <v>1013</v>
      </c>
      <c r="F52" s="17">
        <v>1029</v>
      </c>
      <c r="G52" s="17">
        <v>1013</v>
      </c>
      <c r="H52" t="s">
        <v>480</v>
      </c>
    </row>
    <row r="53" spans="1:8" x14ac:dyDescent="0.25">
      <c r="A53">
        <v>52</v>
      </c>
      <c r="B53">
        <v>272</v>
      </c>
      <c r="C53">
        <v>273</v>
      </c>
      <c r="D53" s="17">
        <v>10</v>
      </c>
      <c r="E53" s="17">
        <v>423</v>
      </c>
      <c r="F53" s="17">
        <v>434</v>
      </c>
      <c r="G53" s="17">
        <v>423</v>
      </c>
      <c r="H53" t="s">
        <v>481</v>
      </c>
    </row>
    <row r="54" spans="1:8" x14ac:dyDescent="0.25">
      <c r="A54">
        <v>53</v>
      </c>
      <c r="B54">
        <v>273</v>
      </c>
      <c r="C54">
        <v>274</v>
      </c>
      <c r="D54" s="17">
        <v>10</v>
      </c>
      <c r="E54" s="17">
        <v>400</v>
      </c>
      <c r="F54" s="17">
        <v>435</v>
      </c>
      <c r="G54" s="17">
        <v>400</v>
      </c>
      <c r="H54" t="s">
        <v>482</v>
      </c>
    </row>
    <row r="55" spans="1:8" x14ac:dyDescent="0.25">
      <c r="A55">
        <v>54</v>
      </c>
      <c r="B55">
        <v>274</v>
      </c>
      <c r="C55">
        <v>275</v>
      </c>
      <c r="D55" s="17">
        <v>10</v>
      </c>
      <c r="E55" s="17">
        <v>2390</v>
      </c>
      <c r="F55" s="17">
        <v>2408</v>
      </c>
      <c r="G55" s="17">
        <v>2390</v>
      </c>
      <c r="H55" t="s">
        <v>483</v>
      </c>
    </row>
    <row r="56" spans="1:8" x14ac:dyDescent="0.25">
      <c r="A56">
        <v>55</v>
      </c>
      <c r="B56">
        <v>275</v>
      </c>
      <c r="C56">
        <v>276</v>
      </c>
      <c r="D56" s="17">
        <v>10</v>
      </c>
      <c r="E56" s="17">
        <v>442</v>
      </c>
      <c r="F56" s="17">
        <v>429</v>
      </c>
      <c r="G56" s="17">
        <v>429</v>
      </c>
      <c r="H56" t="s">
        <v>484</v>
      </c>
    </row>
    <row r="57" spans="1:8" x14ac:dyDescent="0.25">
      <c r="A57">
        <v>56</v>
      </c>
      <c r="B57">
        <v>276</v>
      </c>
      <c r="C57">
        <v>277</v>
      </c>
      <c r="D57" s="17">
        <v>10</v>
      </c>
      <c r="E57" s="17">
        <v>480</v>
      </c>
      <c r="F57" s="17">
        <v>460</v>
      </c>
      <c r="G57" s="17">
        <v>460</v>
      </c>
      <c r="H57" t="s">
        <v>485</v>
      </c>
    </row>
    <row r="58" spans="1:8" x14ac:dyDescent="0.25">
      <c r="A58">
        <v>57</v>
      </c>
      <c r="B58">
        <v>277</v>
      </c>
      <c r="C58">
        <v>278</v>
      </c>
      <c r="D58" s="17">
        <v>10</v>
      </c>
      <c r="E58" s="17">
        <v>418</v>
      </c>
      <c r="F58" s="17">
        <v>410</v>
      </c>
      <c r="G58" s="17">
        <v>410</v>
      </c>
      <c r="H58" t="s">
        <v>486</v>
      </c>
    </row>
    <row r="59" spans="1:8" x14ac:dyDescent="0.25">
      <c r="A59">
        <v>58</v>
      </c>
      <c r="B59">
        <v>278</v>
      </c>
      <c r="C59">
        <v>279</v>
      </c>
      <c r="D59" s="17">
        <v>10</v>
      </c>
      <c r="E59" s="17">
        <v>390</v>
      </c>
      <c r="F59" s="17">
        <v>388</v>
      </c>
      <c r="G59" s="17">
        <v>388</v>
      </c>
      <c r="H59" t="s">
        <v>487</v>
      </c>
    </row>
    <row r="60" spans="1:8" x14ac:dyDescent="0.25">
      <c r="A60">
        <v>59</v>
      </c>
      <c r="B60">
        <v>279</v>
      </c>
      <c r="C60">
        <v>280</v>
      </c>
      <c r="D60" s="17">
        <v>10</v>
      </c>
      <c r="E60" s="17">
        <v>439</v>
      </c>
      <c r="F60" s="17">
        <v>409</v>
      </c>
      <c r="G60" s="17">
        <v>409</v>
      </c>
      <c r="H60" t="s">
        <v>488</v>
      </c>
    </row>
    <row r="61" spans="1:8" x14ac:dyDescent="0.25">
      <c r="A61">
        <v>60</v>
      </c>
      <c r="B61">
        <v>280</v>
      </c>
      <c r="C61">
        <v>281</v>
      </c>
      <c r="D61" s="17">
        <v>10</v>
      </c>
      <c r="E61" s="17">
        <v>629</v>
      </c>
      <c r="F61" s="17">
        <v>617</v>
      </c>
      <c r="G61" s="17">
        <v>617</v>
      </c>
      <c r="H61" t="s">
        <v>489</v>
      </c>
    </row>
    <row r="62" spans="1:8" x14ac:dyDescent="0.25">
      <c r="A62">
        <v>61</v>
      </c>
      <c r="B62">
        <v>281</v>
      </c>
      <c r="C62">
        <v>282</v>
      </c>
      <c r="D62" s="17">
        <v>10</v>
      </c>
      <c r="E62" s="17">
        <v>455</v>
      </c>
      <c r="F62" s="17">
        <v>444</v>
      </c>
      <c r="G62" s="17">
        <v>444</v>
      </c>
      <c r="H62" t="s">
        <v>490</v>
      </c>
    </row>
    <row r="63" spans="1:8" x14ac:dyDescent="0.25">
      <c r="A63">
        <v>62</v>
      </c>
      <c r="B63">
        <v>282</v>
      </c>
      <c r="C63">
        <v>283</v>
      </c>
      <c r="D63" s="17">
        <v>10</v>
      </c>
      <c r="E63" s="17">
        <v>478</v>
      </c>
      <c r="F63" s="17">
        <v>467</v>
      </c>
      <c r="G63" s="17">
        <v>467</v>
      </c>
      <c r="H63" t="s">
        <v>491</v>
      </c>
    </row>
    <row r="64" spans="1:8" x14ac:dyDescent="0.25">
      <c r="A64">
        <v>63</v>
      </c>
      <c r="B64">
        <v>283</v>
      </c>
      <c r="C64">
        <v>284</v>
      </c>
      <c r="D64" s="17">
        <v>10</v>
      </c>
      <c r="E64" s="17">
        <v>524</v>
      </c>
      <c r="F64" s="17">
        <v>509</v>
      </c>
      <c r="G64" s="17">
        <v>509</v>
      </c>
      <c r="H64" t="s">
        <v>492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C39-E3AC-495A-9209-C0876C467A69}">
  <dimension ref="A1:N72"/>
  <sheetViews>
    <sheetView zoomScaleNormal="100" workbookViewId="0">
      <pane ySplit="4" topLeftCell="A5" activePane="bottomLeft" state="frozen"/>
      <selection pane="bottomLeft" activeCell="E4" sqref="E4:L4"/>
    </sheetView>
  </sheetViews>
  <sheetFormatPr baseColWidth="10" defaultColWidth="8.7109375" defaultRowHeight="15" x14ac:dyDescent="0.25"/>
  <cols>
    <col min="1" max="1" width="12" customWidth="1"/>
    <col min="2" max="2" width="11" customWidth="1"/>
    <col min="3" max="3" width="15" customWidth="1"/>
    <col min="4" max="4" width="58" customWidth="1"/>
    <col min="5" max="5" width="11" customWidth="1"/>
    <col min="6" max="6" width="8" customWidth="1"/>
    <col min="7" max="8" width="11" customWidth="1"/>
    <col min="9" max="10" width="13" customWidth="1"/>
    <col min="11" max="12" width="12" customWidth="1"/>
    <col min="13" max="13" width="17" customWidth="1"/>
    <col min="14" max="14" width="46" customWidth="1"/>
  </cols>
  <sheetData>
    <row r="1" spans="1:14" ht="18.75" x14ac:dyDescent="0.3">
      <c r="A1" s="3" t="s">
        <v>214</v>
      </c>
    </row>
    <row r="2" spans="1:14" x14ac:dyDescent="0.25">
      <c r="A2" s="4" t="s">
        <v>215</v>
      </c>
    </row>
    <row r="4" spans="1:14" ht="31.9" customHeight="1" x14ac:dyDescent="0.25">
      <c r="A4" s="5" t="s">
        <v>216</v>
      </c>
      <c r="B4" s="5" t="s">
        <v>217</v>
      </c>
      <c r="C4" s="5" t="s">
        <v>218</v>
      </c>
      <c r="D4" s="5" t="s">
        <v>219</v>
      </c>
      <c r="E4" s="5" t="s">
        <v>220</v>
      </c>
      <c r="F4" s="5" t="s">
        <v>221</v>
      </c>
      <c r="G4" s="5" t="s">
        <v>222</v>
      </c>
      <c r="H4" s="5" t="s">
        <v>223</v>
      </c>
      <c r="I4" s="5" t="s">
        <v>224</v>
      </c>
      <c r="J4" s="5" t="s">
        <v>225</v>
      </c>
      <c r="K4" s="5" t="s">
        <v>226</v>
      </c>
      <c r="L4" s="5" t="s">
        <v>227</v>
      </c>
      <c r="M4" s="5" t="s">
        <v>228</v>
      </c>
      <c r="N4" s="5" t="s">
        <v>229</v>
      </c>
    </row>
    <row r="5" spans="1:14" x14ac:dyDescent="0.25">
      <c r="A5" s="6" t="s">
        <v>230</v>
      </c>
      <c r="B5" s="6" t="s">
        <v>231</v>
      </c>
      <c r="C5" s="6" t="s">
        <v>232</v>
      </c>
      <c r="D5" s="6" t="s">
        <v>233</v>
      </c>
      <c r="E5" s="7"/>
      <c r="F5" s="7"/>
      <c r="G5" s="7"/>
      <c r="H5" s="7"/>
      <c r="I5" s="7"/>
      <c r="J5" s="7"/>
      <c r="K5" s="7"/>
      <c r="L5" s="7"/>
      <c r="M5" s="6" t="s">
        <v>33</v>
      </c>
      <c r="N5" s="6" t="s">
        <v>234</v>
      </c>
    </row>
    <row r="6" spans="1:14" ht="45" x14ac:dyDescent="0.25">
      <c r="A6" s="6" t="s">
        <v>235</v>
      </c>
      <c r="B6" s="6" t="s">
        <v>236</v>
      </c>
      <c r="C6" s="6"/>
      <c r="D6" s="6" t="s">
        <v>237</v>
      </c>
      <c r="E6" s="7" t="s">
        <v>238</v>
      </c>
      <c r="F6" s="7"/>
      <c r="G6" s="7"/>
      <c r="H6" s="7"/>
      <c r="I6" s="7"/>
      <c r="J6" s="7"/>
      <c r="K6" s="7"/>
      <c r="L6" s="7"/>
      <c r="M6" s="8" t="s">
        <v>239</v>
      </c>
      <c r="N6" s="6" t="s">
        <v>240</v>
      </c>
    </row>
    <row r="7" spans="1:14" ht="30" x14ac:dyDescent="0.25">
      <c r="A7" s="6" t="s">
        <v>241</v>
      </c>
      <c r="B7" s="6" t="s">
        <v>242</v>
      </c>
      <c r="C7" s="6"/>
      <c r="D7" s="6" t="s">
        <v>243</v>
      </c>
      <c r="E7" s="7"/>
      <c r="F7" s="7"/>
      <c r="G7" s="7"/>
      <c r="H7" s="7" t="s">
        <v>238</v>
      </c>
      <c r="I7" s="7" t="s">
        <v>238</v>
      </c>
      <c r="J7" s="7"/>
      <c r="K7" s="7"/>
      <c r="L7" s="7" t="s">
        <v>238</v>
      </c>
      <c r="M7" s="6" t="s">
        <v>33</v>
      </c>
      <c r="N7" s="6" t="s">
        <v>244</v>
      </c>
    </row>
    <row r="8" spans="1:14" x14ac:dyDescent="0.25">
      <c r="A8" s="6" t="s">
        <v>245</v>
      </c>
      <c r="B8" s="6" t="s">
        <v>246</v>
      </c>
      <c r="C8" s="6"/>
      <c r="D8" s="6" t="s">
        <v>247</v>
      </c>
      <c r="E8" s="7"/>
      <c r="F8" s="7"/>
      <c r="G8" s="7"/>
      <c r="H8" s="7"/>
      <c r="I8" s="7" t="s">
        <v>238</v>
      </c>
      <c r="J8" s="7"/>
      <c r="K8" s="7"/>
      <c r="L8" s="7"/>
      <c r="M8" s="6" t="s">
        <v>33</v>
      </c>
      <c r="N8" s="6" t="s">
        <v>248</v>
      </c>
    </row>
    <row r="9" spans="1:14" x14ac:dyDescent="0.25">
      <c r="A9" s="6" t="s">
        <v>249</v>
      </c>
      <c r="B9" s="6" t="s">
        <v>250</v>
      </c>
      <c r="C9" s="6"/>
      <c r="D9" s="6" t="s">
        <v>251</v>
      </c>
      <c r="E9" s="7"/>
      <c r="F9" s="7" t="s">
        <v>238</v>
      </c>
      <c r="G9" s="7"/>
      <c r="H9" s="7" t="s">
        <v>238</v>
      </c>
      <c r="I9" s="7"/>
      <c r="J9" s="7"/>
      <c r="K9" s="7"/>
      <c r="L9" s="7"/>
      <c r="M9" s="6" t="s">
        <v>33</v>
      </c>
      <c r="N9" s="6" t="s">
        <v>252</v>
      </c>
    </row>
    <row r="10" spans="1:14" ht="30" x14ac:dyDescent="0.25">
      <c r="A10" s="6" t="s">
        <v>253</v>
      </c>
      <c r="B10" s="6" t="s">
        <v>254</v>
      </c>
      <c r="C10" s="6"/>
      <c r="D10" s="6" t="s">
        <v>255</v>
      </c>
      <c r="E10" s="7" t="s">
        <v>238</v>
      </c>
      <c r="F10" s="7" t="s">
        <v>238</v>
      </c>
      <c r="G10" s="7"/>
      <c r="H10" s="7"/>
      <c r="I10" s="7"/>
      <c r="J10" s="7"/>
      <c r="K10" s="7"/>
      <c r="L10" s="7" t="s">
        <v>238</v>
      </c>
      <c r="M10" s="6" t="s">
        <v>256</v>
      </c>
      <c r="N10" s="6" t="s">
        <v>257</v>
      </c>
    </row>
    <row r="11" spans="1:14" x14ac:dyDescent="0.25">
      <c r="A11" s="6" t="s">
        <v>258</v>
      </c>
      <c r="B11" s="6" t="s">
        <v>259</v>
      </c>
      <c r="C11" s="6"/>
      <c r="D11" s="6" t="s">
        <v>260</v>
      </c>
      <c r="E11" s="7"/>
      <c r="F11" s="7" t="s">
        <v>238</v>
      </c>
      <c r="G11" s="7"/>
      <c r="H11" s="7" t="s">
        <v>238</v>
      </c>
      <c r="I11" s="7"/>
      <c r="J11" s="7"/>
      <c r="K11" s="7"/>
      <c r="L11" s="7" t="s">
        <v>238</v>
      </c>
      <c r="M11" s="6" t="s">
        <v>33</v>
      </c>
      <c r="N11" s="6" t="s">
        <v>252</v>
      </c>
    </row>
    <row r="12" spans="1:14" ht="30" x14ac:dyDescent="0.25">
      <c r="A12" s="6" t="s">
        <v>261</v>
      </c>
      <c r="B12" s="6" t="s">
        <v>262</v>
      </c>
      <c r="C12" s="6"/>
      <c r="D12" s="6" t="s">
        <v>263</v>
      </c>
      <c r="E12" s="7"/>
      <c r="F12" s="7"/>
      <c r="G12" s="7"/>
      <c r="H12" s="7" t="s">
        <v>238</v>
      </c>
      <c r="I12" s="7"/>
      <c r="J12" s="7"/>
      <c r="K12" s="7"/>
      <c r="L12" s="7"/>
      <c r="M12" s="6" t="s">
        <v>33</v>
      </c>
      <c r="N12" s="6" t="s">
        <v>244</v>
      </c>
    </row>
    <row r="13" spans="1:14" ht="30" x14ac:dyDescent="0.25">
      <c r="A13" s="6" t="s">
        <v>264</v>
      </c>
      <c r="B13" s="6" t="s">
        <v>265</v>
      </c>
      <c r="C13" s="6"/>
      <c r="D13" s="6" t="s">
        <v>263</v>
      </c>
      <c r="E13" s="7"/>
      <c r="F13" s="7"/>
      <c r="G13" s="7"/>
      <c r="H13" s="7" t="s">
        <v>238</v>
      </c>
      <c r="I13" s="7"/>
      <c r="J13" s="7"/>
      <c r="K13" s="7"/>
      <c r="L13" s="7"/>
      <c r="M13" s="6" t="s">
        <v>33</v>
      </c>
      <c r="N13" s="6" t="s">
        <v>244</v>
      </c>
    </row>
    <row r="14" spans="1:14" x14ac:dyDescent="0.25">
      <c r="A14" s="6" t="s">
        <v>266</v>
      </c>
      <c r="B14" s="6" t="s">
        <v>267</v>
      </c>
      <c r="C14" s="6"/>
      <c r="D14" s="6" t="s">
        <v>268</v>
      </c>
      <c r="E14" s="7"/>
      <c r="F14" s="7" t="s">
        <v>238</v>
      </c>
      <c r="G14" s="7"/>
      <c r="H14" s="7" t="s">
        <v>238</v>
      </c>
      <c r="I14" s="7"/>
      <c r="J14" s="7" t="s">
        <v>238</v>
      </c>
      <c r="K14" s="7"/>
      <c r="L14" s="7"/>
      <c r="M14" s="6" t="s">
        <v>33</v>
      </c>
      <c r="N14" s="6" t="s">
        <v>252</v>
      </c>
    </row>
    <row r="15" spans="1:14" x14ac:dyDescent="0.25">
      <c r="A15" s="6" t="s">
        <v>269</v>
      </c>
      <c r="B15" s="6" t="s">
        <v>270</v>
      </c>
      <c r="C15" s="6"/>
      <c r="D15" s="6" t="s">
        <v>271</v>
      </c>
      <c r="E15" s="7"/>
      <c r="F15" s="7"/>
      <c r="G15" s="7"/>
      <c r="H15" s="7"/>
      <c r="I15" s="7" t="s">
        <v>238</v>
      </c>
      <c r="J15" s="7"/>
      <c r="K15" s="7"/>
      <c r="L15" s="7"/>
      <c r="M15" s="6" t="s">
        <v>33</v>
      </c>
      <c r="N15" s="6" t="s">
        <v>248</v>
      </c>
    </row>
    <row r="16" spans="1:14" x14ac:dyDescent="0.25">
      <c r="A16" s="6" t="s">
        <v>272</v>
      </c>
      <c r="B16" s="6" t="s">
        <v>144</v>
      </c>
      <c r="C16" s="6"/>
      <c r="D16" s="6" t="s">
        <v>273</v>
      </c>
      <c r="E16" s="7"/>
      <c r="F16" s="7" t="s">
        <v>238</v>
      </c>
      <c r="G16" s="7"/>
      <c r="H16" s="7" t="s">
        <v>238</v>
      </c>
      <c r="I16" s="7" t="s">
        <v>238</v>
      </c>
      <c r="J16" s="7"/>
      <c r="K16" s="7"/>
      <c r="L16" s="7"/>
      <c r="M16" s="6" t="s">
        <v>33</v>
      </c>
      <c r="N16" s="6" t="s">
        <v>252</v>
      </c>
    </row>
    <row r="17" spans="1:14" x14ac:dyDescent="0.25">
      <c r="A17" s="6" t="s">
        <v>274</v>
      </c>
      <c r="B17" s="6" t="s">
        <v>275</v>
      </c>
      <c r="C17" s="6"/>
      <c r="D17" s="6" t="s">
        <v>276</v>
      </c>
      <c r="E17" s="7"/>
      <c r="F17" s="7"/>
      <c r="G17" s="7"/>
      <c r="H17" s="7"/>
      <c r="I17" s="7"/>
      <c r="J17" s="7"/>
      <c r="K17" s="7"/>
      <c r="L17" s="7" t="s">
        <v>238</v>
      </c>
      <c r="M17" s="6" t="s">
        <v>33</v>
      </c>
      <c r="N17" s="6" t="s">
        <v>248</v>
      </c>
    </row>
    <row r="18" spans="1:14" x14ac:dyDescent="0.25">
      <c r="A18" s="6" t="s">
        <v>277</v>
      </c>
      <c r="B18" s="6" t="s">
        <v>45</v>
      </c>
      <c r="C18" s="6"/>
      <c r="D18" s="6" t="s">
        <v>278</v>
      </c>
      <c r="E18" s="7"/>
      <c r="F18" s="7"/>
      <c r="G18" s="7"/>
      <c r="H18" s="7"/>
      <c r="I18" s="7"/>
      <c r="J18" s="7" t="s">
        <v>238</v>
      </c>
      <c r="K18" s="7"/>
      <c r="L18" s="7"/>
      <c r="M18" s="6" t="s">
        <v>33</v>
      </c>
      <c r="N18" s="6" t="s">
        <v>248</v>
      </c>
    </row>
    <row r="19" spans="1:14" ht="45" x14ac:dyDescent="0.25">
      <c r="A19" s="6" t="s">
        <v>279</v>
      </c>
      <c r="B19" s="6" t="s">
        <v>280</v>
      </c>
      <c r="C19" s="6"/>
      <c r="D19" s="6" t="s">
        <v>281</v>
      </c>
      <c r="E19" s="7" t="s">
        <v>238</v>
      </c>
      <c r="F19" s="7" t="s">
        <v>238</v>
      </c>
      <c r="G19" s="7"/>
      <c r="H19" s="7"/>
      <c r="I19" s="7" t="s">
        <v>238</v>
      </c>
      <c r="J19" s="7" t="s">
        <v>238</v>
      </c>
      <c r="K19" s="7"/>
      <c r="L19" s="7" t="s">
        <v>238</v>
      </c>
      <c r="M19" s="8" t="s">
        <v>239</v>
      </c>
      <c r="N19" s="6" t="s">
        <v>240</v>
      </c>
    </row>
    <row r="20" spans="1:14" x14ac:dyDescent="0.25">
      <c r="A20" s="6" t="s">
        <v>282</v>
      </c>
      <c r="B20" s="6" t="s">
        <v>283</v>
      </c>
      <c r="C20" s="6"/>
      <c r="D20" s="6" t="s">
        <v>284</v>
      </c>
      <c r="E20" s="7"/>
      <c r="F20" s="7" t="s">
        <v>238</v>
      </c>
      <c r="G20" s="7"/>
      <c r="H20" s="7"/>
      <c r="I20" s="7"/>
      <c r="J20" s="7"/>
      <c r="K20" s="7"/>
      <c r="L20" s="7"/>
      <c r="M20" s="6" t="s">
        <v>33</v>
      </c>
      <c r="N20" s="6" t="s">
        <v>252</v>
      </c>
    </row>
    <row r="21" spans="1:14" ht="30" x14ac:dyDescent="0.25">
      <c r="A21" s="6" t="s">
        <v>285</v>
      </c>
      <c r="B21" s="6" t="s">
        <v>286</v>
      </c>
      <c r="C21" s="6" t="s">
        <v>287</v>
      </c>
      <c r="D21" s="6" t="s">
        <v>288</v>
      </c>
      <c r="E21" s="7" t="s">
        <v>238</v>
      </c>
      <c r="F21" s="7" t="s">
        <v>238</v>
      </c>
      <c r="G21" s="7"/>
      <c r="H21" s="7"/>
      <c r="I21" s="7"/>
      <c r="J21" s="7"/>
      <c r="K21" s="7"/>
      <c r="L21" s="7" t="s">
        <v>238</v>
      </c>
      <c r="M21" s="6" t="s">
        <v>256</v>
      </c>
      <c r="N21" s="6" t="s">
        <v>257</v>
      </c>
    </row>
    <row r="22" spans="1:14" x14ac:dyDescent="0.25">
      <c r="A22" s="6" t="s">
        <v>289</v>
      </c>
      <c r="B22" s="6" t="s">
        <v>290</v>
      </c>
      <c r="C22" s="6"/>
      <c r="D22" s="6" t="s">
        <v>291</v>
      </c>
      <c r="E22" s="7"/>
      <c r="F22" s="7" t="s">
        <v>238</v>
      </c>
      <c r="G22" s="7"/>
      <c r="H22" s="7"/>
      <c r="I22" s="7"/>
      <c r="J22" s="7" t="s">
        <v>238</v>
      </c>
      <c r="K22" s="7"/>
      <c r="L22" s="7"/>
      <c r="M22" s="6" t="s">
        <v>33</v>
      </c>
      <c r="N22" s="6" t="s">
        <v>252</v>
      </c>
    </row>
    <row r="23" spans="1:14" x14ac:dyDescent="0.25">
      <c r="A23" s="6" t="s">
        <v>292</v>
      </c>
      <c r="B23" s="6" t="s">
        <v>293</v>
      </c>
      <c r="C23" s="6"/>
      <c r="D23" s="6" t="s">
        <v>294</v>
      </c>
      <c r="E23" s="7"/>
      <c r="F23" s="7" t="s">
        <v>238</v>
      </c>
      <c r="G23" s="7"/>
      <c r="H23" s="7"/>
      <c r="I23" s="7"/>
      <c r="J23" s="7"/>
      <c r="K23" s="7"/>
      <c r="L23" s="7" t="s">
        <v>238</v>
      </c>
      <c r="M23" s="6" t="s">
        <v>33</v>
      </c>
      <c r="N23" s="6" t="s">
        <v>252</v>
      </c>
    </row>
    <row r="24" spans="1:14" x14ac:dyDescent="0.25">
      <c r="A24" s="6" t="s">
        <v>295</v>
      </c>
      <c r="B24" s="6" t="s">
        <v>296</v>
      </c>
      <c r="C24" s="6" t="s">
        <v>297</v>
      </c>
      <c r="D24" s="6" t="s">
        <v>298</v>
      </c>
      <c r="E24" s="7"/>
      <c r="F24" s="7"/>
      <c r="G24" s="7"/>
      <c r="H24" s="7"/>
      <c r="I24" s="7" t="s">
        <v>238</v>
      </c>
      <c r="J24" s="7" t="s">
        <v>238</v>
      </c>
      <c r="K24" s="9" t="s">
        <v>238</v>
      </c>
      <c r="L24" s="7"/>
      <c r="M24" s="6" t="s">
        <v>33</v>
      </c>
      <c r="N24" s="6" t="s">
        <v>248</v>
      </c>
    </row>
    <row r="25" spans="1:14" ht="30" x14ac:dyDescent="0.25">
      <c r="A25" s="6" t="s">
        <v>299</v>
      </c>
      <c r="B25" s="6" t="s">
        <v>300</v>
      </c>
      <c r="C25" s="6"/>
      <c r="D25" s="6" t="s">
        <v>263</v>
      </c>
      <c r="E25" s="7"/>
      <c r="F25" s="7"/>
      <c r="G25" s="7"/>
      <c r="H25" s="7" t="s">
        <v>238</v>
      </c>
      <c r="I25" s="7"/>
      <c r="J25" s="7"/>
      <c r="K25" s="7"/>
      <c r="L25" s="7"/>
      <c r="M25" s="6" t="s">
        <v>33</v>
      </c>
      <c r="N25" s="6" t="s">
        <v>244</v>
      </c>
    </row>
    <row r="26" spans="1:14" x14ac:dyDescent="0.25">
      <c r="A26" s="6" t="s">
        <v>301</v>
      </c>
      <c r="B26" s="6" t="s">
        <v>302</v>
      </c>
      <c r="C26" s="6" t="s">
        <v>303</v>
      </c>
      <c r="D26" s="6" t="s">
        <v>304</v>
      </c>
      <c r="E26" s="7"/>
      <c r="F26" s="7"/>
      <c r="G26" s="7"/>
      <c r="H26" s="7"/>
      <c r="I26" s="7"/>
      <c r="J26" s="7"/>
      <c r="K26" s="7"/>
      <c r="L26" s="7" t="s">
        <v>238</v>
      </c>
      <c r="M26" s="6" t="s">
        <v>33</v>
      </c>
      <c r="N26" s="6" t="s">
        <v>248</v>
      </c>
    </row>
    <row r="27" spans="1:14" x14ac:dyDescent="0.25">
      <c r="A27" s="6" t="s">
        <v>305</v>
      </c>
      <c r="B27" s="6" t="s">
        <v>306</v>
      </c>
      <c r="C27" s="6"/>
      <c r="D27" s="6" t="s">
        <v>307</v>
      </c>
      <c r="E27" s="7"/>
      <c r="F27" s="7"/>
      <c r="G27" s="7" t="s">
        <v>238</v>
      </c>
      <c r="H27" s="7"/>
      <c r="I27" s="7"/>
      <c r="J27" s="7" t="s">
        <v>238</v>
      </c>
      <c r="K27" s="7"/>
      <c r="L27" s="7"/>
      <c r="M27" s="6" t="s">
        <v>33</v>
      </c>
      <c r="N27" s="6" t="s">
        <v>252</v>
      </c>
    </row>
    <row r="28" spans="1:14" ht="45" x14ac:dyDescent="0.25">
      <c r="A28" s="6" t="s">
        <v>308</v>
      </c>
      <c r="B28" s="6" t="s">
        <v>309</v>
      </c>
      <c r="C28" s="6"/>
      <c r="D28" s="6" t="s">
        <v>310</v>
      </c>
      <c r="E28" s="7" t="s">
        <v>238</v>
      </c>
      <c r="F28" s="7"/>
      <c r="G28" s="7"/>
      <c r="H28" s="7"/>
      <c r="I28" s="7"/>
      <c r="J28" s="7" t="s">
        <v>238</v>
      </c>
      <c r="K28" s="7"/>
      <c r="L28" s="7"/>
      <c r="M28" s="8" t="s">
        <v>239</v>
      </c>
      <c r="N28" s="6" t="s">
        <v>240</v>
      </c>
    </row>
    <row r="29" spans="1:14" x14ac:dyDescent="0.25">
      <c r="A29" s="6" t="s">
        <v>311</v>
      </c>
      <c r="B29" s="6" t="s">
        <v>312</v>
      </c>
      <c r="C29" s="6"/>
      <c r="D29" s="6" t="s">
        <v>313</v>
      </c>
      <c r="E29" s="7"/>
      <c r="F29" s="7"/>
      <c r="G29" s="7" t="s">
        <v>238</v>
      </c>
      <c r="H29" s="7"/>
      <c r="I29" s="7"/>
      <c r="J29" s="7" t="s">
        <v>238</v>
      </c>
      <c r="K29" s="7"/>
      <c r="L29" s="7" t="s">
        <v>238</v>
      </c>
      <c r="M29" s="6" t="s">
        <v>33</v>
      </c>
      <c r="N29" s="6" t="s">
        <v>252</v>
      </c>
    </row>
    <row r="30" spans="1:14" x14ac:dyDescent="0.25">
      <c r="A30" s="6" t="s">
        <v>314</v>
      </c>
      <c r="B30" s="6" t="s">
        <v>315</v>
      </c>
      <c r="C30" s="6"/>
      <c r="D30" s="6" t="s">
        <v>316</v>
      </c>
      <c r="E30" s="7"/>
      <c r="F30" s="7" t="s">
        <v>238</v>
      </c>
      <c r="G30" s="7"/>
      <c r="H30" s="7"/>
      <c r="I30" s="7"/>
      <c r="J30" s="7" t="s">
        <v>238</v>
      </c>
      <c r="K30" s="7"/>
      <c r="L30" s="7"/>
      <c r="M30" s="6" t="s">
        <v>33</v>
      </c>
      <c r="N30" s="6" t="s">
        <v>252</v>
      </c>
    </row>
    <row r="31" spans="1:14" x14ac:dyDescent="0.25">
      <c r="A31" s="6" t="s">
        <v>317</v>
      </c>
      <c r="B31" s="6" t="s">
        <v>318</v>
      </c>
      <c r="C31" s="6"/>
      <c r="D31" s="6" t="s">
        <v>319</v>
      </c>
      <c r="E31" s="7"/>
      <c r="F31" s="7"/>
      <c r="G31" s="7"/>
      <c r="H31" s="7"/>
      <c r="I31" s="7"/>
      <c r="J31" s="7"/>
      <c r="K31" s="7"/>
      <c r="L31" s="7"/>
      <c r="M31" s="6" t="s">
        <v>33</v>
      </c>
      <c r="N31" s="6" t="s">
        <v>234</v>
      </c>
    </row>
    <row r="32" spans="1:14" x14ac:dyDescent="0.25">
      <c r="A32" s="6" t="s">
        <v>320</v>
      </c>
      <c r="B32" s="6" t="s">
        <v>321</v>
      </c>
      <c r="C32" s="6"/>
      <c r="D32" s="6" t="s">
        <v>322</v>
      </c>
      <c r="E32" s="7"/>
      <c r="F32" s="7" t="s">
        <v>238</v>
      </c>
      <c r="G32" s="7"/>
      <c r="H32" s="7"/>
      <c r="I32" s="7"/>
      <c r="J32" s="7"/>
      <c r="K32" s="7"/>
      <c r="L32" s="7" t="s">
        <v>238</v>
      </c>
      <c r="M32" s="6" t="s">
        <v>33</v>
      </c>
      <c r="N32" s="6" t="s">
        <v>252</v>
      </c>
    </row>
    <row r="33" spans="1:14" x14ac:dyDescent="0.25">
      <c r="A33" s="6" t="s">
        <v>323</v>
      </c>
      <c r="B33" s="6" t="s">
        <v>324</v>
      </c>
      <c r="C33" s="6"/>
      <c r="D33" s="6" t="s">
        <v>325</v>
      </c>
      <c r="E33" s="7"/>
      <c r="F33" s="7" t="s">
        <v>238</v>
      </c>
      <c r="G33" s="7"/>
      <c r="H33" s="7"/>
      <c r="I33" s="7"/>
      <c r="J33" s="7" t="s">
        <v>238</v>
      </c>
      <c r="K33" s="7"/>
      <c r="L33" s="7"/>
      <c r="M33" s="6" t="s">
        <v>33</v>
      </c>
      <c r="N33" s="6" t="s">
        <v>252</v>
      </c>
    </row>
    <row r="34" spans="1:14" ht="45" x14ac:dyDescent="0.25">
      <c r="A34" s="6" t="s">
        <v>326</v>
      </c>
      <c r="B34" s="6" t="s">
        <v>327</v>
      </c>
      <c r="C34" s="6"/>
      <c r="D34" s="6" t="s">
        <v>328</v>
      </c>
      <c r="E34" s="7" t="s">
        <v>238</v>
      </c>
      <c r="F34" s="7"/>
      <c r="G34" s="7"/>
      <c r="H34" s="7"/>
      <c r="I34" s="7"/>
      <c r="J34" s="7"/>
      <c r="K34" s="7"/>
      <c r="L34" s="7"/>
      <c r="M34" s="8" t="s">
        <v>239</v>
      </c>
      <c r="N34" s="6" t="s">
        <v>240</v>
      </c>
    </row>
    <row r="35" spans="1:14" ht="30" x14ac:dyDescent="0.25">
      <c r="A35" s="6" t="s">
        <v>329</v>
      </c>
      <c r="B35" s="6" t="s">
        <v>330</v>
      </c>
      <c r="C35" s="6"/>
      <c r="D35" s="6" t="s">
        <v>331</v>
      </c>
      <c r="E35" s="7" t="s">
        <v>238</v>
      </c>
      <c r="F35" s="7"/>
      <c r="G35" s="7"/>
      <c r="H35" s="7"/>
      <c r="I35" s="7"/>
      <c r="J35" s="7"/>
      <c r="K35" s="7"/>
      <c r="L35" s="7"/>
      <c r="M35" s="6" t="s">
        <v>256</v>
      </c>
      <c r="N35" s="6" t="s">
        <v>257</v>
      </c>
    </row>
    <row r="36" spans="1:14" x14ac:dyDescent="0.25">
      <c r="A36" s="6" t="s">
        <v>332</v>
      </c>
      <c r="B36" s="6" t="s">
        <v>333</v>
      </c>
      <c r="C36" s="6"/>
      <c r="D36" s="6" t="s">
        <v>334</v>
      </c>
      <c r="E36" s="7"/>
      <c r="F36" s="7" t="s">
        <v>238</v>
      </c>
      <c r="G36" s="7"/>
      <c r="H36" s="7"/>
      <c r="I36" s="7"/>
      <c r="J36" s="7"/>
      <c r="K36" s="7"/>
      <c r="L36" s="7"/>
      <c r="M36" s="6" t="s">
        <v>33</v>
      </c>
      <c r="N36" s="6" t="s">
        <v>252</v>
      </c>
    </row>
    <row r="37" spans="1:14" x14ac:dyDescent="0.25">
      <c r="A37" s="6" t="s">
        <v>335</v>
      </c>
      <c r="B37" s="6" t="s">
        <v>336</v>
      </c>
      <c r="C37" s="6"/>
      <c r="D37" s="6" t="s">
        <v>334</v>
      </c>
      <c r="E37" s="7"/>
      <c r="F37" s="7" t="s">
        <v>238</v>
      </c>
      <c r="G37" s="7"/>
      <c r="H37" s="7"/>
      <c r="I37" s="7"/>
      <c r="J37" s="7"/>
      <c r="K37" s="7"/>
      <c r="L37" s="7"/>
      <c r="M37" s="6" t="s">
        <v>33</v>
      </c>
      <c r="N37" s="6" t="s">
        <v>252</v>
      </c>
    </row>
    <row r="38" spans="1:14" x14ac:dyDescent="0.25">
      <c r="A38" s="6" t="s">
        <v>337</v>
      </c>
      <c r="B38" s="6" t="s">
        <v>338</v>
      </c>
      <c r="C38" s="6"/>
      <c r="D38" s="6" t="s">
        <v>339</v>
      </c>
      <c r="E38" s="7"/>
      <c r="F38" s="7"/>
      <c r="G38" s="7"/>
      <c r="H38" s="7"/>
      <c r="I38" s="7"/>
      <c r="J38" s="7" t="s">
        <v>238</v>
      </c>
      <c r="K38" s="7"/>
      <c r="L38" s="7"/>
      <c r="M38" s="6" t="s">
        <v>33</v>
      </c>
      <c r="N38" s="6" t="s">
        <v>248</v>
      </c>
    </row>
    <row r="39" spans="1:14" x14ac:dyDescent="0.25">
      <c r="A39" s="6" t="s">
        <v>340</v>
      </c>
      <c r="B39" s="6" t="s">
        <v>341</v>
      </c>
      <c r="C39" s="6" t="s">
        <v>342</v>
      </c>
      <c r="D39" s="6" t="s">
        <v>343</v>
      </c>
      <c r="E39" s="7"/>
      <c r="F39" s="7"/>
      <c r="G39" s="7"/>
      <c r="H39" s="7"/>
      <c r="I39" s="7"/>
      <c r="J39" s="7"/>
      <c r="K39" s="7"/>
      <c r="L39" s="7"/>
      <c r="M39" s="6" t="s">
        <v>33</v>
      </c>
      <c r="N39" s="6" t="s">
        <v>234</v>
      </c>
    </row>
    <row r="40" spans="1:14" ht="45" x14ac:dyDescent="0.25">
      <c r="A40" s="6" t="s">
        <v>344</v>
      </c>
      <c r="B40" s="6" t="s">
        <v>345</v>
      </c>
      <c r="C40" s="6"/>
      <c r="D40" s="6" t="s">
        <v>328</v>
      </c>
      <c r="E40" s="7" t="s">
        <v>238</v>
      </c>
      <c r="F40" s="7"/>
      <c r="G40" s="7"/>
      <c r="H40" s="7"/>
      <c r="I40" s="7"/>
      <c r="J40" s="7"/>
      <c r="K40" s="7"/>
      <c r="L40" s="7"/>
      <c r="M40" s="8" t="s">
        <v>239</v>
      </c>
      <c r="N40" s="6" t="s">
        <v>240</v>
      </c>
    </row>
    <row r="41" spans="1:14" x14ac:dyDescent="0.25">
      <c r="A41" s="6" t="s">
        <v>346</v>
      </c>
      <c r="B41" s="6" t="s">
        <v>347</v>
      </c>
      <c r="C41" s="6"/>
      <c r="D41" s="6" t="s">
        <v>348</v>
      </c>
      <c r="E41" s="7"/>
      <c r="F41" s="7"/>
      <c r="G41" s="7" t="s">
        <v>238</v>
      </c>
      <c r="H41" s="7"/>
      <c r="I41" s="7"/>
      <c r="J41" s="7"/>
      <c r="K41" s="7"/>
      <c r="L41" s="7" t="s">
        <v>238</v>
      </c>
      <c r="M41" s="6" t="s">
        <v>33</v>
      </c>
      <c r="N41" s="6" t="s">
        <v>252</v>
      </c>
    </row>
    <row r="42" spans="1:14" ht="30" x14ac:dyDescent="0.25">
      <c r="A42" s="6" t="s">
        <v>349</v>
      </c>
      <c r="B42" s="6" t="s">
        <v>350</v>
      </c>
      <c r="C42" s="6"/>
      <c r="D42" s="6" t="s">
        <v>351</v>
      </c>
      <c r="E42" s="7" t="s">
        <v>238</v>
      </c>
      <c r="F42" s="7"/>
      <c r="G42" s="7"/>
      <c r="H42" s="7"/>
      <c r="I42" s="7"/>
      <c r="J42" s="7"/>
      <c r="K42" s="7"/>
      <c r="L42" s="7" t="s">
        <v>238</v>
      </c>
      <c r="M42" s="6" t="s">
        <v>256</v>
      </c>
      <c r="N42" s="6" t="s">
        <v>257</v>
      </c>
    </row>
    <row r="43" spans="1:14" x14ac:dyDescent="0.25">
      <c r="A43" s="6" t="s">
        <v>352</v>
      </c>
      <c r="B43" s="6" t="s">
        <v>353</v>
      </c>
      <c r="C43" s="6"/>
      <c r="D43" s="6" t="s">
        <v>354</v>
      </c>
      <c r="E43" s="7"/>
      <c r="F43" s="7"/>
      <c r="G43" s="7"/>
      <c r="H43" s="7"/>
      <c r="I43" s="7"/>
      <c r="J43" s="7"/>
      <c r="K43" s="7"/>
      <c r="L43" s="7" t="s">
        <v>238</v>
      </c>
      <c r="M43" s="6" t="s">
        <v>33</v>
      </c>
      <c r="N43" s="6" t="s">
        <v>248</v>
      </c>
    </row>
    <row r="44" spans="1:14" x14ac:dyDescent="0.25">
      <c r="A44" s="6" t="s">
        <v>355</v>
      </c>
      <c r="B44" s="6" t="s">
        <v>356</v>
      </c>
      <c r="C44" s="6"/>
      <c r="D44" s="6" t="s">
        <v>357</v>
      </c>
      <c r="E44" s="7"/>
      <c r="F44" s="7"/>
      <c r="G44" s="7"/>
      <c r="H44" s="7"/>
      <c r="I44" s="7"/>
      <c r="J44" s="7" t="s">
        <v>238</v>
      </c>
      <c r="K44" s="7"/>
      <c r="L44" s="7"/>
      <c r="M44" s="6" t="s">
        <v>33</v>
      </c>
      <c r="N44" s="6" t="s">
        <v>248</v>
      </c>
    </row>
    <row r="45" spans="1:14" x14ac:dyDescent="0.25">
      <c r="A45" s="6" t="s">
        <v>358</v>
      </c>
      <c r="B45" s="6" t="s">
        <v>359</v>
      </c>
      <c r="C45" s="6"/>
      <c r="D45" s="6" t="s">
        <v>360</v>
      </c>
      <c r="E45" s="7"/>
      <c r="F45" s="7"/>
      <c r="G45" s="7"/>
      <c r="H45" s="7"/>
      <c r="I45" s="7"/>
      <c r="J45" s="7"/>
      <c r="K45" s="7"/>
      <c r="L45" s="7"/>
      <c r="M45" s="6" t="s">
        <v>33</v>
      </c>
      <c r="N45" s="6" t="s">
        <v>234</v>
      </c>
    </row>
    <row r="46" spans="1:14" x14ac:dyDescent="0.25">
      <c r="A46" s="6" t="s">
        <v>361</v>
      </c>
      <c r="B46" s="6" t="s">
        <v>362</v>
      </c>
      <c r="C46" s="6"/>
      <c r="D46" s="6" t="s">
        <v>334</v>
      </c>
      <c r="E46" s="7"/>
      <c r="F46" s="7" t="s">
        <v>238</v>
      </c>
      <c r="G46" s="7"/>
      <c r="H46" s="7"/>
      <c r="I46" s="7"/>
      <c r="J46" s="7"/>
      <c r="K46" s="7"/>
      <c r="L46" s="7"/>
      <c r="M46" s="6" t="s">
        <v>33</v>
      </c>
      <c r="N46" s="6" t="s">
        <v>252</v>
      </c>
    </row>
    <row r="47" spans="1:14" x14ac:dyDescent="0.25">
      <c r="A47" s="6" t="s">
        <v>363</v>
      </c>
      <c r="B47" s="6" t="s">
        <v>50</v>
      </c>
      <c r="C47" s="6"/>
      <c r="D47" s="6" t="s">
        <v>364</v>
      </c>
      <c r="E47" s="7"/>
      <c r="F47" s="7" t="s">
        <v>238</v>
      </c>
      <c r="G47" s="7"/>
      <c r="H47" s="7"/>
      <c r="I47" s="7"/>
      <c r="J47" s="7"/>
      <c r="K47" s="7"/>
      <c r="L47" s="7" t="s">
        <v>238</v>
      </c>
      <c r="M47" s="6" t="s">
        <v>33</v>
      </c>
      <c r="N47" s="6" t="s">
        <v>252</v>
      </c>
    </row>
    <row r="48" spans="1:14" ht="30" x14ac:dyDescent="0.25">
      <c r="A48" s="6" t="s">
        <v>365</v>
      </c>
      <c r="B48" s="6" t="s">
        <v>366</v>
      </c>
      <c r="C48" s="6"/>
      <c r="D48" s="6" t="s">
        <v>367</v>
      </c>
      <c r="E48" s="7" t="s">
        <v>238</v>
      </c>
      <c r="F48" s="7" t="s">
        <v>238</v>
      </c>
      <c r="G48" s="7"/>
      <c r="H48" s="7"/>
      <c r="I48" s="7"/>
      <c r="J48" s="7" t="s">
        <v>238</v>
      </c>
      <c r="K48" s="7"/>
      <c r="L48" s="7"/>
      <c r="M48" s="6" t="s">
        <v>256</v>
      </c>
      <c r="N48" s="6" t="s">
        <v>257</v>
      </c>
    </row>
    <row r="49" spans="1:14" x14ac:dyDescent="0.25">
      <c r="A49" s="6" t="s">
        <v>368</v>
      </c>
      <c r="B49" s="6" t="s">
        <v>369</v>
      </c>
      <c r="C49" s="6"/>
      <c r="D49" s="6" t="s">
        <v>370</v>
      </c>
      <c r="E49" s="7"/>
      <c r="F49" s="7"/>
      <c r="G49" s="7"/>
      <c r="H49" s="7"/>
      <c r="I49" s="7"/>
      <c r="J49" s="7" t="s">
        <v>238</v>
      </c>
      <c r="K49" s="7"/>
      <c r="L49" s="7"/>
      <c r="M49" s="6" t="s">
        <v>33</v>
      </c>
      <c r="N49" s="6" t="s">
        <v>248</v>
      </c>
    </row>
    <row r="50" spans="1:14" ht="45" x14ac:dyDescent="0.25">
      <c r="A50" s="6" t="s">
        <v>371</v>
      </c>
      <c r="B50" s="6" t="s">
        <v>372</v>
      </c>
      <c r="C50" s="6"/>
      <c r="D50" s="6" t="s">
        <v>373</v>
      </c>
      <c r="E50" s="7" t="s">
        <v>238</v>
      </c>
      <c r="F50" s="7" t="s">
        <v>238</v>
      </c>
      <c r="G50" s="7"/>
      <c r="H50" s="7"/>
      <c r="I50" s="7"/>
      <c r="J50" s="7" t="s">
        <v>238</v>
      </c>
      <c r="K50" s="7"/>
      <c r="L50" s="7" t="s">
        <v>238</v>
      </c>
      <c r="M50" s="8" t="s">
        <v>239</v>
      </c>
      <c r="N50" s="6" t="s">
        <v>240</v>
      </c>
    </row>
    <row r="51" spans="1:14" x14ac:dyDescent="0.25">
      <c r="A51" s="6" t="s">
        <v>374</v>
      </c>
      <c r="B51" s="6" t="s">
        <v>375</v>
      </c>
      <c r="C51" s="6" t="s">
        <v>376</v>
      </c>
      <c r="D51" s="6" t="s">
        <v>377</v>
      </c>
      <c r="E51" s="7"/>
      <c r="F51" s="7" t="s">
        <v>238</v>
      </c>
      <c r="G51" s="7"/>
      <c r="H51" s="7"/>
      <c r="I51" s="7"/>
      <c r="J51" s="7"/>
      <c r="K51" s="7"/>
      <c r="L51" s="7"/>
      <c r="M51" s="6" t="s">
        <v>33</v>
      </c>
      <c r="N51" s="6" t="s">
        <v>252</v>
      </c>
    </row>
    <row r="52" spans="1:14" x14ac:dyDescent="0.25">
      <c r="A52" s="6" t="s">
        <v>378</v>
      </c>
      <c r="B52" s="6" t="s">
        <v>379</v>
      </c>
      <c r="C52" s="6"/>
      <c r="D52" s="6" t="s">
        <v>380</v>
      </c>
      <c r="E52" s="7"/>
      <c r="F52" s="7" t="s">
        <v>238</v>
      </c>
      <c r="G52" s="7"/>
      <c r="H52" s="7"/>
      <c r="I52" s="7"/>
      <c r="J52" s="7" t="s">
        <v>238</v>
      </c>
      <c r="K52" s="7"/>
      <c r="L52" s="7" t="s">
        <v>238</v>
      </c>
      <c r="M52" s="6" t="s">
        <v>33</v>
      </c>
      <c r="N52" s="6" t="s">
        <v>252</v>
      </c>
    </row>
    <row r="53" spans="1:14" ht="30" x14ac:dyDescent="0.25">
      <c r="A53" s="6" t="s">
        <v>381</v>
      </c>
      <c r="B53" s="6" t="s">
        <v>382</v>
      </c>
      <c r="C53" s="6"/>
      <c r="D53" s="6" t="s">
        <v>383</v>
      </c>
      <c r="E53" s="7" t="s">
        <v>238</v>
      </c>
      <c r="F53" s="7"/>
      <c r="G53" s="7"/>
      <c r="H53" s="7"/>
      <c r="I53" s="7"/>
      <c r="J53" s="7" t="s">
        <v>238</v>
      </c>
      <c r="K53" s="7"/>
      <c r="L53" s="7" t="s">
        <v>238</v>
      </c>
      <c r="M53" s="6" t="s">
        <v>256</v>
      </c>
      <c r="N53" s="6" t="s">
        <v>257</v>
      </c>
    </row>
    <row r="54" spans="1:14" ht="30" x14ac:dyDescent="0.25">
      <c r="A54" s="6" t="s">
        <v>384</v>
      </c>
      <c r="B54" s="6" t="s">
        <v>385</v>
      </c>
      <c r="C54" s="6"/>
      <c r="D54" s="6" t="s">
        <v>386</v>
      </c>
      <c r="E54" s="7" t="s">
        <v>238</v>
      </c>
      <c r="F54" s="7" t="s">
        <v>238</v>
      </c>
      <c r="G54" s="7"/>
      <c r="H54" s="7"/>
      <c r="I54" s="7"/>
      <c r="J54" s="7"/>
      <c r="K54" s="7"/>
      <c r="L54" s="7" t="s">
        <v>238</v>
      </c>
      <c r="M54" s="6" t="s">
        <v>256</v>
      </c>
      <c r="N54" s="6" t="s">
        <v>257</v>
      </c>
    </row>
    <row r="55" spans="1:14" x14ac:dyDescent="0.25">
      <c r="A55" s="6" t="s">
        <v>387</v>
      </c>
      <c r="B55" s="6" t="s">
        <v>388</v>
      </c>
      <c r="C55" s="6"/>
      <c r="D55" s="6" t="s">
        <v>389</v>
      </c>
      <c r="E55" s="7"/>
      <c r="F55" s="7"/>
      <c r="G55" s="7"/>
      <c r="H55" s="7"/>
      <c r="I55" s="7"/>
      <c r="J55" s="7" t="s">
        <v>238</v>
      </c>
      <c r="K55" s="7"/>
      <c r="L55" s="7"/>
      <c r="M55" s="6" t="s">
        <v>33</v>
      </c>
      <c r="N55" s="6" t="s">
        <v>248</v>
      </c>
    </row>
    <row r="56" spans="1:14" ht="30" x14ac:dyDescent="0.25">
      <c r="A56" s="6" t="s">
        <v>390</v>
      </c>
      <c r="B56" s="6" t="s">
        <v>391</v>
      </c>
      <c r="C56" s="6"/>
      <c r="D56" s="6" t="s">
        <v>392</v>
      </c>
      <c r="E56" s="7" t="s">
        <v>238</v>
      </c>
      <c r="F56" s="7" t="s">
        <v>238</v>
      </c>
      <c r="G56" s="7"/>
      <c r="H56" s="7"/>
      <c r="I56" s="7"/>
      <c r="J56" s="7"/>
      <c r="K56" s="7"/>
      <c r="L56" s="7"/>
      <c r="M56" s="6" t="s">
        <v>256</v>
      </c>
      <c r="N56" s="6" t="s">
        <v>257</v>
      </c>
    </row>
    <row r="57" spans="1:14" x14ac:dyDescent="0.25">
      <c r="A57" s="6" t="s">
        <v>393</v>
      </c>
      <c r="B57" s="6" t="s">
        <v>394</v>
      </c>
      <c r="C57" s="6"/>
      <c r="D57" s="6" t="s">
        <v>395</v>
      </c>
      <c r="E57" s="7"/>
      <c r="F57" s="7"/>
      <c r="G57" s="7"/>
      <c r="H57" s="7"/>
      <c r="I57" s="7" t="s">
        <v>238</v>
      </c>
      <c r="J57" s="7"/>
      <c r="K57" s="7"/>
      <c r="L57" s="7"/>
      <c r="M57" s="6" t="s">
        <v>33</v>
      </c>
      <c r="N57" s="6" t="s">
        <v>248</v>
      </c>
    </row>
    <row r="58" spans="1:14" ht="45" x14ac:dyDescent="0.25">
      <c r="A58" s="6" t="s">
        <v>396</v>
      </c>
      <c r="B58" s="6" t="s">
        <v>397</v>
      </c>
      <c r="C58" s="6"/>
      <c r="D58" s="6" t="s">
        <v>398</v>
      </c>
      <c r="E58" s="7" t="s">
        <v>238</v>
      </c>
      <c r="F58" s="7"/>
      <c r="G58" s="7"/>
      <c r="H58" s="7"/>
      <c r="I58" s="7"/>
      <c r="J58" s="7"/>
      <c r="K58" s="7"/>
      <c r="L58" s="7"/>
      <c r="M58" s="8" t="s">
        <v>239</v>
      </c>
      <c r="N58" s="6" t="s">
        <v>240</v>
      </c>
    </row>
    <row r="59" spans="1:14" ht="30" x14ac:dyDescent="0.25">
      <c r="A59" s="6" t="s">
        <v>399</v>
      </c>
      <c r="B59" s="6" t="s">
        <v>400</v>
      </c>
      <c r="C59" s="6"/>
      <c r="D59" s="6" t="s">
        <v>401</v>
      </c>
      <c r="E59" s="7" t="s">
        <v>238</v>
      </c>
      <c r="F59" s="7" t="s">
        <v>238</v>
      </c>
      <c r="G59" s="7" t="s">
        <v>238</v>
      </c>
      <c r="H59" s="7"/>
      <c r="I59" s="7"/>
      <c r="J59" s="7"/>
      <c r="K59" s="7"/>
      <c r="L59" s="7"/>
      <c r="M59" s="6" t="s">
        <v>256</v>
      </c>
      <c r="N59" s="6" t="s">
        <v>257</v>
      </c>
    </row>
    <row r="60" spans="1:14" x14ac:dyDescent="0.25">
      <c r="A60" s="6" t="s">
        <v>402</v>
      </c>
      <c r="B60" s="6" t="s">
        <v>403</v>
      </c>
      <c r="C60" s="6"/>
      <c r="D60" s="6" t="s">
        <v>404</v>
      </c>
      <c r="E60" s="7"/>
      <c r="F60" s="7"/>
      <c r="G60" s="7"/>
      <c r="H60" s="7"/>
      <c r="I60" s="7"/>
      <c r="J60" s="7"/>
      <c r="K60" s="7"/>
      <c r="L60" s="7" t="s">
        <v>238</v>
      </c>
      <c r="M60" s="6" t="s">
        <v>33</v>
      </c>
      <c r="N60" s="6" t="s">
        <v>248</v>
      </c>
    </row>
    <row r="61" spans="1:14" ht="30" x14ac:dyDescent="0.25">
      <c r="A61" s="6" t="s">
        <v>405</v>
      </c>
      <c r="B61" s="6" t="s">
        <v>406</v>
      </c>
      <c r="C61" s="6"/>
      <c r="D61" s="6" t="s">
        <v>407</v>
      </c>
      <c r="E61" s="7"/>
      <c r="F61" s="7" t="s">
        <v>238</v>
      </c>
      <c r="G61" s="7"/>
      <c r="H61" s="7"/>
      <c r="I61" s="7" t="s">
        <v>238</v>
      </c>
      <c r="J61" s="7" t="s">
        <v>238</v>
      </c>
      <c r="K61" s="7"/>
      <c r="L61" s="7" t="s">
        <v>238</v>
      </c>
      <c r="M61" s="6" t="s">
        <v>33</v>
      </c>
      <c r="N61" s="6" t="s">
        <v>252</v>
      </c>
    </row>
    <row r="62" spans="1:14" x14ac:dyDescent="0.25">
      <c r="A62" s="6" t="s">
        <v>408</v>
      </c>
      <c r="B62" s="6" t="s">
        <v>409</v>
      </c>
      <c r="C62" s="6"/>
      <c r="D62" s="6" t="s">
        <v>410</v>
      </c>
      <c r="E62" s="7"/>
      <c r="F62" s="7"/>
      <c r="G62" s="7"/>
      <c r="H62" s="7"/>
      <c r="I62" s="7"/>
      <c r="J62" s="7" t="s">
        <v>238</v>
      </c>
      <c r="K62" s="7"/>
      <c r="L62" s="7" t="s">
        <v>238</v>
      </c>
      <c r="M62" s="6" t="s">
        <v>33</v>
      </c>
      <c r="N62" s="6" t="s">
        <v>248</v>
      </c>
    </row>
    <row r="63" spans="1:14" ht="45" x14ac:dyDescent="0.25">
      <c r="A63" s="6" t="s">
        <v>411</v>
      </c>
      <c r="B63" s="6" t="s">
        <v>412</v>
      </c>
      <c r="C63" s="6"/>
      <c r="D63" s="6" t="s">
        <v>328</v>
      </c>
      <c r="E63" s="7" t="s">
        <v>238</v>
      </c>
      <c r="F63" s="7"/>
      <c r="G63" s="7"/>
      <c r="H63" s="7"/>
      <c r="I63" s="7"/>
      <c r="J63" s="7"/>
      <c r="K63" s="7"/>
      <c r="L63" s="7"/>
      <c r="M63" s="8" t="s">
        <v>239</v>
      </c>
      <c r="N63" s="6" t="s">
        <v>240</v>
      </c>
    </row>
    <row r="65" spans="1:14" x14ac:dyDescent="0.25">
      <c r="A65" s="478" t="s">
        <v>413</v>
      </c>
      <c r="B65" s="477"/>
      <c r="C65" s="477"/>
      <c r="D65" s="477"/>
      <c r="E65" s="477"/>
      <c r="F65" s="477"/>
      <c r="G65" s="477"/>
      <c r="H65" s="477"/>
      <c r="I65" s="477"/>
      <c r="J65" s="477"/>
      <c r="K65" s="477"/>
      <c r="L65" s="477"/>
      <c r="M65" s="477"/>
      <c r="N65" s="477"/>
    </row>
    <row r="66" spans="1:14" x14ac:dyDescent="0.25">
      <c r="A66" s="478" t="s">
        <v>414</v>
      </c>
      <c r="B66" s="477"/>
      <c r="C66" s="477"/>
      <c r="D66" s="477"/>
      <c r="E66" s="477"/>
      <c r="F66" s="477"/>
      <c r="G66" s="477"/>
      <c r="H66" s="477"/>
      <c r="I66" s="477"/>
      <c r="J66" s="477"/>
      <c r="K66" s="477"/>
      <c r="L66" s="477"/>
      <c r="M66" s="477"/>
      <c r="N66" s="477"/>
    </row>
    <row r="67" spans="1:14" x14ac:dyDescent="0.25">
      <c r="A67" s="478" t="s">
        <v>415</v>
      </c>
      <c r="B67" s="477"/>
      <c r="C67" s="477"/>
      <c r="D67" s="477"/>
      <c r="E67" s="477"/>
      <c r="F67" s="477"/>
      <c r="G67" s="477"/>
      <c r="H67" s="477"/>
      <c r="I67" s="477"/>
      <c r="J67" s="477"/>
      <c r="K67" s="477"/>
      <c r="L67" s="477"/>
      <c r="M67" s="477"/>
      <c r="N67" s="477"/>
    </row>
    <row r="68" spans="1:14" x14ac:dyDescent="0.25">
      <c r="A68" s="478" t="s">
        <v>416</v>
      </c>
      <c r="B68" s="477"/>
      <c r="C68" s="477"/>
      <c r="D68" s="477"/>
      <c r="E68" s="477"/>
      <c r="F68" s="477"/>
      <c r="G68" s="477"/>
      <c r="H68" s="477"/>
      <c r="I68" s="477"/>
      <c r="J68" s="477"/>
      <c r="K68" s="477"/>
      <c r="L68" s="477"/>
      <c r="M68" s="477"/>
      <c r="N68" s="477"/>
    </row>
    <row r="69" spans="1:14" x14ac:dyDescent="0.25">
      <c r="A69" s="478" t="s">
        <v>417</v>
      </c>
      <c r="B69" s="477"/>
      <c r="C69" s="477"/>
      <c r="D69" s="477"/>
      <c r="E69" s="477"/>
      <c r="F69" s="477"/>
      <c r="G69" s="477"/>
      <c r="H69" s="477"/>
      <c r="I69" s="477"/>
      <c r="J69" s="477"/>
      <c r="K69" s="477"/>
      <c r="L69" s="477"/>
      <c r="M69" s="477"/>
      <c r="N69" s="477"/>
    </row>
    <row r="70" spans="1:14" x14ac:dyDescent="0.25">
      <c r="A70" s="478" t="s">
        <v>418</v>
      </c>
      <c r="B70" s="477"/>
      <c r="C70" s="477"/>
      <c r="D70" s="477"/>
      <c r="E70" s="477"/>
      <c r="F70" s="477"/>
      <c r="G70" s="477"/>
      <c r="H70" s="477"/>
      <c r="I70" s="477"/>
      <c r="J70" s="477"/>
      <c r="K70" s="477"/>
      <c r="L70" s="477"/>
      <c r="M70" s="477"/>
      <c r="N70" s="477"/>
    </row>
    <row r="71" spans="1:14" x14ac:dyDescent="0.25">
      <c r="A71" s="476" t="s">
        <v>419</v>
      </c>
      <c r="B71" s="477"/>
      <c r="C71" s="477"/>
      <c r="D71" s="477"/>
      <c r="E71" s="477"/>
      <c r="F71" s="477"/>
      <c r="G71" s="477"/>
      <c r="H71" s="477"/>
      <c r="I71" s="477"/>
      <c r="J71" s="477"/>
      <c r="K71" s="477"/>
      <c r="L71" s="477"/>
      <c r="M71" s="477"/>
      <c r="N71" s="477"/>
    </row>
    <row r="72" spans="1:14" x14ac:dyDescent="0.25">
      <c r="A72" s="476" t="s">
        <v>420</v>
      </c>
      <c r="B72" s="477"/>
      <c r="C72" s="477"/>
      <c r="D72" s="477"/>
      <c r="E72" s="477"/>
      <c r="F72" s="477"/>
      <c r="G72" s="477"/>
      <c r="H72" s="477"/>
      <c r="I72" s="477"/>
      <c r="J72" s="477"/>
      <c r="K72" s="477"/>
      <c r="L72" s="477"/>
      <c r="M72" s="477"/>
      <c r="N72" s="477"/>
    </row>
  </sheetData>
  <autoFilter ref="A4:N63" xr:uid="{00000000-0009-0000-0000-000004000000}"/>
  <mergeCells count="8">
    <mergeCell ref="A71:N71"/>
    <mergeCell ref="A72:N72"/>
    <mergeCell ref="A65:N65"/>
    <mergeCell ref="A66:N66"/>
    <mergeCell ref="A67:N67"/>
    <mergeCell ref="A68:N68"/>
    <mergeCell ref="A69:N69"/>
    <mergeCell ref="A70:N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7</vt:i4>
      </vt:variant>
    </vt:vector>
  </HeadingPairs>
  <TitlesOfParts>
    <vt:vector size="16" baseType="lpstr">
      <vt:lpstr>TIRATA_01_225-245</vt:lpstr>
      <vt:lpstr>TIRATA_02_245-267</vt:lpstr>
      <vt:lpstr>TIRATA_03_267-285</vt:lpstr>
      <vt:lpstr>TIRATA_04_285-304</vt:lpstr>
      <vt:lpstr>TIRATA_05_304-317</vt:lpstr>
      <vt:lpstr>TIRATA_06_317-PORTALE MOLASSANA</vt:lpstr>
      <vt:lpstr>T.842</vt:lpstr>
      <vt:lpstr>TESATURA_NORMALIZADA</vt:lpstr>
      <vt:lpstr>04 Interferencias</vt:lpstr>
      <vt:lpstr>'TIRATA_01_225-245'!Área_de_impresión</vt:lpstr>
      <vt:lpstr>'TIRATA_02_245-267'!Área_de_impresión</vt:lpstr>
      <vt:lpstr>'TIRATA_03_267-285'!Área_de_impresión</vt:lpstr>
      <vt:lpstr>'TIRATA_04_285-304'!Área_de_impresión</vt:lpstr>
      <vt:lpstr>'TIRATA_05_304-317'!Área_de_impresión</vt:lpstr>
      <vt:lpstr>'TIRATA_06_317-PORTALE MOLASSANA'!Área_de_impresión</vt:lpstr>
      <vt:lpstr>T.842!Títulos_a_imprimir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ALBERTO GOMEZ ZUECO</cp:lastModifiedBy>
  <cp:lastPrinted>2026-09-09T12:56:27Z</cp:lastPrinted>
  <dcterms:created xsi:type="dcterms:W3CDTF">2026-09-09T12:44:17Z</dcterms:created>
  <dcterms:modified xsi:type="dcterms:W3CDTF">2026-09-10T14:55:06Z</dcterms:modified>
</cp:coreProperties>
</file>